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8F0968B8-4AB6-4EB5-97E7-BB23F1E3A4AA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05" i="2" l="1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2" i="2"/>
  <c r="DH336" i="2" l="1"/>
  <c r="DH139" i="2"/>
  <c r="DG336" i="2"/>
  <c r="DG139" i="2"/>
  <c r="L7" i="6" l="1"/>
  <c r="DF336" i="2"/>
  <c r="DF139" i="2"/>
  <c r="L8" i="6" l="1"/>
  <c r="L9" i="6"/>
  <c r="DE336" i="2"/>
  <c r="DE139" i="2"/>
  <c r="L10" i="6" l="1"/>
  <c r="DD336" i="2"/>
  <c r="DD139" i="2"/>
  <c r="L11" i="6"/>
  <c r="DC139" i="2" l="1"/>
  <c r="DB139" i="2"/>
  <c r="L12" i="6" l="1"/>
  <c r="L13" i="6"/>
  <c r="DA139" i="2"/>
  <c r="L14" i="6" l="1"/>
  <c r="CZ139" i="2"/>
  <c r="L15" i="6" l="1"/>
  <c r="L16" i="6"/>
  <c r="L17" i="6" l="1"/>
  <c r="L18" i="6" l="1"/>
  <c r="L19" i="6" l="1"/>
  <c r="L20" i="6" l="1"/>
  <c r="L21" i="6"/>
  <c r="L22" i="6" l="1"/>
  <c r="L23" i="6" l="1"/>
  <c r="L24" i="6"/>
  <c r="L25" i="6" l="1"/>
  <c r="M33" i="2" l="1"/>
  <c r="L26" i="6" l="1"/>
  <c r="L27" i="6" l="1"/>
  <c r="L28" i="6"/>
  <c r="L29" i="6" l="1"/>
  <c r="L30" i="6"/>
  <c r="L31" i="6" l="1"/>
  <c r="L32" i="6" l="1"/>
  <c r="L33" i="6"/>
  <c r="L34" i="6" l="1"/>
  <c r="L35" i="6" l="1"/>
  <c r="L36" i="6" l="1"/>
  <c r="L37" i="6" l="1"/>
  <c r="L38" i="6"/>
  <c r="L39" i="6" l="1"/>
  <c r="L40" i="6" l="1"/>
  <c r="L41" i="6" l="1"/>
  <c r="L42" i="6" l="1"/>
  <c r="L43" i="6" l="1"/>
  <c r="L44" i="6" l="1"/>
  <c r="L45" i="6" l="1"/>
  <c r="BU141" i="2"/>
  <c r="L46" i="6" l="1"/>
  <c r="L47" i="6" l="1"/>
  <c r="BS188" i="2" l="1"/>
  <c r="L48" i="6" l="1"/>
  <c r="L49" i="6" l="1"/>
  <c r="L50" i="6" l="1"/>
  <c r="L51" i="6"/>
  <c r="L52" i="6"/>
  <c r="L53" i="6" l="1"/>
  <c r="L54" i="6"/>
  <c r="L55" i="6" l="1"/>
  <c r="L56" i="6"/>
  <c r="L101" i="6" l="1"/>
  <c r="L57" i="6" l="1"/>
  <c r="L58" i="6" l="1"/>
  <c r="L59" i="6" l="1"/>
  <c r="L60" i="6" l="1"/>
  <c r="L61" i="6" l="1"/>
  <c r="L62" i="6"/>
  <c r="L63" i="6" l="1"/>
  <c r="L64" i="6"/>
  <c r="L65" i="6" l="1"/>
  <c r="G2" i="6" l="1"/>
  <c r="L66" i="6" l="1"/>
  <c r="L67" i="6" l="1"/>
  <c r="L68" i="6" l="1"/>
  <c r="L69" i="6" l="1"/>
  <c r="L70" i="6" l="1"/>
  <c r="L104" i="6" l="1"/>
  <c r="L103" i="6"/>
  <c r="L102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2" i="6"/>
  <c r="L71" i="6"/>
  <c r="L73" i="6"/>
  <c r="L74" i="6" l="1"/>
  <c r="L75" i="6" l="1"/>
  <c r="L76" i="6" l="1"/>
  <c r="L37" i="3" l="1"/>
</calcChain>
</file>

<file path=xl/sharedStrings.xml><?xml version="1.0" encoding="utf-8"?>
<sst xmlns="http://schemas.openxmlformats.org/spreadsheetml/2006/main" count="4641" uniqueCount="1554">
  <si>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</si>
  <si>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</si>
  <si>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</si>
  <si>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</si>
  <si>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</si>
  <si>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</si>
  <si>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</si>
  <si>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</si>
  <si>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</si>
  <si>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</si>
  <si>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</si>
  <si>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</si>
  <si>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</si>
  <si>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</si>
  <si>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</si>
  <si>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</si>
  <si>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</si>
  <si>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</si>
  <si>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</si>
  <si>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</si>
  <si>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</si>
  <si>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</si>
  <si>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</si>
  <si>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</si>
  <si>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</si>
  <si>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</si>
  <si>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</si>
  <si>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</si>
  <si>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</si>
  <si>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</si>
  <si>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</si>
  <si>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</si>
  <si>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</si>
  <si>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</si>
  <si>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</si>
  <si>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</si>
  <si>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</si>
  <si>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</si>
  <si>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</si>
  <si>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</si>
  <si>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</si>
  <si>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</si>
  <si>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</si>
  <si>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</si>
  <si>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</si>
  <si>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</si>
  <si>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</si>
  <si>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</si>
  <si>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</si>
  <si>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</si>
  <si>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</si>
  <si>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</si>
  <si>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</si>
  <si>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</si>
  <si>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</si>
  <si>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</si>
  <si>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</si>
  <si>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</si>
  <si>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</si>
  <si>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</si>
  <si>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</si>
  <si>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</si>
  <si>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</si>
  <si>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</si>
  <si>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</si>
  <si>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</si>
  <si>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</si>
  <si>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</si>
  <si>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</si>
  <si>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</si>
  <si>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</si>
  <si>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</si>
  <si>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</si>
  <si>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</si>
  <si>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</si>
  <si>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</si>
  <si>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</si>
  <si>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</si>
  <si>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</si>
  <si>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</si>
  <si>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</si>
  <si>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</si>
  <si>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</si>
  <si>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</si>
  <si>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</si>
  <si>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</si>
  <si>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</si>
  <si>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</si>
  <si>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</si>
  <si>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</si>
  <si>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</si>
  <si>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</si>
  <si>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</si>
  <si>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</si>
  <si>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</si>
  <si>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</si>
  <si>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</si>
  <si>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</si>
  <si>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</si>
  <si>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</si>
  <si>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</si>
  <si>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</si>
  <si>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</si>
  <si>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</si>
  <si>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</si>
  <si>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</si>
  <si>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</si>
  <si>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</si>
  <si>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</si>
  <si>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</si>
  <si>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</si>
  <si>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</si>
  <si>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</si>
  <si>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</si>
  <si>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</si>
  <si>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</si>
  <si>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</si>
  <si>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</si>
  <si>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</si>
  <si>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</si>
  <si>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</si>
  <si>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</si>
  <si>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</si>
  <si>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</si>
  <si>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</si>
  <si>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</si>
  <si>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</si>
  <si>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</si>
  <si>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</si>
  <si>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</si>
  <si>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</si>
  <si>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</si>
  <si>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</si>
  <si>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</si>
  <si>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</si>
  <si>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</si>
  <si>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</si>
  <si>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</si>
  <si>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</si>
  <si>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</si>
  <si>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</si>
  <si>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</si>
  <si>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</si>
  <si>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</si>
  <si>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</si>
  <si>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</si>
  <si>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</si>
  <si>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</si>
  <si>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</si>
  <si>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</si>
  <si>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</si>
  <si>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</si>
  <si>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</si>
  <si>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</si>
  <si>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</si>
  <si>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</si>
  <si>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</si>
  <si>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</si>
  <si>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</si>
  <si>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</si>
  <si>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</si>
  <si>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</si>
  <si>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</si>
  <si>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</si>
  <si>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</si>
  <si>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</si>
  <si>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</si>
  <si>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</si>
  <si>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</si>
  <si>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</si>
  <si>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</si>
  <si>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</si>
  <si>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</si>
  <si>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</si>
  <si>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</si>
  <si>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</si>
  <si>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</si>
  <si>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</si>
  <si>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</si>
  <si>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</si>
  <si>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</si>
  <si>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</si>
  <si>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</si>
  <si>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</si>
  <si>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</si>
  <si>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</si>
  <si>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</si>
  <si>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</si>
  <si>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</si>
  <si>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</si>
  <si>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</si>
  <si>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</si>
  <si>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</si>
  <si>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</si>
  <si>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</si>
  <si>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</si>
  <si>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</si>
  <si>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</si>
  <si>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</si>
  <si>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</si>
  <si>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</si>
  <si>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</si>
  <si>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</si>
  <si>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</si>
  <si>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</si>
  <si>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</si>
  <si>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</si>
  <si>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</si>
  <si>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</si>
  <si>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</si>
  <si>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</si>
  <si>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</si>
  <si>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</si>
  <si>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</si>
  <si>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</si>
  <si>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</si>
  <si>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</si>
  <si>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</si>
  <si>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</si>
  <si>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</si>
  <si>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</si>
  <si>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</si>
  <si>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</si>
  <si>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</si>
  <si>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</si>
  <si>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</si>
  <si>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</si>
  <si>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</si>
  <si>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</si>
  <si>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</si>
  <si>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</si>
  <si>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</si>
  <si>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</si>
  <si>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</si>
  <si>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</si>
  <si>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</si>
  <si>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</si>
  <si>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</si>
  <si>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</si>
  <si>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</si>
  <si>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</si>
  <si>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</si>
  <si>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</si>
  <si>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</si>
  <si>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</si>
  <si>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</si>
  <si>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</si>
  <si>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</si>
  <si>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</si>
  <si>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</si>
  <si>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</si>
  <si>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</si>
  <si>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</si>
  <si>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</si>
  <si>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</si>
  <si>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</si>
  <si>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</si>
  <si>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</si>
  <si>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</si>
  <si>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</si>
  <si>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</si>
  <si>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</si>
  <si>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</si>
  <si>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</si>
  <si>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</si>
  <si>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</si>
  <si>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</si>
  <si>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</si>
  <si>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</si>
  <si>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</si>
  <si>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</si>
  <si>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</si>
  <si>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</si>
  <si>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</si>
  <si>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</si>
  <si>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</si>
  <si>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</si>
  <si>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</si>
  <si>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</si>
  <si>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</si>
  <si>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</si>
  <si>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</si>
  <si>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</si>
  <si>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</si>
  <si>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</si>
  <si>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</si>
  <si>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</si>
  <si>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</si>
  <si>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</si>
  <si>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</si>
  <si>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</si>
  <si>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</si>
  <si>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</si>
  <si>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</si>
  <si>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</si>
  <si>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</si>
  <si>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</si>
  <si>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</si>
  <si>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</si>
  <si>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</si>
  <si>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</si>
  <si>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</si>
  <si>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</si>
  <si>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</si>
  <si>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</si>
  <si>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</si>
  <si>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</si>
  <si>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</si>
  <si>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</si>
  <si>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</si>
  <si>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</si>
  <si>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</si>
  <si>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</si>
  <si>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</si>
  <si>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</si>
  <si>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</si>
  <si>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</si>
  <si>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</si>
  <si>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</si>
  <si>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</si>
  <si>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</si>
  <si>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</si>
  <si>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</si>
  <si>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</si>
  <si>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</si>
  <si>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</si>
  <si>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</si>
  <si>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</si>
  <si>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</si>
  <si>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</si>
  <si>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</si>
  <si>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</si>
  <si>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</si>
  <si>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</si>
  <si>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</si>
  <si>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</si>
  <si>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</si>
  <si>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</si>
  <si>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</si>
  <si>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</si>
  <si>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</si>
  <si>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</si>
  <si>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</si>
  <si>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</si>
  <si>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</si>
  <si>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</si>
  <si>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</si>
  <si>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</si>
  <si>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</si>
  <si>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</si>
  <si>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</si>
  <si>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</si>
  <si>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</si>
  <si>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</si>
  <si>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</si>
  <si>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</si>
  <si>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</si>
  <si>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</si>
  <si>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</si>
  <si>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</si>
  <si>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</si>
  <si>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</si>
  <si>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</si>
  <si>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</si>
  <si>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</si>
  <si>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</si>
  <si>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</si>
  <si>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</si>
  <si>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</si>
  <si>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</si>
  <si>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</si>
  <si>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</si>
  <si>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</si>
  <si>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</si>
  <si>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</si>
  <si>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</si>
  <si>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</si>
  <si>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</si>
  <si>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</si>
  <si>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</si>
  <si>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</si>
  <si>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</si>
  <si>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</si>
  <si>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</si>
  <si>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</si>
  <si>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</si>
  <si>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</si>
  <si>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</si>
  <si>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</si>
  <si>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</si>
  <si>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</si>
  <si>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</si>
  <si>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</si>
  <si>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</si>
  <si>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</si>
  <si>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</si>
  <si>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</si>
  <si>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</si>
  <si>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</si>
  <si>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</si>
  <si>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</si>
  <si>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</si>
  <si>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</si>
  <si>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</si>
  <si>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</si>
  <si>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</si>
  <si>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</si>
  <si>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</si>
  <si>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</si>
  <si>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</si>
  <si>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</si>
  <si>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</si>
  <si>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</si>
  <si>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</si>
  <si>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</si>
  <si>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</si>
  <si>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</si>
  <si>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</si>
  <si>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</si>
  <si>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</si>
  <si>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</si>
  <si>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</si>
  <si>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</si>
  <si>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</si>
  <si>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</si>
  <si>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</si>
  <si>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</si>
  <si>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</si>
  <si>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</si>
  <si>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</si>
  <si>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</si>
  <si>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</si>
  <si>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</si>
  <si>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</si>
  <si>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</si>
  <si>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</si>
  <si>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</si>
  <si>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</si>
  <si>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</si>
  <si>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</si>
  <si>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</si>
  <si>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</si>
  <si>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</si>
  <si>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</si>
  <si>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</si>
  <si>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</si>
  <si>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</si>
  <si>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</si>
  <si>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</si>
  <si>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</si>
  <si>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</si>
  <si>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</si>
  <si>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</si>
  <si>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</si>
  <si>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</si>
  <si>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</si>
  <si>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</si>
  <si>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</si>
  <si>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</si>
  <si>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</si>
  <si>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</si>
  <si>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</si>
  <si>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</si>
  <si>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</si>
  <si>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</si>
  <si>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</si>
  <si>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</si>
  <si>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</si>
  <si>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</si>
  <si>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</si>
  <si>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</si>
  <si>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</si>
  <si>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</si>
  <si>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</si>
  <si>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</si>
  <si>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</si>
  <si>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</si>
  <si>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</si>
  <si>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</si>
  <si>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</si>
  <si>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</si>
  <si>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</si>
  <si>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</si>
  <si>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</si>
  <si>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</si>
  <si>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</si>
  <si>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</si>
  <si>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</si>
  <si>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</si>
  <si>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</si>
  <si>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</si>
  <si>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</si>
  <si>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</si>
  <si>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</si>
  <si>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</si>
  <si>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</si>
  <si>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</si>
  <si>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</si>
  <si>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</si>
  <si>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</si>
  <si>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</si>
  <si>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</si>
  <si>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</si>
  <si>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</si>
  <si>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</si>
  <si>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</si>
  <si>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</si>
  <si>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</si>
  <si>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</si>
  <si>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</si>
  <si>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</si>
  <si>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</si>
  <si>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</si>
  <si>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</si>
  <si>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</si>
  <si>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</si>
  <si>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</si>
  <si>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</si>
  <si>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</si>
  <si>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</si>
  <si>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</si>
  <si>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</si>
  <si>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</si>
  <si>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</si>
  <si>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</si>
  <si>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</si>
  <si>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</si>
  <si>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</si>
  <si>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</si>
  <si>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</si>
  <si>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</si>
  <si>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</si>
  <si>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</si>
  <si>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</si>
  <si>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</si>
  <si>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</si>
  <si>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</si>
  <si>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</si>
  <si>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</si>
  <si>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</si>
  <si>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</si>
  <si>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</si>
  <si>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</si>
  <si>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</si>
  <si>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</si>
  <si>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</si>
  <si>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</si>
  <si>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</si>
  <si>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</si>
  <si>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</si>
  <si>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</si>
  <si>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</si>
  <si>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</si>
  <si>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</si>
  <si>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</si>
  <si>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</si>
  <si>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</si>
  <si>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</si>
  <si>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</si>
  <si>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</si>
  <si>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</si>
  <si>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</si>
  <si>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</si>
  <si>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</si>
  <si>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</si>
  <si>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</si>
  <si>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</si>
  <si>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</si>
  <si>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</si>
  <si>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</si>
  <si>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</si>
  <si>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</si>
  <si>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</si>
  <si>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</si>
  <si>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</si>
  <si>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</si>
  <si>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</si>
  <si>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</si>
  <si>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</si>
  <si>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</si>
  <si>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</si>
  <si>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</si>
  <si>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</si>
  <si>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</si>
  <si>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</si>
  <si>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</si>
  <si>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</si>
  <si>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</si>
  <si>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</si>
  <si>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</si>
  <si>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</si>
  <si>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</si>
  <si>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</si>
  <si>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</si>
  <si>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</si>
  <si>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</si>
  <si>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</si>
  <si>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</si>
  <si>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</si>
  <si>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</si>
  <si>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</si>
  <si>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</si>
  <si>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</si>
  <si>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</si>
  <si>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</si>
  <si>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</si>
  <si>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</si>
  <si>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</si>
  <si>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</si>
  <si>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</si>
  <si>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</si>
  <si>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</si>
  <si>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</si>
  <si>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</si>
  <si>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</si>
  <si>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</si>
  <si>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</si>
  <si>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</si>
  <si>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</si>
  <si>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</si>
  <si>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</si>
  <si>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</si>
  <si>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</si>
  <si>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</si>
  <si>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</si>
  <si>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</si>
  <si>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</si>
  <si>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</si>
  <si>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</si>
  <si>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</si>
  <si>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</si>
  <si>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</si>
  <si>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</si>
  <si>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</si>
  <si>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</si>
  <si>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</si>
  <si>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</si>
  <si>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</si>
  <si>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</si>
  <si>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</si>
  <si>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</si>
  <si>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</si>
  <si>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</si>
  <si>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</si>
  <si>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</si>
  <si>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</si>
  <si>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</si>
  <si>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</si>
  <si>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</si>
  <si>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</si>
  <si>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</si>
  <si>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</si>
  <si>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</si>
  <si>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</si>
  <si>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</si>
  <si>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</si>
  <si>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</si>
  <si>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</si>
  <si>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</si>
  <si>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</si>
  <si>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</si>
  <si>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</si>
  <si>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</si>
  <si>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</si>
  <si>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</si>
  <si>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</si>
  <si>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</si>
  <si>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</si>
  <si>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</si>
  <si>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</si>
  <si>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</si>
  <si>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</si>
  <si>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</si>
  <si>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</si>
  <si>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</si>
  <si>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</si>
  <si>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</si>
  <si>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</si>
  <si>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</si>
  <si>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</si>
  <si>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</si>
  <si>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</si>
  <si>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</si>
  <si>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</si>
  <si>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</si>
  <si>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</si>
  <si>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</si>
  <si>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</si>
  <si>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</si>
  <si>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</si>
  <si>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</si>
  <si>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</si>
  <si>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</si>
  <si>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</si>
  <si>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</si>
  <si>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</si>
  <si>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</si>
  <si>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</si>
  <si>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</si>
  <si>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</si>
  <si>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</si>
  <si>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</si>
  <si>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</si>
  <si>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</si>
  <si>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</si>
  <si>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</si>
  <si>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</si>
  <si>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</si>
  <si>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</si>
  <si>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</si>
  <si>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</si>
  <si>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</si>
  <si>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</si>
  <si>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</si>
  <si>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</si>
  <si>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</si>
  <si>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</si>
  <si>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</si>
  <si>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</si>
  <si>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</si>
  <si>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</si>
  <si>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</si>
  <si>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</si>
  <si>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</si>
  <si>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</si>
  <si>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</si>
  <si>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</si>
  <si>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</si>
  <si>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</si>
  <si>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</si>
  <si>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</si>
  <si>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</si>
  <si>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</si>
  <si>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</si>
  <si>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</si>
  <si>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</si>
  <si>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</si>
  <si>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</si>
  <si>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</si>
  <si>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</si>
  <si>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</si>
  <si>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</si>
  <si>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</si>
  <si>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</si>
  <si>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</si>
  <si>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</si>
  <si>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</si>
  <si>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</si>
  <si>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</si>
  <si>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</si>
  <si>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</si>
  <si>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</si>
  <si>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</si>
  <si>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</si>
  <si>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</si>
  <si>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</si>
  <si>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</si>
  <si>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</si>
  <si>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</si>
  <si>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</si>
  <si>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</si>
  <si>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</si>
  <si>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</si>
  <si>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</si>
  <si>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</si>
  <si>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</si>
  <si>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</si>
  <si>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</si>
  <si>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</si>
  <si>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</si>
  <si>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</si>
  <si>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</si>
  <si>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</si>
  <si>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</si>
  <si>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</si>
  <si>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</si>
  <si>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</si>
  <si>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</si>
  <si>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</si>
  <si>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</si>
  <si>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</si>
  <si>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</si>
  <si>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</si>
  <si>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</si>
  <si>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</si>
  <si>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</si>
  <si>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</si>
  <si>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</si>
  <si>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</si>
  <si>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</si>
  <si>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</si>
  <si>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</si>
  <si>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</si>
  <si>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</si>
  <si>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</si>
  <si>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</si>
  <si>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</si>
  <si>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</si>
  <si>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</si>
  <si>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</si>
  <si>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</si>
  <si>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</si>
  <si>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</si>
  <si>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</si>
  <si>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</si>
  <si>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</si>
  <si>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</si>
  <si>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</si>
  <si>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</si>
  <si>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</si>
  <si>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</si>
  <si>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</si>
  <si>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</si>
  <si>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</si>
  <si>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</si>
  <si>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</si>
  <si>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</si>
  <si>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</si>
  <si>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</si>
  <si>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</si>
  <si>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</si>
  <si>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</si>
  <si>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</si>
  <si>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</si>
  <si>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</si>
  <si>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</si>
  <si>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</si>
  <si>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</si>
  <si>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</si>
  <si>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</si>
  <si>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</si>
  <si>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</si>
  <si>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</si>
  <si>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</si>
  <si>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</si>
  <si>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</si>
  <si>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</si>
  <si>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</si>
  <si>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</si>
  <si>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</si>
  <si>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</si>
  <si>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</si>
  <si>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</si>
  <si>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</si>
  <si>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</si>
  <si>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</si>
  <si>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</si>
  <si>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</si>
  <si>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</si>
  <si>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</si>
  <si>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</si>
  <si>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</si>
  <si>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</si>
  <si>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</si>
  <si>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</si>
  <si>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</si>
  <si>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</si>
  <si>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</si>
  <si>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</si>
  <si>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</si>
  <si>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</si>
  <si>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</si>
  <si>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</si>
  <si>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</si>
  <si>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</si>
  <si>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</si>
  <si>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</si>
  <si>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</si>
  <si>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</si>
  <si>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</si>
  <si>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</si>
  <si>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</si>
  <si>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</si>
  <si>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</si>
  <si>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</si>
  <si>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</si>
  <si>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</si>
  <si>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</si>
  <si>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</si>
  <si>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</si>
  <si>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</si>
  <si>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</si>
  <si>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</si>
  <si>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</si>
  <si>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</si>
  <si>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</si>
  <si>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</si>
  <si>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</si>
  <si>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</si>
  <si>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</si>
  <si>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</si>
  <si>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</si>
  <si>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</si>
  <si>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</si>
  <si>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</si>
  <si>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</si>
  <si>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</si>
  <si>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</si>
  <si>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</si>
  <si>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</si>
  <si>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</si>
  <si>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</si>
  <si>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</si>
  <si>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</si>
  <si>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</si>
  <si>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</si>
  <si>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</si>
  <si>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</si>
  <si>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</si>
  <si>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</si>
  <si>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</si>
  <si>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</si>
  <si>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</si>
  <si>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</si>
  <si>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</si>
  <si>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</si>
  <si>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</si>
  <si>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</si>
  <si>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</si>
  <si>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</si>
  <si>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</si>
  <si>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</si>
  <si>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</si>
  <si>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</si>
  <si>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</si>
  <si>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</si>
  <si>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</si>
  <si>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</si>
  <si>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</si>
  <si>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</si>
  <si>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</si>
  <si>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</si>
  <si>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</si>
  <si>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</si>
  <si>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</si>
  <si>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</si>
  <si>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</si>
  <si>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</si>
  <si>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</si>
  <si>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</si>
  <si>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</si>
  <si>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</si>
  <si>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</si>
  <si>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</si>
  <si>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</si>
  <si>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</si>
  <si>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</si>
  <si>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</si>
  <si>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</si>
  <si>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</si>
  <si>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</si>
  <si>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</si>
  <si>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</si>
  <si>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</si>
  <si>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</si>
  <si>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</si>
  <si>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</si>
  <si>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</si>
  <si>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</si>
  <si>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</si>
  <si>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</si>
  <si>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</si>
  <si>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</si>
  <si>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</si>
  <si>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</si>
  <si>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</si>
  <si>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</si>
  <si>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</si>
  <si>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</si>
  <si>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</si>
  <si>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</si>
  <si>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</si>
  <si>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</si>
  <si>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</si>
  <si>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</si>
  <si>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</si>
  <si>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</si>
  <si>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</si>
  <si>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</si>
  <si>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</si>
  <si>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</si>
  <si>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</si>
  <si>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</si>
  <si>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</si>
  <si>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</si>
  <si>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</si>
  <si>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</si>
  <si>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</si>
  <si>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</si>
  <si>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</si>
  <si>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</si>
  <si>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</si>
  <si>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</si>
  <si>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</si>
  <si>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</si>
  <si>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</si>
  <si>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</si>
  <si>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</si>
  <si>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</si>
  <si>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</si>
  <si>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</si>
  <si>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</si>
  <si>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</si>
  <si>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</si>
  <si>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</si>
  <si>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</si>
  <si>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</si>
  <si>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</si>
  <si>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</si>
  <si>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</si>
  <si>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</si>
  <si>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</si>
  <si>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</si>
  <si>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</si>
  <si>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</si>
  <si>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</si>
  <si>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</si>
  <si>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</si>
  <si>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</si>
  <si>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</si>
  <si>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</si>
  <si>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</si>
  <si>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</si>
  <si>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</si>
  <si>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</si>
  <si>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</si>
  <si>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</si>
  <si>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</si>
  <si>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</si>
  <si>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</si>
  <si>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</si>
  <si>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</si>
  <si>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</si>
  <si>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</si>
  <si>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</si>
  <si>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</si>
  <si>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</si>
  <si>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</si>
  <si>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</si>
  <si>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</si>
  <si>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</si>
  <si>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</si>
  <si>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</si>
  <si>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</si>
  <si>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</si>
  <si>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</si>
  <si>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</si>
  <si>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</si>
  <si>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</si>
  <si>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</si>
  <si>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</si>
  <si>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</si>
  <si>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</si>
  <si>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</si>
  <si>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</si>
  <si>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</si>
  <si>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</si>
  <si>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</si>
  <si>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</si>
  <si>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</si>
  <si>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</si>
  <si>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</si>
  <si>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</si>
  <si>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</si>
  <si>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</si>
  <si>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</si>
  <si>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</si>
  <si>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</si>
  <si>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</si>
  <si>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</si>
  <si>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</si>
  <si>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</si>
  <si>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</si>
  <si>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</si>
  <si>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</si>
  <si>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</si>
  <si>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</si>
  <si>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</si>
  <si>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</si>
  <si>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</si>
  <si>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</si>
  <si>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</si>
  <si>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</si>
  <si>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</si>
  <si>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</si>
  <si>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</si>
  <si>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</si>
  <si>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</si>
  <si>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</si>
  <si>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</si>
  <si>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</si>
  <si>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</si>
  <si>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</si>
  <si>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</si>
  <si>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</si>
  <si>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</si>
  <si>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</si>
  <si>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</si>
  <si>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</si>
  <si>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</si>
  <si>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</si>
  <si>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</si>
  <si>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</si>
  <si>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</si>
  <si>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</si>
  <si>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</si>
  <si>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</si>
  <si>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</si>
  <si>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</si>
  <si>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</si>
  <si>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</si>
  <si>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</si>
  <si>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</si>
  <si>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</si>
  <si>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</si>
  <si>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</si>
  <si>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</si>
  <si>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</si>
  <si>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</si>
  <si>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</si>
  <si>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</si>
  <si>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</si>
  <si>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</si>
  <si>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</si>
  <si>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</si>
  <si>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</si>
  <si>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</si>
  <si>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</si>
  <si>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</si>
  <si>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</si>
  <si>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</si>
  <si>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</si>
  <si>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</si>
  <si>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</si>
  <si>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</si>
  <si>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</si>
  <si>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</si>
  <si>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</si>
  <si>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</si>
  <si>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</si>
  <si>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</si>
  <si>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</si>
  <si>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</si>
  <si>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</si>
  <si>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</si>
  <si>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</si>
  <si>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</si>
  <si>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</si>
  <si>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</si>
  <si>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</si>
  <si>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</si>
  <si>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</si>
  <si>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</si>
  <si>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</si>
  <si>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</si>
  <si>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</si>
  <si>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</si>
  <si>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</si>
  <si>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</si>
  <si>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</si>
  <si>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</si>
  <si>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</si>
  <si>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</si>
  <si>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</si>
  <si>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</si>
  <si>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</si>
  <si>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</si>
  <si>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</si>
  <si>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</si>
  <si>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</si>
  <si>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</si>
  <si>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</si>
  <si>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</si>
  <si>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</si>
  <si>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</si>
  <si>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</si>
  <si>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</si>
  <si>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</si>
  <si>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</si>
  <si>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</si>
  <si>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</si>
  <si>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</si>
  <si>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</si>
  <si>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</si>
  <si>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</si>
  <si>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</si>
  <si>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</si>
  <si>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</si>
  <si>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</si>
  <si>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</si>
  <si>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</si>
  <si>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</si>
  <si>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</si>
  <si>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</si>
  <si>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</si>
  <si>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</si>
  <si>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</si>
  <si>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</si>
  <si>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</si>
  <si>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</si>
  <si>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</si>
  <si>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</si>
  <si>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</si>
  <si>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</si>
  <si>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</si>
  <si>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</si>
  <si>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</si>
  <si>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</si>
  <si>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</si>
  <si>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</si>
  <si>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</si>
  <si>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</si>
  <si>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</si>
  <si>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</si>
  <si>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</si>
  <si>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</si>
  <si>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</si>
  <si>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</si>
  <si>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</si>
  <si>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</si>
  <si>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</si>
  <si>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</si>
  <si>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</si>
  <si>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</si>
  <si>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</si>
  <si>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</si>
  <si>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</si>
  <si>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</si>
  <si>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</si>
  <si>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</si>
  <si>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</si>
  <si>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</si>
  <si>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</si>
  <si>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</si>
  <si>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</si>
  <si>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</si>
  <si>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</si>
  <si>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</si>
  <si>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</si>
  <si>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</si>
  <si>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</si>
  <si>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</si>
  <si>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</si>
  <si>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</si>
  <si>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</si>
  <si>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</si>
  <si>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</si>
  <si>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</si>
  <si>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</si>
  <si>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</si>
  <si>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</si>
  <si>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</si>
  <si>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</si>
  <si>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</si>
  <si>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</si>
  <si>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</si>
  <si>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</si>
  <si>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</si>
  <si>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</si>
  <si>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</si>
  <si>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</si>
  <si>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</si>
  <si>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</si>
  <si>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</si>
  <si>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</si>
  <si>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</si>
  <si>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</si>
  <si>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</si>
  <si>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</si>
  <si>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</si>
  <si>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</si>
  <si>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</si>
  <si>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</si>
  <si>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</si>
  <si>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</si>
  <si>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</si>
  <si>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</si>
  <si>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</si>
  <si>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</si>
  <si>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</si>
  <si>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</si>
  <si>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</si>
  <si>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</si>
  <si>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</si>
  <si>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</si>
  <si>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</si>
  <si>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</si>
  <si>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</si>
  <si>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</si>
  <si>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</si>
  <si>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</si>
  <si>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</si>
  <si>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</si>
  <si>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</si>
  <si>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</si>
  <si>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</si>
  <si>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</si>
  <si>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</si>
  <si>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</si>
  <si>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</si>
  <si>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</si>
  <si>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</si>
  <si>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</si>
  <si>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</si>
  <si>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</si>
  <si>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</si>
  <si>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</si>
  <si>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</si>
  <si>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</si>
  <si>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</si>
  <si>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</si>
  <si>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</si>
  <si>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</si>
  <si>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</si>
  <si>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</si>
  <si>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</si>
  <si>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</si>
  <si>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</si>
  <si>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</si>
  <si>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</si>
  <si>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</si>
  <si>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</si>
  <si>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</si>
  <si>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</si>
  <si>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</si>
  <si>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</si>
  <si>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</si>
  <si>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</si>
  <si>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</si>
  <si>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</si>
  <si>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</si>
  <si>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</si>
  <si>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</si>
  <si>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</si>
  <si>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</si>
  <si>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</si>
  <si>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</si>
  <si>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</si>
  <si>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</si>
  <si>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</si>
  <si>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</si>
  <si>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</si>
  <si>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</si>
  <si>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</si>
  <si>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</si>
  <si>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</si>
  <si>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</si>
  <si>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</si>
  <si>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</si>
  <si>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</si>
  <si>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</si>
  <si>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</si>
  <si>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</si>
  <si>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</si>
  <si>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</si>
  <si>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</si>
  <si>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</si>
  <si>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</si>
  <si>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</si>
  <si>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</si>
  <si>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</si>
  <si>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</si>
  <si>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</si>
  <si>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</si>
  <si>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</si>
  <si>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</si>
  <si>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</si>
  <si>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</si>
  <si>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</si>
  <si>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</si>
  <si>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</si>
  <si>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</si>
  <si>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</si>
  <si>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</si>
  <si>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</si>
  <si>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</si>
  <si>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</si>
  <si>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</si>
  <si>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</si>
  <si>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</si>
  <si>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</si>
  <si>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</si>
  <si>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</si>
  <si>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</si>
  <si>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</si>
  <si>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</si>
  <si>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</si>
  <si>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</si>
  <si>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</si>
  <si>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</si>
  <si>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</si>
  <si>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</si>
  <si>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</si>
  <si>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</si>
  <si>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</si>
  <si>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</si>
  <si>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</si>
  <si>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</si>
  <si>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</si>
  <si>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</si>
  <si>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</si>
  <si>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</si>
  <si>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</si>
  <si>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</si>
  <si>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</si>
  <si>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</si>
  <si>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</si>
  <si>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</si>
  <si>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</si>
  <si>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</si>
  <si>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</si>
  <si>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</si>
  <si>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</si>
  <si>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</si>
  <si>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</si>
  <si>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</si>
  <si>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</si>
  <si>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</si>
  <si>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</si>
  <si>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</si>
  <si>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</si>
  <si>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</si>
  <si>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</si>
  <si>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</si>
  <si>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</si>
  <si>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</si>
  <si>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</si>
  <si>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</si>
  <si>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</si>
  <si>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</si>
  <si>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</si>
  <si>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</si>
  <si>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</si>
  <si>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</si>
  <si>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</si>
  <si>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</si>
  <si>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</si>
  <si>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</si>
  <si>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</si>
  <si>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</si>
  <si>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</si>
  <si>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</si>
  <si>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</si>
  <si>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</si>
  <si>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</si>
  <si>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</si>
  <si>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</si>
  <si>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</si>
  <si>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</si>
  <si>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</si>
  <si>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</si>
  <si>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</si>
  <si>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</si>
  <si>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</si>
  <si>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</si>
  <si>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</si>
  <si>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</si>
  <si>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</si>
  <si>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</si>
  <si>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</si>
  <si>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</si>
  <si>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</si>
  <si>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</si>
  <si>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</si>
  <si>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</si>
  <si>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</si>
  <si>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</si>
  <si>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</si>
  <si>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</si>
  <si>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</si>
  <si>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</si>
  <si>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</si>
  <si>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</si>
  <si>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</si>
  <si>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</si>
  <si>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</si>
  <si>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</si>
  <si>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</si>
  <si>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</si>
  <si>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</si>
  <si>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</si>
  <si>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</si>
  <si>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</si>
  <si>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</si>
  <si>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</si>
  <si>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</si>
  <si>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</si>
  <si>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</si>
  <si>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</si>
  <si>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</si>
  <si>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</si>
  <si>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</si>
  <si>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</si>
  <si>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</si>
  <si>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</si>
  <si>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</si>
  <si>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</si>
  <si>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</si>
  <si>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</si>
  <si>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</si>
  <si>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</si>
  <si>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</si>
  <si>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</si>
  <si>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</si>
  <si>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</si>
  <si>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</si>
  <si>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</si>
  <si>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</si>
  <si>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</si>
  <si>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</si>
  <si>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</si>
  <si>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</si>
  <si>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</si>
  <si>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</si>
  <si>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</si>
  <si>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</si>
  <si>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</si>
  <si>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</si>
  <si>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</si>
  <si>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</si>
  <si>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</si>
  <si>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</si>
  <si>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</si>
  <si>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</si>
  <si>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</si>
  <si>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</si>
  <si>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</si>
  <si>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</si>
  <si>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</si>
  <si>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</si>
  <si>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</si>
  <si>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</si>
  <si>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</si>
  <si>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</si>
  <si>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</si>
  <si>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</si>
  <si>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</si>
  <si>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</si>
  <si>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</si>
  <si>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</si>
  <si>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</si>
  <si>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</si>
  <si>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</si>
  <si>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</si>
  <si>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</si>
  <si>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</si>
  <si>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</si>
  <si>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</si>
  <si>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</si>
  <si>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</si>
  <si>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</si>
  <si>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</si>
  <si>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06.07.2026</t>
  </si>
  <si>
    <t>Toplam Stok Miktarı
06.07.2026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</si>
</sst>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Dashboard!$K$6:$K$104</c:f>
              <c:numCache>
                <c:formatCode>m/d/yyyy</c:formatCode>
                <c:ptCount val="99"/>
                <c:pt idx="0">
                  <c:v>46209</c:v>
                </c:pt>
                <c:pt idx="1">
                  <c:v>46202</c:v>
                </c:pt>
                <c:pt idx="2">
                  <c:v>46195</c:v>
                </c:pt>
                <c:pt idx="3">
                  <c:v>46188</c:v>
                </c:pt>
                <c:pt idx="4">
                  <c:v>46181</c:v>
                </c:pt>
                <c:pt idx="5">
                  <c:v>46174</c:v>
                </c:pt>
                <c:pt idx="6">
                  <c:v>46160</c:v>
                </c:pt>
                <c:pt idx="7">
                  <c:v>46153</c:v>
                </c:pt>
                <c:pt idx="8">
                  <c:v>46146</c:v>
                </c:pt>
                <c:pt idx="9">
                  <c:v>46139</c:v>
                </c:pt>
                <c:pt idx="10">
                  <c:v>46132</c:v>
                </c:pt>
                <c:pt idx="11">
                  <c:v>46125</c:v>
                </c:pt>
                <c:pt idx="12">
                  <c:v>46118</c:v>
                </c:pt>
                <c:pt idx="13">
                  <c:v>46111</c:v>
                </c:pt>
                <c:pt idx="14">
                  <c:v>46104</c:v>
                </c:pt>
                <c:pt idx="15">
                  <c:v>46097</c:v>
                </c:pt>
                <c:pt idx="16">
                  <c:v>46090</c:v>
                </c:pt>
                <c:pt idx="17">
                  <c:v>46083</c:v>
                </c:pt>
                <c:pt idx="18">
                  <c:v>46076</c:v>
                </c:pt>
                <c:pt idx="19">
                  <c:v>46069</c:v>
                </c:pt>
                <c:pt idx="20">
                  <c:v>46062</c:v>
                </c:pt>
                <c:pt idx="21">
                  <c:v>46055</c:v>
                </c:pt>
                <c:pt idx="22">
                  <c:v>46048</c:v>
                </c:pt>
                <c:pt idx="23">
                  <c:v>46041</c:v>
                </c:pt>
                <c:pt idx="24">
                  <c:v>46034</c:v>
                </c:pt>
                <c:pt idx="25">
                  <c:v>46027</c:v>
                </c:pt>
                <c:pt idx="26">
                  <c:v>46020</c:v>
                </c:pt>
                <c:pt idx="27">
                  <c:v>46013</c:v>
                </c:pt>
                <c:pt idx="28">
                  <c:v>46006</c:v>
                </c:pt>
                <c:pt idx="29">
                  <c:v>45999</c:v>
                </c:pt>
                <c:pt idx="30">
                  <c:v>45992</c:v>
                </c:pt>
                <c:pt idx="31">
                  <c:v>45985</c:v>
                </c:pt>
                <c:pt idx="32">
                  <c:v>45978</c:v>
                </c:pt>
                <c:pt idx="33">
                  <c:v>45971</c:v>
                </c:pt>
                <c:pt idx="34">
                  <c:v>45964</c:v>
                </c:pt>
                <c:pt idx="35">
                  <c:v>45950</c:v>
                </c:pt>
                <c:pt idx="36">
                  <c:v>45943</c:v>
                </c:pt>
                <c:pt idx="37">
                  <c:v>45936</c:v>
                </c:pt>
                <c:pt idx="38">
                  <c:v>45929</c:v>
                </c:pt>
                <c:pt idx="39">
                  <c:v>45919</c:v>
                </c:pt>
                <c:pt idx="40">
                  <c:v>45908</c:v>
                </c:pt>
                <c:pt idx="41">
                  <c:v>45896</c:v>
                </c:pt>
                <c:pt idx="42">
                  <c:v>45866</c:v>
                </c:pt>
                <c:pt idx="43">
                  <c:v>45840</c:v>
                </c:pt>
                <c:pt idx="44">
                  <c:v>45824</c:v>
                </c:pt>
                <c:pt idx="45">
                  <c:v>45805</c:v>
                </c:pt>
                <c:pt idx="46">
                  <c:v>45797</c:v>
                </c:pt>
                <c:pt idx="47">
                  <c:v>45783</c:v>
                </c:pt>
                <c:pt idx="48">
                  <c:v>45769</c:v>
                </c:pt>
                <c:pt idx="49">
                  <c:v>45762</c:v>
                </c:pt>
                <c:pt idx="50">
                  <c:v>45750</c:v>
                </c:pt>
                <c:pt idx="51">
                  <c:v>45741</c:v>
                </c:pt>
                <c:pt idx="52">
                  <c:v>45736</c:v>
                </c:pt>
                <c:pt idx="53">
                  <c:v>45726</c:v>
                </c:pt>
                <c:pt idx="54">
                  <c:v>45723</c:v>
                </c:pt>
                <c:pt idx="55">
                  <c:v>45716</c:v>
                </c:pt>
                <c:pt idx="56">
                  <c:v>45712</c:v>
                </c:pt>
                <c:pt idx="57">
                  <c:v>45705</c:v>
                </c:pt>
                <c:pt idx="58">
                  <c:v>45702</c:v>
                </c:pt>
                <c:pt idx="59">
                  <c:v>45698</c:v>
                </c:pt>
                <c:pt idx="60">
                  <c:v>45691</c:v>
                </c:pt>
                <c:pt idx="61">
                  <c:v>45684</c:v>
                </c:pt>
                <c:pt idx="62">
                  <c:v>45677</c:v>
                </c:pt>
                <c:pt idx="63">
                  <c:v>45672</c:v>
                </c:pt>
                <c:pt idx="64">
                  <c:v>45656</c:v>
                </c:pt>
                <c:pt idx="65">
                  <c:v>45649</c:v>
                </c:pt>
                <c:pt idx="66">
                  <c:v>45642</c:v>
                </c:pt>
                <c:pt idx="67">
                  <c:v>45635</c:v>
                </c:pt>
                <c:pt idx="68">
                  <c:v>45630</c:v>
                </c:pt>
                <c:pt idx="69">
                  <c:v>45614</c:v>
                </c:pt>
                <c:pt idx="70">
                  <c:v>45608</c:v>
                </c:pt>
                <c:pt idx="71">
                  <c:v>45596</c:v>
                </c:pt>
                <c:pt idx="72">
                  <c:v>45580</c:v>
                </c:pt>
                <c:pt idx="73">
                  <c:v>45570</c:v>
                </c:pt>
                <c:pt idx="74">
                  <c:v>45563</c:v>
                </c:pt>
                <c:pt idx="75">
                  <c:v>45552</c:v>
                </c:pt>
                <c:pt idx="76">
                  <c:v>45539</c:v>
                </c:pt>
                <c:pt idx="77">
                  <c:v>45524</c:v>
                </c:pt>
                <c:pt idx="78">
                  <c:v>45511</c:v>
                </c:pt>
                <c:pt idx="79">
                  <c:v>45500</c:v>
                </c:pt>
                <c:pt idx="80">
                  <c:v>45490</c:v>
                </c:pt>
                <c:pt idx="81">
                  <c:v>45478</c:v>
                </c:pt>
                <c:pt idx="82">
                  <c:v>45467</c:v>
                </c:pt>
                <c:pt idx="83">
                  <c:v>45455</c:v>
                </c:pt>
                <c:pt idx="84">
                  <c:v>45442</c:v>
                </c:pt>
                <c:pt idx="85">
                  <c:v>45427</c:v>
                </c:pt>
                <c:pt idx="86">
                  <c:v>45427</c:v>
                </c:pt>
                <c:pt idx="87">
                  <c:v>45411</c:v>
                </c:pt>
                <c:pt idx="88">
                  <c:v>45397</c:v>
                </c:pt>
                <c:pt idx="89">
                  <c:v>45376</c:v>
                </c:pt>
                <c:pt idx="90">
                  <c:v>45364</c:v>
                </c:pt>
                <c:pt idx="91">
                  <c:v>45352</c:v>
                </c:pt>
                <c:pt idx="92">
                  <c:v>45334</c:v>
                </c:pt>
                <c:pt idx="93">
                  <c:v>45320</c:v>
                </c:pt>
                <c:pt idx="94">
                  <c:v>45313</c:v>
                </c:pt>
                <c:pt idx="95">
                  <c:v>45293</c:v>
                </c:pt>
                <c:pt idx="96">
                  <c:v>45285</c:v>
                </c:pt>
                <c:pt idx="97">
                  <c:v>45275</c:v>
                </c:pt>
                <c:pt idx="98">
                  <c:v>45173</c:v>
                </c:pt>
              </c:numCache>
            </c:numRef>
          </c:cat>
          <c:val>
            <c:numRef>
              <c:f>Dashboard!$L$6:$L$104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09.52013449074" createdVersion="8" refreshedVersion="8" minRefreshableVersion="3" recordCount="437" xr:uid="{1CFC1990-4319-42C1-A618-B7EEA4511A58}">
  <cacheSource type="worksheet">
    <worksheetSource ref="A1:DH438" sheet="Stok"/>
  </cacheSource>
  <cacheFields count="112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497.01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9105653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4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497.0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998.400000000001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6247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E459FD-6EDA-4050-8DEA-92B72A9B2622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2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6.07.2026" fld="11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3"/>
          </reference>
        </references>
      </pivotArea>
    </format>
    <format dxfId="18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910565300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910565300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4" totalsRowShown="0" headerRowDxfId="6" dataDxfId="4" headerRowBorderDxfId="5" tableBorderDxfId="3" totalsRowBorderDxfId="2">
  <autoFilter ref="K5:L104" xr:uid="{E5E02A0B-EBAC-497B-8F95-E1A614B153BB}">
    <filterColumn colId="0" hiddenButton="1"/>
    <filterColumn colId="1" hiddenButton="1"/>
  </autoFilter>
  <sortState xmlns:xlrd2="http://schemas.microsoft.com/office/spreadsheetml/2017/richdata2" ref="K6:L104">
    <sortCondition descending="1" ref="K76:K104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89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1553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46209</v>
      </c>
      <c r="L6" s="59" t="str">
        <f>IFERROR(VLOOKUP($A$2,Stok!$B$1:$DH$438,111,0),"")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46202</v>
      </c>
      <c r="L7" s="59" t="str">
        <f>IFERROR(VLOOKUP($A$2,Stok!$B$1:$DG$438,110,0),"")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46195</v>
      </c>
      <c r="L8" s="59" t="str">
        <f>IFERROR(VLOOKUP($A$2,Stok!$B$1:$DF$438,109,0),"")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46188</v>
      </c>
      <c r="L9" s="59" t="str">
        <f>IFERROR(VLOOKUP($A$2,Stok!$B$1:$DE$438,108,0),"")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46181</v>
      </c>
      <c r="L10" s="59" t="str">
        <f>IFERROR(VLOOKUP($A$2,Stok!$B$1:$DD$438,107,0),"")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46174</v>
      </c>
      <c r="L11" s="59" t="str">
        <f>IFERROR(VLOOKUP($A$2,Stok!$B$1:$DC$438,106,0),"")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46160</v>
      </c>
      <c r="L12" s="59" t="str">
        <f>IFERROR(VLOOKUP($A$2,Stok!$B$1:$DB$438,105,0),"")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46153</v>
      </c>
      <c r="L13" s="59" t="str">
        <f>IFERROR(VLOOKUP($A$2,Stok!$B$1:$DA$438,104,0),"")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46146</v>
      </c>
      <c r="L14" s="59" t="str">
        <f>IFERROR(VLOOKUP($A$2,Stok!$B$1:$CZ$438,103,0),"")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46139</v>
      </c>
      <c r="L15" s="59" t="str">
        <f>IFERROR(VLOOKUP($A$2,Stok!$B$1:$CY$438,102,0),"")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46132</v>
      </c>
      <c r="L16" s="59" t="str">
        <f>IFERROR(VLOOKUP($A$2,Stok!$B$1:$CX$438,101,0),"")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46125</v>
      </c>
      <c r="L17" s="59" t="str">
        <f>IFERROR(VLOOKUP($A$2,Stok!$B$1:$CW$438,100,0),"")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46118</v>
      </c>
      <c r="L18" s="59" t="str">
        <f>IFERROR(VLOOKUP($A$2,Stok!$B$1:$CV$438,99,0),"")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46111</v>
      </c>
      <c r="L19" s="59" t="str">
        <f>IFERROR(VLOOKUP($A$2,Stok!$B$1:$CU$438,98,0),"")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46104</v>
      </c>
      <c r="L20" s="59" t="str">
        <f>IFERROR(VLOOKUP($A$2,Stok!$B$1:$CT$438,97,0),"")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46097</v>
      </c>
      <c r="L21" s="59" t="str">
        <f>IFERROR(VLOOKUP($A$2,Stok!$B$1:$CS$438,96,0),"")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46090</v>
      </c>
      <c r="L22" s="59" t="str">
        <f>IFERROR(VLOOKUP($A$2,Stok!$B$1:$CR$438,95,0),"")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46083</v>
      </c>
      <c r="L23" s="59" t="str">
        <f>IFERROR(VLOOKUP($A$2,Stok!$B$1:$CQ$438,94,0),"")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46076</v>
      </c>
      <c r="L24" s="59" t="str">
        <f>IFERROR(VLOOKUP($A$2,Stok!$B$1:$CP$438,93,0),"")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46069</v>
      </c>
      <c r="L25" s="59" t="str">
        <f>IFERROR(VLOOKUP($A$2,Stok!$B$1:$CO$438,92,0),"")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46062</v>
      </c>
      <c r="L26" s="59" t="str">
        <f>IFERROR(VLOOKUP($A$2,Stok!$B$1:$CN$438,91,0),"")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46055</v>
      </c>
      <c r="L27" s="59" t="str">
        <f>IFERROR(VLOOKUP($A$2,Stok!$B$1:$CM$438,90,0),"")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46048</v>
      </c>
      <c r="L28" s="59" t="str">
        <f>IFERROR(VLOOKUP($A$2,Stok!$B$1:$CL$438,89,0),"")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46041</v>
      </c>
      <c r="L29" s="59" t="str">
        <f>IFERROR(VLOOKUP($A$2,Stok!$B$1:$CK$438,88,0),"")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46034</v>
      </c>
      <c r="L30" s="59" t="str">
        <f>IFERROR(VLOOKUP($A$2,Stok!$B$1:$CJ$438,87,0),"")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46027</v>
      </c>
      <c r="L31" s="59" t="str">
        <f>IFERROR(VLOOKUP($A$2,Stok!$B$1:$CI$438,86,0),"")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46020</v>
      </c>
      <c r="L32" s="59" t="str">
        <f>IFERROR(VLOOKUP($A$2,Stok!$B$1:$CH$438,85,0),"")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46013</v>
      </c>
      <c r="L33" s="59" t="str">
        <f>IFERROR(VLOOKUP($A$2,Stok!$B$1:$CG$438,84,0),"")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46006</v>
      </c>
      <c r="L34" s="59" t="str">
        <f>IFERROR(VLOOKUP($A$2,Stok!$B$1:$CF$438,83,0),"")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45999</v>
      </c>
      <c r="L35" s="59" t="str">
        <f>IFERROR(VLOOKUP($A$2,Stok!$B$1:$CE$438,82,0),"")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45992</v>
      </c>
      <c r="L36" s="59" t="str">
        <f>IFERROR(VLOOKUP($A$2,Stok!$B$1:$CD$438,81,0),"")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45985</v>
      </c>
      <c r="L37" s="59" t="str">
        <f>IFERROR(VLOOKUP($A$2,Stok!$B$1:$CC$438,80,0),"")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45978</v>
      </c>
      <c r="L38" s="59" t="str">
        <f>IFERROR(VLOOKUP($A$2,Stok!$B$1:$CB$438,79,0),"")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45971</v>
      </c>
      <c r="L39" s="59" t="str">
        <f>IFERROR(VLOOKUP($A$2,Stok!$B$1:$CA$438,78,0),"")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45964</v>
      </c>
      <c r="L40" s="59" t="str">
        <f>IFERROR(VLOOKUP($A$2,Stok!$B$1:$BZ$438,77,0),"")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45950</v>
      </c>
      <c r="L41" s="59" t="str">
        <f>IFERROR(VLOOKUP($A$2,Stok!$B$1:$BY$438,76,0),"")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45943</v>
      </c>
      <c r="L42" s="59" t="str">
        <f>IFERROR(VLOOKUP($A$2,Stok!$B$1:$BX$438,75,0),"")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45936</v>
      </c>
      <c r="L43" s="59" t="str">
        <f>IFERROR(VLOOKUP($A$2,Stok!$B$1:$BW$438,74,0),"")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45929</v>
      </c>
      <c r="L44" s="59" t="str">
        <f>IFERROR(VLOOKUP($A$2,Stok!$B$1:$BV$438,73,0),"")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45919</v>
      </c>
      <c r="L45" s="59" t="str">
        <f>IFERROR(VLOOKUP($A$2,Stok!$B$1:$BU$438,72,0),"")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45908</v>
      </c>
      <c r="L46" s="59" t="str">
        <f>IFERROR(VLOOKUP($A$2,Stok!$B$1:$BT$438,71,0),"")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45896</v>
      </c>
      <c r="L47" s="59" t="str">
        <f>IFERROR(VLOOKUP($A$2,Stok!$B$1:$BS$438,70,0),"")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45866</v>
      </c>
      <c r="L48" s="59" t="str">
        <f>IFERROR(VLOOKUP($A$2,Stok!$B$1:$BR$438,69,0),"")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45840</v>
      </c>
      <c r="L49" s="59" t="str">
        <f>IFERROR(VLOOKUP($A$2,Stok!$B$1:$BQ$438,68,0),"")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45824</v>
      </c>
      <c r="L50" s="59" t="str">
        <f>IFERROR(VLOOKUP($A$2,Stok!$B$1:$BP$438,67,0),"")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45805</v>
      </c>
      <c r="L51" s="59" t="str">
        <f>IFERROR(VLOOKUP($A$2,Stok!$B$1:$BO$438,66,0),"")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45797</v>
      </c>
      <c r="L52" s="59" t="str">
        <f>IFERROR(VLOOKUP($A$2,Stok!$B$1:$BN$438,65,0),"")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45783</v>
      </c>
      <c r="L53" s="59" t="str">
        <f>IFERROR(VLOOKUP($A$2,Stok!$B$1:$BM$438,64,0),"")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45769</v>
      </c>
      <c r="L54" s="59" t="str">
        <f>IFERROR(VLOOKUP($A$2,Stok!$B$1:$BL$438,63,0),"")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45762</v>
      </c>
      <c r="L55" s="59" t="str">
        <f>IFERROR(VLOOKUP($A$2,Stok!$B$1:$BK$438,62,0),"")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45750</v>
      </c>
      <c r="L56" s="59" t="str">
        <f>IFERROR(VLOOKUP($A$2,Stok!$B$1:$BJ$438,61,0),"")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45741</v>
      </c>
      <c r="L57" s="59" t="str">
        <f>IFERROR(VLOOKUP($A$2,Stok!$B$1:$BI$438,60,0),"")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45736</v>
      </c>
      <c r="L58" s="59" t="str">
        <f>IFERROR(VLOOKUP($A$2,Stok!$B$1:$BH$438,59,0),"")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45726</v>
      </c>
      <c r="L59" s="59" t="str">
        <f>IFERROR(VLOOKUP($A$2,Stok!$B$1:$BG$438,58,0),"")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45723</v>
      </c>
      <c r="L60" s="59" t="str">
        <f>IFERROR(VLOOKUP($A$2,Stok!$B$1:$BF$438,57,0),"")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45716</v>
      </c>
      <c r="L61" s="59" t="str">
        <f>IFERROR(VLOOKUP($A$2,Stok!$B$1:$BE$438,56,0),"")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45712</v>
      </c>
      <c r="L62" s="59" t="str">
        <f>IFERROR(VLOOKUP($A$2,Stok!$B$1:$BD$438,55,0),"")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45705</v>
      </c>
      <c r="L63" s="59" t="str">
        <f>IFERROR(VLOOKUP($A$2,Stok!$B$1:$BC$438,54,0),"")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45702</v>
      </c>
      <c r="L64" s="59" t="str">
        <f>IFERROR(VLOOKUP($A$2,Stok!$B$1:$BB$438,53,0),"")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45698</v>
      </c>
      <c r="L65" s="59" t="str">
        <f>IFERROR(VLOOKUP($A$2,Stok!$B$1:$BA$438,52,0),"")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45691</v>
      </c>
      <c r="L66" s="59" t="str">
        <f>IFERROR(VLOOKUP($A$2,Stok!$B$1:$AZ$438,51,0),"")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45684</v>
      </c>
      <c r="L67" s="59" t="str">
        <f>IFERROR(VLOOKUP($A$2,Stok!$B$1:$AY$438,50,0),"")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45677</v>
      </c>
      <c r="L68" s="59" t="str">
        <f>IFERROR(VLOOKUP($A$2,Stok!$B$1:$AX$438,49,0),"")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45672</v>
      </c>
      <c r="L69" s="59" t="str">
        <f>IFERROR(VLOOKUP($A$2,Stok!$B$1:$AW$438,48,0),"")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45656</v>
      </c>
      <c r="L70" s="59" t="str">
        <f>IFERROR(VLOOKUP($A$2,Stok!$B$1:$AV$438,47,0),"")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45649</v>
      </c>
      <c r="L71" s="59" t="str">
        <f>IFERROR(VLOOKUP($A$2,Stok!$B$1:$AU$438,46,0),"")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45642</v>
      </c>
      <c r="L72" s="59" t="str">
        <f>IFERROR(VLOOKUP($A$2,Stok!$B$1:$AT$438,45,0),"")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45635</v>
      </c>
      <c r="L73" s="59" t="str">
        <f>IFERROR(VLOOKUP($A$2,Stok!$B$1:$AS$438,44,0),"")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45630</v>
      </c>
      <c r="L74" s="59" t="str">
        <f>IFERROR(VLOOKUP($A$2,Stok!$B$1:$AR$438,43,0),"")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45614</v>
      </c>
      <c r="L75" s="59" t="str">
        <f>IFERROR(VLOOKUP($A$2,Stok!$B$1:$AQ$438,42,0),"")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45608</v>
      </c>
      <c r="L76" s="59" t="str">
        <f>IFERROR(VLOOKUP($A$2,Stok!$B$1:$AP$438,41,0),"")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45596</v>
      </c>
      <c r="L77" s="59" t="str">
        <f>IFERROR(VLOOKUP($A$2,Stok!$B$1:$AO$438,40,0),"")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45580</v>
      </c>
      <c r="L78" s="59" t="str">
        <f>IFERROR(VLOOKUP($A$2,Stok!$B$1:$AN$438,39,0),"")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45570</v>
      </c>
      <c r="L79" s="59" t="str">
        <f>IFERROR(VLOOKUP($A$2,Stok!$B$1:$AM$438,38,0),"")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45563</v>
      </c>
      <c r="L80" s="59" t="str">
        <f>IFERROR(VLOOKUP($A$2,Stok!$B$1:$AL$438,37,0),"")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45552</v>
      </c>
      <c r="L81" s="59" t="str">
        <f>IFERROR(VLOOKUP($A$2,Stok!$B$1:$AK$438,36,0),"")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45539</v>
      </c>
      <c r="L82" s="59" t="str">
        <f>IFERROR(VLOOKUP($A$2,Stok!$B$1:$AJ$438,35,0),"")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45524</v>
      </c>
      <c r="L83" s="59" t="str">
        <f>IFERROR(VLOOKUP($A$2,Stok!$B$1:$AI$438,34,0),"")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45511</v>
      </c>
      <c r="L84" s="59" t="str">
        <f>IFERROR(VLOOKUP($A$2,Stok!$B$1:$AH$438,33,0),"")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45500</v>
      </c>
      <c r="L85" s="59" t="str">
        <f>IFERROR(VLOOKUP($A$2,Stok!$B$1:$AG$438,32,0),"")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45490</v>
      </c>
      <c r="L86" s="59" t="str">
        <f>IFERROR(VLOOKUP($A$2,Stok!$B$1:$AF$438,31,0),"")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45478</v>
      </c>
      <c r="L87" s="59" t="str">
        <f>IFERROR(VLOOKUP($A$2,Stok!$B$1:$AE$438,30,0),"")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45467</v>
      </c>
      <c r="L88" s="59" t="str">
        <f>IFERROR(VLOOKUP($A$2,Stok!$B$1:$AD$438,29,0),"")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45455</v>
      </c>
      <c r="L89" s="59" t="str">
        <f>IFERROR(VLOOKUP($A$2,Stok!$B$1:$AC$438,28,0),"")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45442</v>
      </c>
      <c r="L90" s="59" t="str">
        <f>IFERROR(VLOOKUP($A$2,Stok!$B$1:$AB$438,27,0),"")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45427</v>
      </c>
      <c r="L91" s="59" t="str">
        <f>IFERROR(VLOOKUP($A$2,Stok!$B$1:$AA$438,25,0),"")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IFERROR(VLOOKUP($A$2,Stok!$B$1:$AA$438,26,0),"")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45411</v>
      </c>
      <c r="L93" s="59" t="str">
        <f>IFERROR(VLOOKUP($A$2,Stok!$B$1:$AA$438,24,0),"")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45397</v>
      </c>
      <c r="L94" s="59" t="str">
        <f>IFERROR(VLOOKUP($A$2,Stok!$B$1:$AA$438,23,0),"")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45376</v>
      </c>
      <c r="L95" s="59" t="str">
        <f>IFERROR(VLOOKUP($A$2,Stok!$B$1:$AA$438,22,0),"")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45364</v>
      </c>
      <c r="L96" s="59" t="str">
        <f>IFERROR(VLOOKUP($A$2,Stok!$B$1:$AA$438,21,0),"")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45352</v>
      </c>
      <c r="L97" s="59" t="str">
        <f>IFERROR(VLOOKUP($A$2,Stok!$B$1:$AA$438,20,0),"")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45334</v>
      </c>
      <c r="L98" s="59" t="str">
        <f>IFERROR(VLOOKUP($A$2,Stok!$B$1:$AA$438,19,0),"")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45320</v>
      </c>
      <c r="L99" s="59" t="str">
        <f>IFERROR(VLOOKUP($A$2,Stok!$B$1:$AA$438,18,0),"")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45313</v>
      </c>
      <c r="L100" s="59" t="str">
        <f>IFERROR(VLOOKUP($A$2,Stok!$B$1:$AA$438,17,0),"")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60">
        <v>45293</v>
      </c>
      <c r="L101" s="59" t="str">
        <f>IFERROR(VLOOKUP($A$2,Stok!$B$1:$AA$438,16,0),"")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45285</v>
      </c>
      <c r="L102" s="70" t="str">
        <f>IFERROR(VLOOKUP($A$2,Stok!$B$1:$AA$438,15,0),"")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58">
        <v>45275</v>
      </c>
      <c r="L103" s="70" t="str">
        <f>IFERROR(VLOOKUP($A$2,Stok!$B$1:$AA$438,14,0),"")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60">
        <v>45173</v>
      </c>
      <c r="L104" s="70" t="str">
        <f>IFERROR(VLOOKUP($A$2,Stok!$B$1:$AA$438,8,0),"")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62268.422391040032</v>
      </c>
      <c r="I118" s="133">
        <v>56688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400</v>
      </c>
      <c r="I125" s="133">
        <v>2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900</v>
      </c>
      <c r="I197" s="133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1607.375</v>
      </c>
      <c r="I233" s="133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3.8592000000000004</v>
      </c>
      <c r="I252" s="133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234386.5</v>
      </c>
      <c r="I346" s="133">
        <v>661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6078.2099999999991</v>
      </c>
      <c r="I358" s="133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45998.400000000001</v>
      </c>
      <c r="I365" s="133">
        <v>74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36247.08</v>
      </c>
      <c r="I373" s="133">
        <v>276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241007.96</v>
      </c>
      <c r="I472" s="133">
        <v>1253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131497.01999999999</v>
      </c>
      <c r="I475" s="133">
        <v>622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647507.58672322135</v>
      </c>
      <c r="I478" s="137">
        <v>68133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</sheetData>
  <mergeCells count="2">
    <mergeCell ref="Y1:AE1"/>
    <mergeCell ref="X2:AB2"/>
  </mergeCells>
  <pageMargins left="0.7" right="0.7" top="0.75" bottom="0.75" header="0.3" footer="0.3"/>
  <ignoredErrors>
    <ignoredError sqref="L6:L104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H438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2" width="14.26953125" style="76" customWidth="1"/>
    <col min="113" max="16384" width="8.90625" style="13"/>
  </cols>
  <sheetData>
    <row r="1" spans="1:112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</row>
    <row r="2" spans="1:112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M2*DH2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</row>
    <row r="3" spans="1:112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M3*DH3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</row>
    <row r="4" spans="1:112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</row>
    <row r="5" spans="1:112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</row>
    <row r="6" spans="1:112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</row>
    <row r="7" spans="1:112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</row>
    <row r="8" spans="1:112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</row>
    <row r="9" spans="1:112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</row>
    <row r="10" spans="1:112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</row>
    <row r="11" spans="1:112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</row>
    <row r="12" spans="1:112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</row>
    <row r="13" spans="1:112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</row>
    <row r="14" spans="1:112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</row>
    <row r="15" spans="1:112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</row>
    <row r="16" spans="1:112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</row>
    <row r="17" spans="1:112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</row>
    <row r="18" spans="1:112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</row>
    <row r="19" spans="1:112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</row>
    <row r="20" spans="1:112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</row>
    <row r="21" spans="1:112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</row>
    <row r="22" spans="1:112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</row>
    <row r="23" spans="1:112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</row>
    <row r="24" spans="1:112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</row>
    <row r="25" spans="1:112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</row>
    <row r="26" spans="1:112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</row>
    <row r="27" spans="1:112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</row>
    <row r="28" spans="1:112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</row>
    <row r="29" spans="1:112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</row>
    <row r="30" spans="1:112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</row>
    <row r="31" spans="1:112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</row>
    <row r="32" spans="1:112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</row>
    <row r="33" spans="1:112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</row>
    <row r="34" spans="1:112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</row>
    <row r="35" spans="1:112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</row>
    <row r="36" spans="1:112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</row>
    <row r="37" spans="1:112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</row>
    <row r="38" spans="1:112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</row>
    <row r="39" spans="1:112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</row>
    <row r="40" spans="1:112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</row>
    <row r="41" spans="1:112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</row>
    <row r="42" spans="1:112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</row>
    <row r="43" spans="1:112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</row>
    <row r="44" spans="1:112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</row>
    <row r="45" spans="1:112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</row>
    <row r="46" spans="1:112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</row>
    <row r="47" spans="1:112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</row>
    <row r="48" spans="1:112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</row>
    <row r="49" spans="1:112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</row>
    <row r="50" spans="1:112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</row>
    <row r="51" spans="1:112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</row>
    <row r="52" spans="1:112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</row>
    <row r="53" spans="1:112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</row>
    <row r="54" spans="1:112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</row>
    <row r="55" spans="1:112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</row>
    <row r="56" spans="1:112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</row>
    <row r="57" spans="1:112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</row>
    <row r="58" spans="1:112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</row>
    <row r="59" spans="1:112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</row>
    <row r="60" spans="1:112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</row>
    <row r="61" spans="1:112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</row>
    <row r="62" spans="1:112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</row>
    <row r="63" spans="1:112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</row>
    <row r="64" spans="1:112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</row>
    <row r="65" spans="1:112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</row>
    <row r="66" spans="1:112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</row>
    <row r="67" spans="1:112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M67*DH67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</row>
    <row r="68" spans="1:112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</row>
    <row r="69" spans="1:112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</row>
    <row r="70" spans="1:112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</row>
    <row r="71" spans="1:112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</row>
    <row r="72" spans="1:112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</row>
    <row r="73" spans="1:112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</row>
    <row r="74" spans="1:112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</row>
    <row r="75" spans="1:112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</row>
    <row r="76" spans="1:112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</row>
    <row r="77" spans="1:112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</row>
    <row r="78" spans="1:112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</row>
    <row r="79" spans="1:112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</row>
    <row r="80" spans="1:112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</row>
    <row r="81" spans="1:112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</row>
    <row r="82" spans="1:112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</row>
    <row r="83" spans="1:112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</row>
    <row r="84" spans="1:112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</row>
    <row r="85" spans="1:112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</row>
    <row r="86" spans="1:112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</row>
    <row r="87" spans="1:112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</row>
    <row r="88" spans="1:112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</row>
    <row r="89" spans="1:112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</row>
    <row r="90" spans="1:112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</row>
    <row r="91" spans="1:112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</row>
    <row r="92" spans="1:112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</row>
    <row r="93" spans="1:112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</row>
    <row r="94" spans="1:112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</row>
    <row r="95" spans="1:112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</row>
    <row r="96" spans="1:112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</row>
    <row r="97" spans="1:112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</row>
    <row r="98" spans="1:112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</row>
    <row r="99" spans="1:112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</row>
    <row r="100" spans="1:112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</row>
    <row r="101" spans="1:112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</row>
    <row r="102" spans="1:112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</row>
    <row r="103" spans="1:112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</row>
    <row r="104" spans="1:112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</row>
    <row r="105" spans="1:112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</row>
    <row r="106" spans="1:112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</row>
    <row r="107" spans="1:112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</row>
    <row r="108" spans="1:112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</row>
    <row r="109" spans="1:112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</row>
    <row r="110" spans="1:112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</row>
    <row r="111" spans="1:112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</row>
    <row r="112" spans="1:112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</row>
    <row r="113" spans="1:112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</row>
    <row r="114" spans="1:112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</row>
    <row r="115" spans="1:112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</row>
    <row r="116" spans="1:112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</row>
    <row r="117" spans="1:112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</row>
    <row r="118" spans="1:112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</row>
    <row r="119" spans="1:112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</row>
    <row r="120" spans="1:112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</row>
    <row r="121" spans="1:112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</row>
    <row r="122" spans="1:112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</row>
    <row r="123" spans="1:112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</row>
    <row r="124" spans="1:112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</row>
    <row r="125" spans="1:112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</row>
    <row r="126" spans="1:112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</row>
    <row r="127" spans="1:112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</row>
    <row r="128" spans="1:112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</row>
    <row r="129" spans="1:112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</row>
    <row r="130" spans="1:112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</row>
    <row r="131" spans="1:112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M131*DH131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</row>
    <row r="132" spans="1:112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</row>
    <row r="133" spans="1:112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</row>
    <row r="134" spans="1:112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</row>
    <row r="135" spans="1:112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</row>
    <row r="136" spans="1:112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</row>
    <row r="137" spans="1:112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</row>
    <row r="138" spans="1:112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</row>
    <row r="139" spans="1:112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</row>
    <row r="140" spans="1:112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</row>
    <row r="141" spans="1:112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</row>
    <row r="142" spans="1:112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</row>
    <row r="143" spans="1:112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</row>
    <row r="144" spans="1:112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</row>
    <row r="145" spans="1:112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</row>
    <row r="146" spans="1:112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</row>
    <row r="147" spans="1:112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</row>
    <row r="148" spans="1:112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</row>
    <row r="149" spans="1:112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</row>
    <row r="150" spans="1:112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</row>
    <row r="151" spans="1:112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</row>
    <row r="152" spans="1:112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</row>
    <row r="153" spans="1:112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</row>
    <row r="154" spans="1:112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</row>
    <row r="155" spans="1:112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</row>
    <row r="156" spans="1:112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</row>
    <row r="157" spans="1:112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</row>
    <row r="158" spans="1:112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</row>
    <row r="159" spans="1:112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</row>
    <row r="160" spans="1:112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</row>
    <row r="161" spans="1:112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</row>
    <row r="162" spans="1:112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</row>
    <row r="163" spans="1:112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</row>
    <row r="164" spans="1:112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</row>
    <row r="165" spans="1:112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</row>
    <row r="166" spans="1:112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</row>
    <row r="167" spans="1:112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</row>
    <row r="168" spans="1:112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</row>
    <row r="169" spans="1:112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</row>
    <row r="170" spans="1:112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</row>
    <row r="171" spans="1:112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</row>
    <row r="172" spans="1:112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</row>
    <row r="173" spans="1:112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</row>
    <row r="174" spans="1:112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</row>
    <row r="175" spans="1:112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</row>
    <row r="176" spans="1:112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</row>
    <row r="177" spans="1:112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</row>
    <row r="178" spans="1:112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</row>
    <row r="179" spans="1:112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</row>
    <row r="180" spans="1:112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</row>
    <row r="181" spans="1:112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</row>
    <row r="182" spans="1:112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</row>
    <row r="183" spans="1:112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</row>
    <row r="184" spans="1:112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</row>
    <row r="185" spans="1:112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</row>
    <row r="186" spans="1:112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</row>
    <row r="187" spans="1:112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</row>
    <row r="188" spans="1:112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</row>
    <row r="189" spans="1:112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</row>
    <row r="190" spans="1:112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</row>
    <row r="191" spans="1:112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</row>
    <row r="192" spans="1:112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</row>
    <row r="193" spans="1:112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</row>
    <row r="194" spans="1:112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</row>
    <row r="195" spans="1:112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M195*DH195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</row>
    <row r="196" spans="1:112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</row>
    <row r="197" spans="1:112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</row>
    <row r="198" spans="1:112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</row>
    <row r="199" spans="1:112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</row>
    <row r="200" spans="1:112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</row>
    <row r="201" spans="1:112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</row>
    <row r="202" spans="1:112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</row>
    <row r="203" spans="1:112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</row>
    <row r="204" spans="1:112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</row>
    <row r="205" spans="1:112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</row>
    <row r="206" spans="1:112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</row>
    <row r="207" spans="1:112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</row>
    <row r="208" spans="1:112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</row>
    <row r="209" spans="1:112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</row>
    <row r="210" spans="1:112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</row>
    <row r="211" spans="1:112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</row>
    <row r="212" spans="1:112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</row>
    <row r="213" spans="1:112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</row>
    <row r="214" spans="1:112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</row>
    <row r="215" spans="1:112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</row>
    <row r="216" spans="1:112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</row>
    <row r="217" spans="1:112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</row>
    <row r="218" spans="1:112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</row>
    <row r="219" spans="1:112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</row>
    <row r="220" spans="1:112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</row>
    <row r="221" spans="1:112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</row>
    <row r="222" spans="1:112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</row>
    <row r="223" spans="1:112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</row>
    <row r="224" spans="1:112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</row>
    <row r="225" spans="1:112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</row>
    <row r="226" spans="1:112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</row>
    <row r="227" spans="1:112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</row>
    <row r="228" spans="1:112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</row>
    <row r="229" spans="1:112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</row>
    <row r="230" spans="1:112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</row>
    <row r="231" spans="1:112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</row>
    <row r="232" spans="1:112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</row>
    <row r="233" spans="1:112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</row>
    <row r="234" spans="1:112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</row>
    <row r="235" spans="1:112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</row>
    <row r="236" spans="1:112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</row>
    <row r="237" spans="1:112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</row>
    <row r="238" spans="1:112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</row>
    <row r="239" spans="1:112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</row>
    <row r="240" spans="1:112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</row>
    <row r="241" spans="1:112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</row>
    <row r="242" spans="1:112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</row>
    <row r="243" spans="1:112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</row>
    <row r="244" spans="1:112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</row>
    <row r="245" spans="1:112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</row>
    <row r="246" spans="1:112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</row>
    <row r="247" spans="1:112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</row>
    <row r="248" spans="1:112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400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2</v>
      </c>
      <c r="AZ248" s="72">
        <v>2</v>
      </c>
      <c r="BA248" s="72">
        <v>2</v>
      </c>
      <c r="BB248" s="72">
        <v>2</v>
      </c>
      <c r="BC248" s="72">
        <v>2</v>
      </c>
      <c r="BD248" s="72">
        <v>2</v>
      </c>
      <c r="BE248" s="72">
        <v>2</v>
      </c>
      <c r="BF248" s="72">
        <v>2</v>
      </c>
      <c r="BG248" s="72">
        <v>2</v>
      </c>
      <c r="BH248" s="72">
        <v>2</v>
      </c>
      <c r="BI248" s="72">
        <v>2</v>
      </c>
      <c r="BJ248" s="72">
        <v>2</v>
      </c>
      <c r="BK248" s="72">
        <v>2</v>
      </c>
      <c r="BL248" s="72">
        <v>2</v>
      </c>
      <c r="BM248" s="72">
        <v>2</v>
      </c>
      <c r="BN248" s="72">
        <v>2</v>
      </c>
      <c r="BO248" s="72">
        <v>2</v>
      </c>
      <c r="BP248" s="72">
        <v>2</v>
      </c>
      <c r="BQ248" s="72">
        <v>2</v>
      </c>
      <c r="BR248" s="72">
        <v>2</v>
      </c>
      <c r="BS248" s="72">
        <v>2</v>
      </c>
      <c r="BT248" s="72">
        <v>2</v>
      </c>
      <c r="BU248" s="72">
        <v>2</v>
      </c>
      <c r="BV248" s="72">
        <v>2</v>
      </c>
      <c r="BW248" s="72">
        <v>2</v>
      </c>
      <c r="BX248" s="72">
        <v>2</v>
      </c>
      <c r="BY248" s="72">
        <v>2</v>
      </c>
      <c r="BZ248" s="72">
        <v>2</v>
      </c>
      <c r="CA248" s="72">
        <v>2</v>
      </c>
      <c r="CB248" s="72">
        <v>2</v>
      </c>
      <c r="CC248" s="72">
        <v>2</v>
      </c>
      <c r="CD248" s="72">
        <v>2</v>
      </c>
      <c r="CE248" s="72">
        <v>2</v>
      </c>
      <c r="CF248" s="72">
        <v>2</v>
      </c>
      <c r="CG248" s="72">
        <v>2</v>
      </c>
      <c r="CH248" s="72">
        <v>2</v>
      </c>
      <c r="CI248" s="72">
        <v>2</v>
      </c>
      <c r="CJ248" s="72">
        <v>2</v>
      </c>
      <c r="CK248" s="72">
        <v>2</v>
      </c>
      <c r="CL248" s="72">
        <v>2</v>
      </c>
      <c r="CM248" s="72">
        <v>2</v>
      </c>
      <c r="CN248" s="72">
        <v>2</v>
      </c>
      <c r="CO248" s="72">
        <v>2</v>
      </c>
      <c r="CP248" s="72">
        <v>2</v>
      </c>
      <c r="CQ248" s="72">
        <v>2</v>
      </c>
      <c r="CR248" s="72">
        <v>2</v>
      </c>
      <c r="CS248" s="72">
        <v>2</v>
      </c>
      <c r="CT248" s="72">
        <v>2</v>
      </c>
      <c r="CU248" s="72">
        <v>2</v>
      </c>
      <c r="CV248" s="72">
        <v>2</v>
      </c>
      <c r="CW248" s="72">
        <v>2</v>
      </c>
      <c r="CX248" s="72">
        <v>2</v>
      </c>
      <c r="CY248" s="72">
        <v>2</v>
      </c>
      <c r="CZ248" s="72">
        <v>2</v>
      </c>
      <c r="DA248" s="72">
        <v>2</v>
      </c>
      <c r="DB248" s="72">
        <v>2</v>
      </c>
      <c r="DC248" s="72">
        <v>2</v>
      </c>
      <c r="DD248" s="72">
        <v>2</v>
      </c>
      <c r="DE248" s="72">
        <v>2</v>
      </c>
      <c r="DF248" s="72">
        <v>2</v>
      </c>
      <c r="DG248" s="72">
        <v>2</v>
      </c>
      <c r="DH248" s="72">
        <v>2</v>
      </c>
    </row>
    <row r="249" spans="1:112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</row>
    <row r="250" spans="1:112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</row>
    <row r="251" spans="1:112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</row>
    <row r="252" spans="1:112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</row>
    <row r="253" spans="1:112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</row>
    <row r="254" spans="1:112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</row>
    <row r="255" spans="1:112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</row>
    <row r="256" spans="1:112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</row>
    <row r="257" spans="1:112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</row>
    <row r="258" spans="1:112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</row>
    <row r="259" spans="1:112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M259*DH259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</row>
    <row r="260" spans="1:112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</row>
    <row r="261" spans="1:112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</row>
    <row r="262" spans="1:112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</row>
    <row r="263" spans="1:112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</row>
    <row r="264" spans="1:112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</row>
    <row r="265" spans="1:112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</row>
    <row r="266" spans="1:112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</row>
    <row r="267" spans="1:112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</row>
    <row r="268" spans="1:112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</row>
    <row r="269" spans="1:112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</row>
    <row r="270" spans="1:112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</row>
    <row r="271" spans="1:112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</row>
    <row r="272" spans="1:112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</row>
    <row r="273" spans="1:112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</row>
    <row r="274" spans="1:112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</row>
    <row r="275" spans="1:112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</row>
    <row r="276" spans="1:112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</row>
    <row r="277" spans="1:112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</row>
    <row r="278" spans="1:112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</row>
    <row r="279" spans="1:112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</row>
    <row r="280" spans="1:112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</row>
    <row r="281" spans="1:112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</row>
    <row r="282" spans="1:112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</row>
    <row r="283" spans="1:112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</row>
    <row r="284" spans="1:112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</row>
    <row r="285" spans="1:112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</row>
    <row r="286" spans="1:112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</row>
    <row r="287" spans="1:112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</row>
    <row r="288" spans="1:112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</row>
    <row r="289" spans="1:112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</row>
    <row r="290" spans="1:112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</row>
    <row r="291" spans="1:112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</row>
    <row r="292" spans="1:112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</row>
    <row r="293" spans="1:112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</row>
    <row r="294" spans="1:112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</row>
    <row r="295" spans="1:112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</row>
    <row r="296" spans="1:112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</row>
    <row r="297" spans="1:112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</row>
    <row r="298" spans="1:112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</row>
    <row r="299" spans="1:112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</row>
    <row r="300" spans="1:112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</row>
    <row r="301" spans="1:112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</row>
    <row r="302" spans="1:112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</row>
    <row r="303" spans="1:112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</row>
    <row r="304" spans="1:112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</row>
    <row r="305" spans="1:112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</row>
    <row r="306" spans="1:112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</row>
    <row r="307" spans="1:112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</row>
    <row r="308" spans="1:112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</row>
    <row r="309" spans="1:112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</row>
    <row r="310" spans="1:112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</row>
    <row r="311" spans="1:112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</row>
    <row r="312" spans="1:112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</row>
    <row r="313" spans="1:112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</row>
    <row r="314" spans="1:112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</row>
    <row r="315" spans="1:112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</row>
    <row r="316" spans="1:112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</row>
    <row r="317" spans="1:112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</row>
    <row r="318" spans="1:112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</row>
    <row r="319" spans="1:112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</row>
    <row r="320" spans="1:112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</row>
    <row r="321" spans="1:112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</row>
    <row r="322" spans="1:112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</row>
    <row r="323" spans="1:112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M323*DH323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</row>
    <row r="324" spans="1:112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</row>
    <row r="325" spans="1:112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</row>
    <row r="326" spans="1:112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</row>
    <row r="327" spans="1:112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</row>
    <row r="328" spans="1:112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131497.01999999999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</row>
    <row r="329" spans="1:112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</row>
    <row r="330" spans="1:112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</row>
    <row r="331" spans="1:112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</row>
    <row r="332" spans="1:112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</row>
    <row r="333" spans="1:112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</row>
    <row r="334" spans="1:112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</row>
    <row r="335" spans="1:112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</row>
    <row r="336" spans="1:112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>3000-107</f>
        <v>2893</v>
      </c>
      <c r="DE336" s="72">
        <f>3000-107</f>
        <v>2893</v>
      </c>
      <c r="DF336" s="72">
        <f>3000-107</f>
        <v>2893</v>
      </c>
      <c r="DG336" s="72">
        <f>3000-107</f>
        <v>2893</v>
      </c>
      <c r="DH336" s="72">
        <f>3000-107</f>
        <v>2893</v>
      </c>
    </row>
    <row r="337" spans="1:112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</row>
    <row r="338" spans="1:112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</row>
    <row r="339" spans="1:112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</row>
    <row r="340" spans="1:112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</row>
    <row r="341" spans="1:112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</row>
    <row r="342" spans="1:112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</row>
    <row r="343" spans="1:112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</row>
    <row r="344" spans="1:112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</row>
    <row r="345" spans="1:112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</row>
    <row r="346" spans="1:112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</row>
    <row r="347" spans="1:112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</row>
    <row r="348" spans="1:112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</row>
    <row r="349" spans="1:112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</row>
    <row r="350" spans="1:112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</row>
    <row r="351" spans="1:112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</row>
    <row r="352" spans="1:112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</row>
    <row r="353" spans="1:112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</row>
    <row r="354" spans="1:112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</row>
    <row r="355" spans="1:112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</row>
    <row r="356" spans="1:112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</row>
    <row r="357" spans="1:112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6078.2099999999991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</row>
    <row r="358" spans="1:112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</row>
    <row r="359" spans="1:112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</row>
    <row r="360" spans="1:112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</row>
    <row r="361" spans="1:112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</row>
    <row r="362" spans="1:112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</row>
    <row r="363" spans="1:112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</row>
    <row r="364" spans="1:112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45998.400000000001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</row>
    <row r="365" spans="1:112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</row>
    <row r="366" spans="1:112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</row>
    <row r="367" spans="1:112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</row>
    <row r="368" spans="1:112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</row>
    <row r="369" spans="1:112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</row>
    <row r="370" spans="1:112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</row>
    <row r="371" spans="1:112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36247.08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</row>
    <row r="372" spans="1:112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</row>
    <row r="373" spans="1:112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</row>
    <row r="374" spans="1:112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</row>
    <row r="375" spans="1:112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</row>
    <row r="376" spans="1:112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</row>
    <row r="377" spans="1:112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</row>
    <row r="378" spans="1:112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</row>
    <row r="379" spans="1:112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</row>
    <row r="380" spans="1:112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</row>
    <row r="381" spans="1:112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</row>
    <row r="382" spans="1:112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</row>
    <row r="383" spans="1:112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</row>
    <row r="384" spans="1:112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</row>
    <row r="385" spans="1:112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</row>
    <row r="386" spans="1:112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</row>
    <row r="387" spans="1:112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7">M387*DH387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</row>
    <row r="388" spans="1:112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7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</row>
    <row r="389" spans="1:112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7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</row>
    <row r="390" spans="1:112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7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</row>
    <row r="391" spans="1:112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7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</row>
    <row r="392" spans="1:112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7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</row>
    <row r="393" spans="1:112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7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</row>
    <row r="394" spans="1:112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7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</row>
    <row r="395" spans="1:112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7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</row>
    <row r="396" spans="1:112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7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</row>
    <row r="397" spans="1:112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7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</row>
    <row r="398" spans="1:112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7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</row>
    <row r="399" spans="1:112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7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</row>
    <row r="400" spans="1:112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7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</row>
    <row r="401" spans="1:112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7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</row>
    <row r="402" spans="1:112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7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</row>
    <row r="403" spans="1:112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7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</row>
    <row r="404" spans="1:112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7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</row>
    <row r="405" spans="1:112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7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</row>
    <row r="406" spans="1:112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7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</row>
    <row r="407" spans="1:112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7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</row>
    <row r="408" spans="1:112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7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</row>
    <row r="409" spans="1:112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7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</row>
    <row r="410" spans="1:112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7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</row>
    <row r="411" spans="1:112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7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</row>
    <row r="412" spans="1:112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7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</row>
    <row r="413" spans="1:112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7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</row>
    <row r="414" spans="1:112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7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</row>
    <row r="415" spans="1:112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7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</row>
    <row r="416" spans="1:112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7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</row>
    <row r="417" spans="1:112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7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</row>
    <row r="418" spans="1:112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7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</row>
    <row r="419" spans="1:112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7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</row>
    <row r="420" spans="1:112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7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</row>
    <row r="421" spans="1:112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7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</row>
    <row r="422" spans="1:112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7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</row>
    <row r="423" spans="1:112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7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</row>
    <row r="424" spans="1:112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7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</row>
    <row r="425" spans="1:112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7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</row>
    <row r="426" spans="1:112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7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</row>
    <row r="427" spans="1:112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7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</row>
    <row r="428" spans="1:112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7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</row>
    <row r="429" spans="1:112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7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</row>
    <row r="430" spans="1:112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7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</row>
    <row r="431" spans="1:112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7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</row>
    <row r="432" spans="1:112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7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</row>
    <row r="433" spans="1:112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7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</row>
    <row r="434" spans="1:112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7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</row>
    <row r="435" spans="1:112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7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</row>
    <row r="436" spans="1:112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7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</row>
    <row r="437" spans="1:112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7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</row>
    <row r="438" spans="1:112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7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2026-07-06T09:29:55Z</dcterms:modified>
</cp:coreProperties>
</file>