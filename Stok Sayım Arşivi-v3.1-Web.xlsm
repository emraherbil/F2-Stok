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4B8E27F3-E4CD-4861-8F13-D1F71D939227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Stok!$A$1:$CJ$439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2" i="2"/>
  <c r="L6" i="6"/>
  <c r="X2" i="6" s="1"/>
  <c r="DL337" i="2"/>
  <c r="DL140" i="2"/>
  <c r="DK337" i="2"/>
  <c r="DK140" i="2"/>
  <c r="L7" i="6" l="1"/>
  <c r="DJ337" i="2"/>
  <c r="DJ140" i="2"/>
  <c r="L8" i="6" l="1"/>
  <c r="DI337" i="2"/>
  <c r="DI140" i="2"/>
  <c r="L9" i="6" l="1"/>
  <c r="L10" i="6"/>
  <c r="DH337" i="2" l="1"/>
  <c r="DH140" i="2"/>
  <c r="DG337" i="2"/>
  <c r="DG140" i="2"/>
  <c r="L11" i="6" l="1"/>
  <c r="DF337" i="2"/>
  <c r="DF140" i="2"/>
  <c r="L12" i="6" l="1"/>
  <c r="L13" i="6"/>
  <c r="DE337" i="2"/>
  <c r="DE140" i="2"/>
  <c r="L14" i="6" l="1"/>
  <c r="DD337" i="2"/>
  <c r="DD140" i="2"/>
  <c r="L15" i="6"/>
  <c r="DC140" i="2" l="1"/>
  <c r="DB140" i="2"/>
  <c r="L16" i="6" l="1"/>
  <c r="L17" i="6"/>
  <c r="DA140" i="2"/>
  <c r="L18" i="6" l="1"/>
  <c r="CZ140" i="2"/>
  <c r="L19" i="6" l="1"/>
  <c r="L20" i="6"/>
  <c r="L21" i="6" l="1"/>
  <c r="L22" i="6" l="1"/>
  <c r="L23" i="6" l="1"/>
  <c r="L24" i="6" l="1"/>
  <c r="L25" i="6"/>
  <c r="L26" i="6" l="1"/>
  <c r="L27" i="6" l="1"/>
  <c r="L28" i="6"/>
  <c r="L29" i="6" l="1"/>
  <c r="M33" i="2" l="1"/>
  <c r="L30" i="6" l="1"/>
  <c r="L31" i="6" l="1"/>
  <c r="L32" i="6"/>
  <c r="L33" i="6" l="1"/>
  <c r="L34" i="6"/>
  <c r="L35" i="6" l="1"/>
  <c r="L36" i="6" l="1"/>
  <c r="L37" i="6"/>
  <c r="L38" i="6" l="1"/>
  <c r="L39" i="6" l="1"/>
  <c r="L40" i="6" l="1"/>
  <c r="L41" i="6" l="1"/>
  <c r="L42" i="6"/>
  <c r="L43" i="6" l="1"/>
  <c r="L44" i="6" l="1"/>
  <c r="L45" i="6" l="1"/>
  <c r="L46" i="6" l="1"/>
  <c r="L47" i="6" l="1"/>
  <c r="L48" i="6" l="1"/>
  <c r="L49" i="6" l="1"/>
  <c r="BU142" i="2"/>
  <c r="L50" i="6" l="1"/>
  <c r="L51" i="6" l="1"/>
  <c r="BS189" i="2" l="1"/>
  <c r="L52" i="6" l="1"/>
  <c r="L53" i="6" l="1"/>
  <c r="L54" i="6" l="1"/>
  <c r="L55" i="6"/>
  <c r="L56" i="6"/>
  <c r="L57" i="6" l="1"/>
  <c r="L58" i="6"/>
  <c r="L59" i="6" l="1"/>
  <c r="L60" i="6"/>
  <c r="L105" i="6" l="1"/>
  <c r="L61" i="6" l="1"/>
  <c r="L62" i="6" l="1"/>
  <c r="L63" i="6" l="1"/>
  <c r="L64" i="6" l="1"/>
  <c r="L65" i="6" l="1"/>
  <c r="L66" i="6"/>
  <c r="L67" i="6" l="1"/>
  <c r="L68" i="6"/>
  <c r="L69" i="6" l="1"/>
  <c r="G2" i="6" l="1"/>
  <c r="L70" i="6" l="1"/>
  <c r="L71" i="6" l="1"/>
  <c r="L72" i="6" l="1"/>
  <c r="L73" i="6" l="1"/>
  <c r="L74" i="6" l="1"/>
  <c r="L108" i="6" l="1"/>
  <c r="L107" i="6"/>
  <c r="L106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76" i="6"/>
  <c r="L75" i="6"/>
  <c r="L77" i="6"/>
  <c r="L78" i="6" l="1"/>
  <c r="L79" i="6" l="1"/>
  <c r="L80" i="6" l="1"/>
  <c r="L37" i="3" l="1"/>
</calcChain>
</file>

<file path=xl/sharedStrings.xml><?xml version="1.0" encoding="utf-8"?>
<sst xmlns="http://schemas.openxmlformats.org/spreadsheetml/2006/main" count="4648" uniqueCount="1559">
  <si>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</si>
  <si>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</si>
  <si>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</si>
  <si>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</si>
  <si>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</si>
  <si>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</si>
  <si>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</si>
  <si>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</si>
  <si>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</si>
  <si>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</si>
  <si>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</si>
  <si>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</si>
  <si>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</si>
  <si>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</si>
  <si>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</si>
  <si>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</si>
  <si>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</si>
  <si>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</si>
  <si>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</si>
  <si>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</si>
  <si>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</si>
  <si>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</si>
  <si>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</si>
  <si>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</si>
  <si>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</si>
  <si>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</si>
  <si>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</si>
  <si>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</si>
  <si>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</si>
  <si>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</si>
  <si>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</si>
  <si>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</si>
  <si>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</si>
  <si>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</si>
  <si>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</si>
  <si>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</si>
  <si>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</si>
  <si>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</si>
  <si>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</si>
  <si>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</si>
  <si>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</si>
  <si>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</si>
  <si>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</si>
  <si>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</si>
  <si>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</si>
  <si>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</si>
  <si>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</si>
  <si>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</si>
  <si>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</si>
  <si>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</si>
  <si>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</si>
  <si>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</si>
  <si>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</si>
  <si>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</si>
  <si>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</si>
  <si>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</si>
  <si>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</si>
  <si>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</si>
  <si>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</si>
  <si>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</si>
  <si>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</si>
  <si>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</si>
  <si>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</si>
  <si>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</si>
  <si>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</si>
  <si>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</si>
  <si>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</si>
  <si>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</si>
  <si>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</si>
  <si>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</si>
  <si>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</si>
  <si>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</si>
  <si>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</si>
  <si>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</si>
  <si>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</si>
  <si>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</si>
  <si>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</si>
  <si>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</si>
  <si>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</si>
  <si>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</si>
  <si>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</si>
  <si>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</si>
  <si>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</si>
  <si>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</si>
  <si>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</si>
  <si>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</si>
  <si>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</si>
  <si>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</si>
  <si>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</si>
  <si>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</si>
  <si>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</si>
  <si>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</si>
  <si>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</si>
  <si>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</si>
  <si>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</si>
  <si>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</si>
  <si>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</si>
  <si>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</si>
  <si>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</si>
  <si>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</si>
  <si>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</si>
  <si>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</si>
  <si>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</si>
  <si>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</si>
  <si>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</si>
  <si>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</si>
  <si>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</si>
  <si>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</si>
  <si>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</si>
  <si>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</si>
  <si>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</si>
  <si>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</si>
  <si>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</si>
  <si>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</si>
  <si>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</si>
  <si>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</si>
  <si>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</si>
  <si>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</si>
  <si>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</si>
  <si>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</si>
  <si>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</si>
  <si>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</si>
  <si>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</si>
  <si>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</si>
  <si>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</si>
  <si>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</si>
  <si>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</si>
  <si>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</si>
  <si>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</si>
  <si>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</si>
  <si>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</si>
  <si>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</si>
  <si>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</si>
  <si>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</si>
  <si>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</si>
  <si>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</si>
  <si>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</si>
  <si>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</si>
  <si>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</si>
  <si>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</si>
  <si>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</si>
  <si>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</si>
  <si>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</si>
  <si>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</si>
  <si>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</si>
  <si>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</si>
  <si>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</si>
  <si>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</si>
  <si>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</si>
  <si>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</si>
  <si>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</si>
  <si>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</si>
  <si>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</si>
  <si>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</si>
  <si>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</si>
  <si>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</si>
  <si>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</si>
  <si>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</si>
  <si>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</si>
  <si>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</si>
  <si>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</si>
  <si>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</si>
  <si>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</si>
  <si>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</si>
  <si>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</si>
  <si>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</si>
  <si>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</si>
  <si>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</si>
  <si>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</si>
  <si>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</si>
  <si>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</si>
  <si>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</si>
  <si>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</si>
  <si>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</si>
  <si>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</si>
  <si>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</si>
  <si>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</si>
  <si>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</si>
  <si>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</si>
  <si>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</si>
  <si>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</si>
  <si>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</si>
  <si>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</si>
  <si>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</si>
  <si>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</si>
  <si>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</si>
  <si>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</si>
  <si>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</si>
  <si>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</si>
  <si>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</si>
  <si>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</si>
  <si>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</si>
  <si>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</si>
  <si>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</si>
  <si>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</si>
  <si>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</si>
  <si>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</si>
  <si>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</si>
  <si>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</si>
  <si>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</si>
  <si>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</si>
  <si>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</si>
  <si>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</si>
  <si>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</si>
  <si>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</si>
  <si>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</si>
  <si>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</si>
  <si>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</si>
  <si>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</si>
  <si>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</si>
  <si>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</si>
  <si>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</si>
  <si>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</si>
  <si>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</si>
  <si>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</si>
  <si>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</si>
  <si>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</si>
  <si>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</si>
  <si>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</si>
  <si>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</si>
  <si>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</si>
  <si>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</si>
  <si>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</si>
  <si>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</si>
  <si>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</si>
  <si>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</si>
  <si>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</si>
  <si>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</si>
  <si>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</si>
  <si>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</si>
  <si>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</si>
  <si>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</si>
  <si>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</si>
  <si>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</si>
  <si>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</si>
  <si>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</si>
  <si>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</si>
  <si>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</si>
  <si>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</si>
  <si>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</si>
  <si>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</si>
  <si>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</si>
  <si>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</si>
  <si>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</si>
  <si>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</si>
  <si>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</si>
  <si>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</si>
  <si>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</si>
  <si>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</si>
  <si>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</si>
  <si>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</si>
  <si>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</si>
  <si>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</si>
  <si>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</si>
  <si>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</si>
  <si>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</si>
  <si>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</si>
  <si>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</si>
  <si>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</si>
  <si>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</si>
  <si>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</si>
  <si>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</si>
  <si>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</si>
  <si>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</si>
  <si>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</si>
  <si>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</si>
  <si>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</si>
  <si>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</si>
  <si>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</si>
  <si>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</si>
  <si>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</si>
  <si>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</si>
  <si>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</si>
  <si>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</si>
  <si>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</si>
  <si>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</si>
  <si>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</si>
  <si>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</si>
  <si>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</si>
  <si>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</si>
  <si>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</si>
  <si>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</si>
  <si>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</si>
  <si>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</si>
  <si>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</si>
  <si>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</si>
  <si>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</si>
  <si>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</si>
  <si>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</si>
  <si>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</si>
  <si>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</si>
  <si>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</si>
  <si>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</si>
  <si>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</si>
  <si>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</si>
  <si>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</si>
  <si>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</si>
  <si>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</si>
  <si>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</si>
  <si>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</si>
  <si>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</si>
  <si>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</si>
  <si>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</si>
  <si>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</si>
  <si>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</si>
  <si>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</si>
  <si>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</si>
  <si>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</si>
  <si>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</si>
  <si>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</si>
  <si>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</si>
  <si>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</si>
  <si>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</si>
  <si>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</si>
  <si>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</si>
  <si>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</si>
  <si>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</si>
  <si>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</si>
  <si>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</si>
  <si>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</si>
  <si>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</si>
  <si>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</si>
  <si>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</si>
  <si>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</si>
  <si>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</si>
  <si>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</si>
  <si>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</si>
  <si>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</si>
  <si>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</si>
  <si>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</si>
  <si>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</si>
  <si>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</si>
  <si>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</si>
  <si>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</si>
  <si>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</si>
  <si>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</si>
  <si>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</si>
  <si>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</si>
  <si>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</si>
  <si>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</si>
  <si>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</si>
  <si>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</si>
  <si>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</si>
  <si>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</si>
  <si>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</si>
  <si>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</si>
  <si>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</si>
  <si>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</si>
  <si>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</si>
  <si>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</si>
  <si>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</si>
  <si>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</si>
  <si>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</si>
  <si>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</si>
  <si>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</si>
  <si>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</si>
  <si>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</si>
  <si>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</si>
  <si>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</si>
  <si>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</si>
  <si>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</si>
  <si>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</si>
  <si>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</si>
  <si>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</si>
  <si>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</si>
  <si>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</si>
  <si>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</si>
  <si>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</si>
  <si>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</si>
  <si>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</si>
  <si>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</si>
  <si>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</si>
  <si>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</si>
  <si>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</si>
  <si>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</si>
  <si>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</si>
  <si>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</si>
  <si>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</si>
  <si>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</si>
  <si>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</si>
  <si>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</si>
  <si>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</si>
  <si>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</si>
  <si>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</si>
  <si>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</si>
  <si>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</si>
  <si>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</si>
  <si>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</si>
  <si>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</si>
  <si>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</si>
  <si>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</si>
  <si>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</si>
  <si>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</si>
  <si>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</si>
  <si>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</si>
  <si>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</si>
  <si>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</si>
  <si>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</si>
  <si>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</si>
  <si>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</si>
  <si>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</si>
  <si>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</si>
  <si>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</si>
  <si>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</si>
  <si>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</si>
  <si>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</si>
  <si>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</si>
  <si>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</si>
  <si>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</si>
  <si>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</si>
  <si>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</si>
  <si>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</si>
  <si>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</si>
  <si>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</si>
  <si>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</si>
  <si>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</si>
  <si>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</si>
  <si>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</si>
  <si>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</si>
  <si>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</si>
  <si>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</si>
  <si>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</si>
  <si>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</si>
  <si>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</si>
  <si>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</si>
  <si>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</si>
  <si>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</si>
  <si>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</si>
  <si>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</si>
  <si>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</si>
  <si>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</si>
  <si>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</si>
  <si>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</si>
  <si>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</si>
  <si>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</si>
  <si>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</si>
  <si>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</si>
  <si>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</si>
  <si>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</si>
  <si>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</si>
  <si>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</si>
  <si>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</si>
  <si>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</si>
  <si>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</si>
  <si>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</si>
  <si>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</si>
  <si>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</si>
  <si>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</si>
  <si>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</si>
  <si>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</si>
  <si>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</si>
  <si>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</si>
  <si>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</si>
  <si>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</si>
  <si>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</si>
  <si>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</si>
  <si>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</si>
  <si>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</si>
  <si>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</si>
  <si>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</si>
  <si>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</si>
  <si>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</si>
  <si>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</si>
  <si>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</si>
  <si>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</si>
  <si>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</si>
  <si>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</si>
  <si>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</si>
  <si>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</si>
  <si>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</si>
  <si>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</si>
  <si>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</si>
  <si>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</si>
  <si>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</si>
  <si>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</si>
  <si>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</si>
  <si>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</si>
  <si>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</si>
  <si>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</si>
  <si>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</si>
  <si>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</si>
  <si>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</si>
  <si>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</si>
  <si>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</si>
  <si>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</si>
  <si>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</si>
  <si>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</si>
  <si>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</si>
  <si>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</si>
  <si>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</si>
  <si>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</si>
  <si>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</si>
  <si>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</si>
  <si>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</si>
  <si>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</si>
  <si>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</si>
  <si>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</si>
  <si>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</si>
  <si>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</si>
  <si>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</si>
  <si>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</si>
  <si>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</si>
  <si>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</si>
  <si>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</si>
  <si>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</si>
  <si>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</si>
  <si>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</si>
  <si>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</si>
  <si>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</si>
  <si>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</si>
  <si>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</si>
  <si>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</si>
  <si>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</si>
  <si>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</si>
  <si>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</si>
  <si>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</si>
  <si>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</si>
  <si>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</si>
  <si>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</si>
  <si>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</si>
  <si>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</si>
  <si>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</si>
  <si>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</si>
  <si>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</si>
  <si>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</si>
  <si>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</si>
  <si>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</si>
  <si>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</si>
  <si>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</si>
  <si>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</si>
  <si>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</si>
  <si>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</si>
  <si>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</si>
  <si>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</si>
  <si>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</si>
  <si>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</si>
  <si>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</si>
  <si>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</si>
  <si>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</si>
  <si>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</si>
  <si>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</si>
  <si>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</si>
  <si>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</si>
  <si>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</si>
  <si>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</si>
  <si>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</si>
  <si>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</si>
  <si>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</si>
  <si>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</si>
  <si>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</si>
  <si>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</si>
  <si>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</si>
  <si>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</si>
  <si>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</si>
  <si>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</si>
  <si>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</si>
  <si>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</si>
  <si>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</si>
  <si>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</si>
  <si>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</si>
  <si>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</si>
  <si>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</si>
  <si>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</si>
  <si>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</si>
  <si>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</si>
  <si>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</si>
  <si>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</si>
  <si>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</si>
  <si>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</si>
  <si>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</si>
  <si>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</si>
  <si>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</si>
  <si>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</si>
  <si>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</si>
  <si>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</si>
  <si>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</si>
  <si>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</si>
  <si>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</si>
  <si>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</si>
  <si>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</si>
  <si>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</si>
  <si>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</si>
  <si>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</si>
  <si>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</si>
  <si>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</si>
  <si>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</si>
  <si>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</si>
  <si>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</si>
  <si>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</si>
  <si>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</si>
  <si>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</si>
  <si>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</si>
  <si>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</si>
  <si>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</si>
  <si>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</si>
  <si>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</si>
  <si>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</si>
  <si>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</si>
  <si>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</si>
  <si>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</si>
  <si>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</si>
  <si>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</si>
  <si>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</si>
  <si>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</si>
  <si>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</si>
  <si>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</si>
  <si>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</si>
  <si>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</si>
  <si>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</si>
  <si>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</si>
  <si>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</si>
  <si>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</si>
  <si>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</si>
  <si>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</si>
  <si>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</si>
  <si>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</si>
  <si>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</si>
  <si>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</si>
  <si>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</si>
  <si>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</si>
  <si>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</si>
  <si>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</si>
  <si>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</si>
  <si>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</si>
  <si>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</si>
  <si>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</si>
  <si>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</si>
  <si>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</si>
  <si>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</si>
  <si>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</si>
  <si>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</si>
  <si>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</si>
  <si>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</si>
  <si>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</si>
  <si>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</si>
  <si>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</si>
  <si>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</si>
  <si>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</si>
  <si>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</si>
  <si>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</si>
  <si>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</si>
  <si>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</si>
  <si>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</si>
  <si>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</si>
  <si>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</si>
  <si>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</si>
  <si>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</si>
  <si>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</si>
  <si>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</si>
  <si>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</si>
  <si>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</si>
  <si>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</si>
  <si>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</si>
  <si>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</si>
  <si>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</si>
  <si>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</si>
  <si>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</si>
  <si>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</si>
  <si>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</si>
  <si>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</si>
  <si>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</si>
  <si>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</si>
  <si>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</si>
  <si>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</si>
  <si>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</si>
  <si>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</si>
  <si>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</si>
  <si>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</si>
  <si>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</si>
  <si>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</si>
  <si>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</si>
  <si>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</si>
  <si>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</si>
  <si>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</si>
  <si>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</si>
  <si>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</si>
  <si>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</si>
  <si>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</si>
  <si>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</si>
  <si>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</si>
  <si>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</si>
  <si>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</si>
  <si>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</si>
  <si>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</si>
  <si>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</si>
  <si>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</si>
  <si>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</si>
  <si>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</si>
  <si>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</si>
  <si>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</si>
  <si>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</si>
  <si>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</si>
  <si>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</si>
  <si>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</si>
  <si>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</si>
  <si>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</si>
  <si>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</si>
  <si>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</si>
  <si>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</si>
  <si>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</si>
  <si>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</si>
  <si>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</si>
  <si>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</si>
  <si>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</si>
  <si>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</si>
  <si>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</si>
  <si>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</si>
  <si>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</si>
  <si>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</si>
  <si>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</si>
  <si>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</si>
  <si>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</si>
  <si>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</si>
  <si>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</si>
  <si>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</si>
  <si>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</si>
  <si>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</si>
  <si>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</si>
  <si>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</si>
  <si>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</si>
  <si>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</si>
  <si>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</si>
  <si>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</si>
  <si>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</si>
  <si>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</si>
  <si>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</si>
  <si>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</si>
  <si>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</si>
  <si>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</si>
  <si>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</si>
  <si>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</si>
  <si>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</si>
  <si>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</si>
  <si>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</si>
  <si>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</si>
  <si>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</si>
  <si>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</si>
  <si>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</si>
  <si>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</si>
  <si>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</si>
  <si>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</si>
  <si>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</si>
  <si>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</si>
  <si>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</si>
  <si>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</si>
  <si>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</si>
  <si>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</si>
  <si>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</si>
  <si>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</si>
  <si>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</si>
  <si>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</si>
  <si>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</si>
  <si>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</si>
  <si>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</si>
  <si>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</si>
  <si>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</si>
  <si>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</si>
  <si>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</si>
  <si>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</si>
  <si>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</si>
  <si>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</si>
  <si>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</si>
  <si>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</si>
  <si>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</si>
  <si>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</si>
  <si>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</si>
  <si>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</si>
  <si>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</si>
  <si>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</si>
  <si>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</si>
  <si>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</si>
  <si>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</si>
  <si>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</si>
  <si>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</si>
  <si>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</si>
  <si>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</si>
  <si>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</si>
  <si>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</si>
  <si>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</si>
  <si>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</si>
  <si>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</si>
  <si>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</si>
  <si>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</si>
  <si>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</si>
  <si>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</si>
  <si>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</si>
  <si>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</si>
  <si>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</si>
  <si>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</si>
  <si>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</si>
  <si>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</si>
  <si>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</si>
  <si>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</si>
  <si>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</si>
  <si>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</si>
  <si>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</si>
  <si>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</si>
  <si>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</si>
  <si>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</si>
  <si>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</si>
  <si>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</si>
  <si>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</si>
  <si>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</si>
  <si>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</si>
  <si>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</si>
  <si>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</si>
  <si>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</si>
  <si>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</si>
  <si>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</si>
  <si>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</si>
  <si>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</si>
  <si>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</si>
  <si>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</si>
  <si>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</si>
  <si>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</si>
  <si>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</si>
  <si>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</si>
  <si>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</si>
  <si>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</si>
  <si>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</si>
  <si>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</si>
  <si>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</si>
  <si>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</si>
  <si>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</si>
  <si>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</si>
  <si>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</si>
  <si>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</si>
  <si>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</si>
  <si>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</si>
  <si>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</si>
  <si>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</si>
  <si>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</si>
  <si>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</si>
  <si>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</si>
  <si>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</si>
  <si>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</si>
  <si>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</si>
  <si>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</si>
  <si>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</si>
  <si>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</si>
  <si>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</si>
  <si>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</si>
  <si>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</si>
  <si>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</si>
  <si>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</si>
  <si>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</si>
  <si>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</si>
  <si>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</si>
  <si>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</si>
  <si>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</si>
  <si>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</si>
  <si>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</si>
  <si>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</si>
  <si>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</si>
  <si>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</si>
  <si>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</si>
  <si>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</si>
  <si>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</si>
  <si>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</si>
  <si>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</si>
  <si>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</si>
  <si>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</si>
  <si>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</si>
  <si>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</si>
  <si>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</si>
  <si>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</si>
  <si>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</si>
  <si>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</si>
  <si>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</si>
  <si>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</si>
  <si>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</si>
  <si>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</si>
  <si>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</si>
  <si>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</si>
  <si>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</si>
  <si>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</si>
  <si>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</si>
  <si>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</si>
  <si>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</si>
  <si>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</si>
  <si>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</si>
  <si>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</si>
  <si>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</si>
  <si>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</si>
  <si>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</si>
  <si>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</si>
  <si>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</si>
  <si>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</si>
  <si>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</si>
  <si>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</si>
  <si>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</si>
  <si>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</si>
  <si>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</si>
  <si>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</si>
  <si>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</si>
  <si>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</si>
  <si>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</si>
  <si>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</si>
  <si>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</si>
  <si>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</si>
  <si>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</si>
  <si>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</si>
  <si>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</si>
  <si>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</si>
  <si>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</si>
  <si>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</si>
  <si>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</si>
  <si>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</si>
  <si>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</si>
  <si>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</si>
  <si>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</si>
  <si>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</si>
  <si>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</si>
  <si>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</si>
  <si>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</si>
  <si>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</si>
  <si>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</si>
  <si>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</si>
  <si>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</si>
  <si>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</si>
  <si>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</si>
  <si>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</si>
  <si>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</si>
  <si>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</si>
  <si>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</si>
  <si>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</si>
  <si>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</si>
  <si>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</si>
  <si>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</si>
  <si>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</si>
  <si>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</si>
  <si>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</si>
  <si>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</si>
  <si>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</si>
  <si>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</si>
  <si>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</si>
  <si>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</si>
  <si>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</si>
  <si>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</si>
  <si>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</si>
  <si>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</si>
  <si>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</si>
  <si>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</si>
  <si>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</si>
  <si>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</si>
  <si>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</si>
  <si>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</si>
  <si>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</si>
  <si>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</si>
  <si>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</si>
  <si>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</si>
  <si>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</si>
  <si>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</si>
  <si>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</si>
  <si>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</si>
  <si>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</si>
  <si>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</si>
  <si>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</si>
  <si>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</si>
  <si>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</si>
  <si>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</si>
  <si>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</si>
  <si>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</si>
  <si>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</si>
  <si>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</si>
  <si>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</si>
  <si>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</si>
  <si>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</si>
  <si>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</si>
  <si>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</si>
  <si>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</si>
  <si>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</si>
  <si>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</si>
  <si>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</si>
  <si>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</si>
  <si>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</si>
  <si>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</si>
  <si>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</si>
  <si>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</si>
  <si>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</si>
  <si>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</si>
  <si>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</si>
  <si>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</si>
  <si>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</si>
  <si>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</si>
  <si>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</si>
  <si>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</si>
  <si>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</si>
  <si>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</si>
  <si>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</si>
  <si>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</si>
  <si>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</si>
  <si>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</si>
  <si>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</si>
  <si>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</si>
  <si>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</si>
  <si>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</si>
  <si>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</si>
  <si>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</si>
  <si>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</si>
  <si>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</si>
  <si>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</si>
  <si>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</si>
  <si>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</si>
  <si>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</si>
  <si>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</si>
  <si>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</si>
  <si>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</si>
  <si>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</si>
  <si>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</si>
  <si>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</si>
  <si>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</si>
  <si>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</si>
  <si>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</si>
  <si>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</si>
  <si>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</si>
  <si>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</si>
  <si>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</si>
  <si>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</si>
  <si>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</si>
  <si>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</si>
  <si>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</si>
  <si>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</si>
  <si>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</si>
  <si>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</si>
  <si>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</si>
  <si>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</si>
  <si>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</si>
  <si>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</si>
  <si>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</si>
  <si>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</si>
  <si>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</si>
  <si>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</si>
  <si>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</si>
  <si>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</si>
  <si>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</si>
  <si>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</si>
  <si>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</si>
  <si>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</si>
  <si>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</si>
  <si>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</si>
  <si>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</si>
  <si>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</si>
  <si>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</si>
  <si>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</si>
  <si>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</si>
  <si>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</si>
  <si>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</si>
  <si>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</si>
  <si>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</si>
  <si>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</si>
  <si>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</si>
  <si>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</si>
  <si>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</si>
  <si>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</si>
  <si>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</si>
  <si>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</si>
  <si>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</si>
  <si>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</si>
  <si>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</si>
  <si>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</si>
  <si>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</si>
  <si>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</si>
  <si>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</si>
  <si>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</si>
  <si>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</si>
  <si>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</si>
  <si>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</si>
  <si>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</si>
  <si>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</si>
  <si>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</si>
  <si>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</si>
  <si>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</si>
  <si>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</si>
  <si>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</si>
  <si>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</si>
  <si>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</si>
  <si>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</si>
  <si>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</si>
  <si>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</si>
  <si>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</si>
  <si>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</si>
  <si>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</si>
  <si>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</si>
  <si>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</si>
  <si>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</si>
  <si>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</si>
  <si>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</si>
  <si>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</si>
  <si>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</si>
  <si>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</si>
  <si>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</si>
  <si>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</si>
  <si>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</si>
  <si>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</si>
  <si>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</si>
  <si>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</si>
  <si>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</si>
  <si>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</si>
  <si>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</si>
  <si>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</si>
  <si>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</si>
  <si>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</si>
  <si>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</si>
  <si>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</si>
  <si>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</si>
  <si>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</si>
  <si>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</si>
  <si>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</si>
  <si>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</si>
  <si>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</si>
  <si>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</si>
  <si>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</si>
  <si>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</si>
  <si>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</si>
  <si>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</si>
  <si>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</si>
  <si>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</si>
  <si>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</si>
  <si>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</si>
  <si>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</si>
  <si>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</si>
  <si>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</si>
  <si>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</si>
  <si>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</si>
  <si>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</si>
  <si>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</si>
  <si>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</si>
  <si>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</si>
  <si>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</si>
  <si>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</si>
  <si>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</si>
  <si>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</si>
  <si>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</si>
  <si>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</si>
  <si>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</si>
  <si>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</si>
  <si>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</si>
  <si>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</si>
  <si>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</si>
  <si>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</si>
  <si>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</si>
  <si>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</si>
  <si>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</si>
  <si>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</si>
  <si>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</si>
  <si>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</si>
  <si>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</si>
  <si>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</si>
  <si>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</si>
  <si>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</si>
  <si>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</si>
  <si>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</si>
  <si>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</si>
  <si>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</si>
  <si>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</si>
  <si>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</si>
  <si>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</si>
  <si>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</si>
  <si>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</si>
  <si>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</si>
  <si>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</si>
  <si>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</si>
  <si>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</si>
  <si>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</si>
  <si>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</si>
  <si>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</si>
  <si>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</si>
  <si>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</si>
  <si>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</si>
  <si>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</si>
  <si>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</si>
  <si>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</si>
  <si>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</si>
  <si>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</si>
  <si>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</si>
  <si>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</si>
  <si>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</si>
  <si>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</si>
  <si>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</si>
  <si>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</si>
  <si>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</si>
  <si>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</si>
  <si>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</si>
  <si>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</si>
  <si>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</si>
  <si>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</si>
  <si>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</si>
  <si>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</si>
  <si>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</si>
  <si>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</si>
  <si>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</si>
  <si>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</si>
  <si>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</si>
  <si>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</si>
  <si>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</si>
  <si>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</si>
  <si>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</si>
  <si>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</si>
  <si>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</si>
  <si>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</si>
  <si>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</si>
  <si>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</si>
  <si>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</si>
  <si>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</si>
  <si>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</si>
  <si>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</si>
  <si>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</si>
  <si>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</si>
  <si>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</si>
  <si>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</si>
  <si>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</si>
  <si>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</si>
  <si>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</si>
  <si>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</si>
  <si>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</si>
  <si>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</si>
  <si>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</si>
  <si>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</si>
  <si>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</si>
  <si>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</si>
  <si>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</si>
  <si>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</si>
  <si>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</si>
  <si>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</si>
  <si>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</si>
  <si>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</si>
  <si>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</si>
  <si>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</si>
  <si>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</si>
  <si>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</si>
  <si>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</si>
  <si>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</si>
  <si>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</si>
  <si>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</si>
  <si>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</si>
  <si>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</si>
  <si>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</si>
  <si>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</si>
  <si>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</si>
  <si>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</si>
  <si>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</si>
  <si>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</si>
  <si>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</si>
  <si>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</si>
  <si>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</si>
  <si>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</si>
  <si>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</si>
  <si>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</si>
  <si>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</si>
  <si>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</si>
  <si>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</si>
  <si>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</si>
  <si>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</si>
  <si>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</si>
  <si>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</si>
  <si>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</si>
  <si>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</si>
  <si>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</si>
  <si>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</si>
  <si>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</si>
  <si>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</si>
  <si>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</si>
  <si>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</si>
  <si>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</si>
  <si>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</si>
  <si>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</si>
  <si>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</si>
  <si>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</si>
  <si>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</si>
  <si>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</si>
  <si>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</si>
  <si>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</si>
  <si>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</si>
  <si>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</si>
  <si>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</si>
  <si>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</si>
  <si>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</si>
  <si>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</si>
  <si>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</si>
  <si>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</si>
  <si>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</si>
  <si>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</si>
  <si>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</si>
  <si>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</si>
  <si>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</si>
  <si>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</si>
  <si>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</si>
  <si>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</si>
  <si>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</si>
  <si>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</si>
  <si>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</si>
  <si>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</si>
  <si>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</si>
  <si>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</si>
  <si>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</si>
  <si>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</si>
  <si>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</si>
  <si>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</si>
  <si>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</si>
  <si>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</si>
  <si>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</si>
  <si>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</si>
  <si>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</si>
  <si>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</si>
  <si>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</si>
  <si>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</si>
  <si>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</si>
  <si>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</si>
  <si>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</si>
  <si>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</si>
  <si>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</si>
  <si>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</si>
  <si>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</si>
  <si>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</si>
  <si>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</si>
  <si>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</si>
  <si>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</si>
  <si>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</si>
  <si>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</si>
  <si>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</si>
  <si>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</si>
  <si>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</si>
  <si>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</si>
  <si>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</si>
  <si>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</si>
  <si>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</si>
  <si>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</si>
  <si>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</si>
  <si>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</si>
  <si>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</si>
  <si>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</si>
  <si>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</si>
  <si>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</si>
  <si>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</si>
  <si>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</si>
  <si>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</si>
  <si>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</si>
  <si>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</si>
  <si>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</si>
  <si>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</si>
  <si>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</si>
  <si>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</si>
  <si>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</si>
  <si>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</si>
  <si>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</si>
  <si>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</si>
  <si>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</si>
  <si>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</si>
  <si>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</si>
  <si>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</si>
  <si>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</si>
  <si>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</si>
  <si>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</si>
  <si>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</si>
  <si>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</si>
  <si>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</si>
  <si>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</si>
  <si>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</si>
  <si>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</si>
  <si>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</si>
  <si>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</si>
  <si>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</si>
  <si>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</si>
  <si>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</si>
  <si>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</si>
  <si>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</si>
  <si>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</si>
  <si>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</si>
  <si>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</si>
  <si>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</si>
  <si>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</si>
  <si>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</si>
  <si>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</si>
  <si>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</si>
  <si>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</si>
  <si>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</si>
  <si>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</si>
  <si>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</si>
  <si>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</si>
  <si>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</si>
  <si>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</si>
  <si>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</si>
  <si>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</si>
  <si>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</si>
  <si>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</si>
  <si>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</si>
  <si>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</si>
  <si>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</si>
  <si>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</si>
  <si>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</si>
  <si>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</si>
  <si>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</si>
  <si>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</si>
  <si>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</si>
  <si>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</si>
  <si>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</si>
  <si>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</si>
  <si>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</si>
  <si>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</si>
  <si>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</si>
  <si>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</si>
  <si>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</si>
  <si>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</si>
  <si>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</si>
  <si>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</si>
  <si>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</si>
  <si>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</si>
  <si>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</si>
  <si>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</si>
  <si>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</si>
  <si>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</si>
  <si>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</si>
  <si>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</si>
  <si>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</si>
  <si>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</si>
  <si>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</si>
  <si>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</si>
  <si>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</si>
  <si>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</si>
  <si>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</si>
  <si>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</si>
  <si>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</si>
  <si>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</si>
  <si>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</si>
  <si>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</si>
  <si>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</si>
  <si>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</si>
  <si>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</si>
  <si>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</si>
  <si>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</si>
  <si>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</si>
  <si>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</si>
  <si>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</si>
  <si>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</si>
  <si>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</si>
  <si>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</si>
  <si>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</si>
  <si>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</si>
  <si>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</si>
  <si>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</si>
  <si>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</si>
  <si>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</si>
  <si>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</si>
  <si>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</si>
  <si>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</si>
  <si>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</si>
  <si>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</si>
  <si>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</si>
  <si>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</si>
  <si>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</si>
  <si>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</si>
  <si>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</si>
  <si>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</si>
  <si>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</si>
  <si>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</si>
  <si>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</si>
  <si>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</si>
  <si>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</si>
  <si>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</si>
  <si>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</si>
  <si>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</si>
  <si>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</si>
  <si>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</si>
  <si>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</si>
  <si>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</si>
  <si>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</si>
  <si>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</si>
  <si>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</si>
  <si>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</si>
  <si>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</si>
  <si>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</si>
  <si>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</si>
  <si>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</si>
  <si>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</si>
  <si>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</si>
  <si>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</si>
  <si>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</si>
  <si>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</si>
  <si>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</si>
  <si>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</si>
  <si>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</si>
  <si>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</si>
  <si>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</si>
  <si>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</si>
  <si>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</si>
  <si>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</si>
  <si>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</si>
  <si>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</si>
  <si>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</si>
  <si>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</si>
  <si>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</si>
  <si>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</si>
  <si>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</si>
  <si>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</si>
  <si>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</si>
  <si>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</si>
  <si>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</si>
  <si>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</si>
  <si>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</si>
  <si>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</si>
  <si>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</si>
  <si>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</si>
  <si>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</si>
  <si>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</si>
  <si>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</si>
  <si>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</si>
  <si>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</si>
  <si>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</si>
  <si>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</si>
  <si>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</si>
  <si>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</si>
  <si>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</si>
  <si>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</si>
  <si>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</si>
  <si>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</si>
  <si>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</si>
  <si>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</si>
  <si>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</si>
  <si>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</si>
  <si>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</si>
  <si>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</si>
  <si>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</si>
  <si>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</si>
  <si>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</si>
  <si>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</si>
  <si>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</si>
  <si>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</si>
  <si>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</si>
  <si>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</si>
  <si>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</si>
  <si>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</si>
  <si>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</si>
  <si>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</si>
  <si>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</si>
  <si>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</si>
  <si>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</si>
  <si>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</si>
  <si>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</si>
  <si>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</si>
  <si>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</si>
  <si>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</si>
  <si>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</si>
  <si>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</si>
  <si>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</si>
  <si>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</si>
  <si>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</si>
  <si>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</si>
  <si>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</si>
  <si>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</si>
  <si>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</si>
  <si>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</si>
  <si>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</si>
  <si>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</si>
  <si>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</si>
  <si>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</si>
  <si>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Güncelleme Tarihi 10.08.2026</t>
  </si>
  <si>
    <t>Stok Miktarı
10.08.2026</t>
  </si>
  <si>
    <t>Toplam Stok Miktarı
10.08.2026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</si>
</sst>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NumberFormat="1" applyFont="1"/>
    <xf numFmtId="0" fontId="32" fillId="0" borderId="0" xfId="0" applyFont="1" applyAlignment="1">
      <alignment horizontal="left" indent="1"/>
    </xf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164" fontId="32" fillId="7" borderId="0" xfId="0" applyNumberFormat="1" applyFont="1" applyFill="1" applyAlignment="1">
      <alignment horizontal="right"/>
    </xf>
    <xf numFmtId="0" fontId="32" fillId="7" borderId="0" xfId="0" applyNumberFormat="1" applyFont="1" applyFill="1"/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Dashboard!$K$6:$K$108</c:f>
              <c:numCache>
                <c:formatCode>m/d/yyyy</c:formatCode>
                <c:ptCount val="103"/>
                <c:pt idx="0">
                  <c:v>46244</c:v>
                </c:pt>
                <c:pt idx="1">
                  <c:v>46237</c:v>
                </c:pt>
                <c:pt idx="2">
                  <c:v>46223</c:v>
                </c:pt>
                <c:pt idx="3">
                  <c:v>46216</c:v>
                </c:pt>
                <c:pt idx="4">
                  <c:v>46209</c:v>
                </c:pt>
                <c:pt idx="5">
                  <c:v>46202</c:v>
                </c:pt>
                <c:pt idx="6">
                  <c:v>46195</c:v>
                </c:pt>
                <c:pt idx="7">
                  <c:v>46188</c:v>
                </c:pt>
                <c:pt idx="8">
                  <c:v>46181</c:v>
                </c:pt>
                <c:pt idx="9">
                  <c:v>46174</c:v>
                </c:pt>
                <c:pt idx="10">
                  <c:v>46160</c:v>
                </c:pt>
                <c:pt idx="11">
                  <c:v>46153</c:v>
                </c:pt>
                <c:pt idx="12">
                  <c:v>46146</c:v>
                </c:pt>
                <c:pt idx="13">
                  <c:v>46139</c:v>
                </c:pt>
                <c:pt idx="14">
                  <c:v>46132</c:v>
                </c:pt>
                <c:pt idx="15">
                  <c:v>46125</c:v>
                </c:pt>
                <c:pt idx="16">
                  <c:v>46118</c:v>
                </c:pt>
                <c:pt idx="17">
                  <c:v>46111</c:v>
                </c:pt>
                <c:pt idx="18">
                  <c:v>46104</c:v>
                </c:pt>
                <c:pt idx="19">
                  <c:v>46097</c:v>
                </c:pt>
                <c:pt idx="20">
                  <c:v>46090</c:v>
                </c:pt>
                <c:pt idx="21">
                  <c:v>46083</c:v>
                </c:pt>
                <c:pt idx="22">
                  <c:v>46076</c:v>
                </c:pt>
                <c:pt idx="23">
                  <c:v>46069</c:v>
                </c:pt>
                <c:pt idx="24">
                  <c:v>46062</c:v>
                </c:pt>
                <c:pt idx="25">
                  <c:v>46055</c:v>
                </c:pt>
                <c:pt idx="26">
                  <c:v>46048</c:v>
                </c:pt>
                <c:pt idx="27">
                  <c:v>46041</c:v>
                </c:pt>
                <c:pt idx="28">
                  <c:v>46034</c:v>
                </c:pt>
                <c:pt idx="29">
                  <c:v>46027</c:v>
                </c:pt>
                <c:pt idx="30">
                  <c:v>46020</c:v>
                </c:pt>
                <c:pt idx="31">
                  <c:v>46013</c:v>
                </c:pt>
                <c:pt idx="32">
                  <c:v>46006</c:v>
                </c:pt>
                <c:pt idx="33">
                  <c:v>45999</c:v>
                </c:pt>
                <c:pt idx="34">
                  <c:v>45992</c:v>
                </c:pt>
                <c:pt idx="35">
                  <c:v>45985</c:v>
                </c:pt>
                <c:pt idx="36">
                  <c:v>45978</c:v>
                </c:pt>
                <c:pt idx="37">
                  <c:v>45971</c:v>
                </c:pt>
                <c:pt idx="38">
                  <c:v>45964</c:v>
                </c:pt>
                <c:pt idx="39">
                  <c:v>45950</c:v>
                </c:pt>
                <c:pt idx="40">
                  <c:v>45943</c:v>
                </c:pt>
                <c:pt idx="41">
                  <c:v>45936</c:v>
                </c:pt>
                <c:pt idx="42">
                  <c:v>45929</c:v>
                </c:pt>
                <c:pt idx="43">
                  <c:v>45919</c:v>
                </c:pt>
                <c:pt idx="44">
                  <c:v>45908</c:v>
                </c:pt>
                <c:pt idx="45">
                  <c:v>45896</c:v>
                </c:pt>
                <c:pt idx="46">
                  <c:v>45866</c:v>
                </c:pt>
                <c:pt idx="47">
                  <c:v>45840</c:v>
                </c:pt>
                <c:pt idx="48">
                  <c:v>45824</c:v>
                </c:pt>
                <c:pt idx="49">
                  <c:v>45805</c:v>
                </c:pt>
                <c:pt idx="50">
                  <c:v>45797</c:v>
                </c:pt>
                <c:pt idx="51">
                  <c:v>45783</c:v>
                </c:pt>
                <c:pt idx="52">
                  <c:v>45769</c:v>
                </c:pt>
                <c:pt idx="53">
                  <c:v>45762</c:v>
                </c:pt>
                <c:pt idx="54">
                  <c:v>45750</c:v>
                </c:pt>
                <c:pt idx="55">
                  <c:v>45741</c:v>
                </c:pt>
                <c:pt idx="56">
                  <c:v>45736</c:v>
                </c:pt>
                <c:pt idx="57">
                  <c:v>45726</c:v>
                </c:pt>
                <c:pt idx="58">
                  <c:v>45723</c:v>
                </c:pt>
                <c:pt idx="59">
                  <c:v>45716</c:v>
                </c:pt>
                <c:pt idx="60">
                  <c:v>45712</c:v>
                </c:pt>
                <c:pt idx="61">
                  <c:v>45705</c:v>
                </c:pt>
                <c:pt idx="62">
                  <c:v>45702</c:v>
                </c:pt>
                <c:pt idx="63">
                  <c:v>45698</c:v>
                </c:pt>
                <c:pt idx="64">
                  <c:v>45691</c:v>
                </c:pt>
                <c:pt idx="65">
                  <c:v>45684</c:v>
                </c:pt>
                <c:pt idx="66">
                  <c:v>45677</c:v>
                </c:pt>
                <c:pt idx="67">
                  <c:v>45672</c:v>
                </c:pt>
                <c:pt idx="68">
                  <c:v>45656</c:v>
                </c:pt>
                <c:pt idx="69">
                  <c:v>45649</c:v>
                </c:pt>
                <c:pt idx="70">
                  <c:v>45642</c:v>
                </c:pt>
                <c:pt idx="71">
                  <c:v>45635</c:v>
                </c:pt>
                <c:pt idx="72">
                  <c:v>45630</c:v>
                </c:pt>
                <c:pt idx="73">
                  <c:v>45614</c:v>
                </c:pt>
                <c:pt idx="74">
                  <c:v>45608</c:v>
                </c:pt>
                <c:pt idx="75">
                  <c:v>45596</c:v>
                </c:pt>
                <c:pt idx="76">
                  <c:v>45580</c:v>
                </c:pt>
                <c:pt idx="77">
                  <c:v>45570</c:v>
                </c:pt>
                <c:pt idx="78">
                  <c:v>45563</c:v>
                </c:pt>
                <c:pt idx="79">
                  <c:v>45552</c:v>
                </c:pt>
                <c:pt idx="80">
                  <c:v>45539</c:v>
                </c:pt>
                <c:pt idx="81">
                  <c:v>45524</c:v>
                </c:pt>
                <c:pt idx="82">
                  <c:v>45511</c:v>
                </c:pt>
                <c:pt idx="83">
                  <c:v>45500</c:v>
                </c:pt>
                <c:pt idx="84">
                  <c:v>45490</c:v>
                </c:pt>
                <c:pt idx="85">
                  <c:v>45478</c:v>
                </c:pt>
                <c:pt idx="86">
                  <c:v>45467</c:v>
                </c:pt>
                <c:pt idx="87">
                  <c:v>45455</c:v>
                </c:pt>
                <c:pt idx="88">
                  <c:v>45442</c:v>
                </c:pt>
                <c:pt idx="89">
                  <c:v>45427</c:v>
                </c:pt>
                <c:pt idx="90">
                  <c:v>45427</c:v>
                </c:pt>
                <c:pt idx="91">
                  <c:v>45411</c:v>
                </c:pt>
                <c:pt idx="92">
                  <c:v>45397</c:v>
                </c:pt>
                <c:pt idx="93">
                  <c:v>45376</c:v>
                </c:pt>
                <c:pt idx="94">
                  <c:v>45364</c:v>
                </c:pt>
                <c:pt idx="95">
                  <c:v>45352</c:v>
                </c:pt>
                <c:pt idx="96">
                  <c:v>45334</c:v>
                </c:pt>
                <c:pt idx="97">
                  <c:v>45320</c:v>
                </c:pt>
                <c:pt idx="98">
                  <c:v>45313</c:v>
                </c:pt>
                <c:pt idx="99">
                  <c:v>45293</c:v>
                </c:pt>
                <c:pt idx="100">
                  <c:v>45285</c:v>
                </c:pt>
                <c:pt idx="101">
                  <c:v>45275</c:v>
                </c:pt>
                <c:pt idx="102">
                  <c:v>45173</c:v>
                </c:pt>
              </c:numCache>
            </c:numRef>
          </c:cat>
          <c:val>
            <c:numRef>
              <c:f>Dashboard!$L$6:$L$108</c:f>
              <c:numCache>
                <c:formatCode>General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44.662700925925" createdVersion="8" refreshedVersion="8" minRefreshableVersion="3" recordCount="438" xr:uid="{ADE67B73-E7EF-4365-8586-CC697F353E8B}">
  <cacheSource type="worksheet">
    <worksheetSource ref="A1:DL439" sheet="Stok"/>
  </cacheSource>
  <cacheFields count="116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0878346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</r>
  <r>
    <m/>
    <x v="84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</r>
  <r>
    <m/>
    <x v="85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6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0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8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9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0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1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2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3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4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5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6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7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8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2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</r>
  <r>
    <m/>
    <x v="114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5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6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8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9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85.01686295999986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</r>
  <r>
    <m/>
    <x v="120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68.31952000000001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</r>
  <r>
    <m/>
    <x v="121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3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4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5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6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7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8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</r>
  <r>
    <m/>
    <x v="129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0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1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</r>
  <r>
    <m/>
    <x v="132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3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4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6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7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8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</r>
  <r>
    <m/>
    <x v="139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78.218311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</r>
  <r>
    <m/>
    <x v="140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</r>
  <r>
    <m/>
    <x v="141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2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3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4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5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6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8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2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3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4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</r>
  <r>
    <m/>
    <x v="155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6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</r>
  <r>
    <m/>
    <x v="158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</r>
  <r>
    <m/>
    <x v="159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1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3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4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5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6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7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8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9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0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1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2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3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4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6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7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9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</r>
  <r>
    <m/>
    <x v="182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</r>
  <r>
    <m/>
    <x v="183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4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5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</r>
  <r>
    <m/>
    <x v="188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</r>
  <r>
    <m/>
    <x v="189"/>
    <s v="LC-LC Patch Cord (duplex) OS2 5meters 2.0mm LSZH"/>
    <x v="11"/>
    <x v="7"/>
    <n v="1102"/>
    <s v="F2 Connect"/>
    <s v="Adet"/>
    <n v="300"/>
    <m/>
    <m/>
    <m/>
    <n v="2.2089600000000003"/>
    <n v="543.40416000000005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</r>
  <r>
    <m/>
    <x v="190"/>
    <s v="LC-LC Patch Cord (duplex) OS2 7meters 2.0mm LSZH"/>
    <x v="11"/>
    <x v="7"/>
    <n v="1102"/>
    <s v="F2 Connect"/>
    <s v="Adet"/>
    <n v="100"/>
    <m/>
    <m/>
    <m/>
    <n v="2.3835600000000001"/>
    <n v="190.6848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</r>
  <r>
    <m/>
    <x v="191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</r>
  <r>
    <m/>
    <x v="192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</r>
  <r>
    <m/>
    <x v="193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4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5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</r>
  <r>
    <m/>
    <x v="196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</r>
  <r>
    <m/>
    <x v="197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8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9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</r>
  <r>
    <m/>
    <x v="200"/>
    <s v="SC-LC patch cord (duplex) OS2 3meters 2.0mm LSZH"/>
    <x v="11"/>
    <x v="7"/>
    <n v="1102"/>
    <s v="F2 Connect"/>
    <s v="Adet"/>
    <n v="200"/>
    <m/>
    <m/>
    <m/>
    <n v="2.0227200000000001"/>
    <n v="113.2723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</r>
  <r>
    <m/>
    <x v="201"/>
    <s v="SC-LC patch cord (duplex) OS2 5meters 2.0mm LSZH"/>
    <x v="11"/>
    <x v="7"/>
    <n v="1102"/>
    <s v="F2 Connect"/>
    <s v="Adet"/>
    <n v="61"/>
    <m/>
    <m/>
    <m/>
    <n v="2.2089600000000003"/>
    <n v="108.23904000000002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</r>
  <r>
    <m/>
    <x v="202"/>
    <s v="SC-LC patch cord (duplex) OS2 7meters 2.0mm LSZH"/>
    <x v="11"/>
    <x v="7"/>
    <n v="1102"/>
    <s v="F2 Connect"/>
    <s v="Adet"/>
    <n v="50"/>
    <m/>
    <m/>
    <m/>
    <n v="2.3835600000000001"/>
    <n v="21.45204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</r>
  <r>
    <m/>
    <x v="203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4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5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6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</r>
  <r>
    <m/>
    <x v="207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8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9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</r>
  <r>
    <m/>
    <x v="210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1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2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3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4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5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6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7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8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9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</r>
  <r>
    <m/>
    <x v="220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1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</r>
  <r>
    <m/>
    <x v="222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</r>
  <r>
    <m/>
    <x v="223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4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5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</r>
  <r>
    <m/>
    <x v="226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8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</r>
  <r>
    <m/>
    <x v="229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0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</r>
  <r>
    <m/>
    <x v="231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2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</r>
  <r>
    <m/>
    <x v="233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4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</r>
  <r>
    <m/>
    <x v="235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6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</r>
  <r>
    <m/>
    <x v="237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8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9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0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</r>
  <r>
    <m/>
    <x v="242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</r>
  <r>
    <m/>
    <x v="243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4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5"/>
    <s v="DAC,40G,QSFP+ to QSFP+,Copper Passive,3mt,AWG30"/>
    <x v="11"/>
    <x v="4"/>
    <n v="1006"/>
    <s v="F2 Connect"/>
    <s v="Adet"/>
    <n v="5"/>
    <m/>
    <s v="Sıfır paketli"/>
    <m/>
    <n v="23.75"/>
    <n v="0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</r>
  <r>
    <m/>
    <x v="246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7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8"/>
    <s v="DAC, 10G, SFP+ to SFP+, Copper Passive, 1mt, AWG30"/>
    <x v="11"/>
    <x v="4"/>
    <n v="1006"/>
    <s v="F2 Connect"/>
    <s v="Adet"/>
    <n v="19"/>
    <m/>
    <s v="Sıfır paketli"/>
    <m/>
    <n v="6.0625"/>
    <n v="18.187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</r>
  <r>
    <m/>
    <x v="249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0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1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7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9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0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1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3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4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</r>
  <r>
    <m/>
    <x v="265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6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7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</r>
  <r>
    <m/>
    <x v="276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9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6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7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Legrand U/UTP Cat6 LSZH Lan Cable 4P Mavi Makara"/>
    <x v="19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</r>
  <r>
    <m/>
    <x v="292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</r>
  <r>
    <m/>
    <x v="293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</r>
  <r>
    <m/>
    <x v="297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</r>
  <r>
    <m/>
    <x v="298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9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4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</r>
  <r>
    <m/>
    <x v="85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5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6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7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8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9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0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1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2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3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4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5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6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8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5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0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</r>
  <r>
    <m/>
    <x v="321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</r>
  <r>
    <m/>
    <x v="322"/>
    <s v="8-Port 100/1000M electric interfaces, 2-Port 1G SFP interfaces, 150W PoE&amp;PoE+, Single AC Power"/>
    <x v="25"/>
    <x v="0"/>
    <m/>
    <m/>
    <m/>
    <m/>
    <m/>
    <m/>
    <m/>
    <n v="102.06"/>
    <n v="28678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</r>
  <r>
    <m/>
    <x v="323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</r>
  <r>
    <m/>
    <x v="324"/>
    <s v="24-Port 100/1000M electric interfaces, 4-Port 1G SFP interfaces, 380W PoE&amp;PoE+, Single AC Power"/>
    <x v="25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</r>
  <r>
    <m/>
    <x v="325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6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7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0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</r>
  <r>
    <m/>
    <x v="331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</r>
  <r>
    <m/>
    <x v="332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</r>
  <r>
    <m/>
    <x v="333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334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5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6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9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0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1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5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7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</r>
  <r>
    <m/>
    <x v="348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9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2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R350 WW dual band 11ax indoor AP 2x2:2"/>
    <x v="31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</r>
  <r>
    <m/>
    <x v="354"/>
    <s v="R550 WW 11ax indoor 2x2:2 AP Plenum"/>
    <x v="31"/>
    <x v="2"/>
    <n v="1002"/>
    <s v="F2"/>
    <s v="Adet"/>
    <n v="4"/>
    <n v="3"/>
    <s v="Sıfır kutulu"/>
    <s v="3 Adet Antalya Showroom"/>
    <n v="392.16"/>
    <n v="34117.92000000000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</r>
  <r>
    <m/>
    <x v="355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T350c, Outdoor, 11ax, AP 2x2:2"/>
    <x v="31"/>
    <x v="2"/>
    <n v="1002"/>
    <s v="F2"/>
    <s v="Adet"/>
    <n v="18"/>
    <m/>
    <m/>
    <s v="1 adet Praksis arızalı karşılığı gelen ürün"/>
    <n v="433.49"/>
    <n v="31211.279999999999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</r>
  <r>
    <m/>
    <x v="361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</r>
  <r>
    <m/>
    <x v="364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6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</r>
  <r>
    <m/>
    <x v="367"/>
    <s v="R350 WW Unleashed 11ax AP 2x2:2"/>
    <x v="31"/>
    <x v="2"/>
    <n v="1006"/>
    <s v="F2"/>
    <s v="Adet"/>
    <m/>
    <m/>
    <m/>
    <m/>
    <n v="131.33000000000001"/>
    <n v="34145.8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</r>
  <r>
    <m/>
    <x v="368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R650 WW Unleashed 11ax AP 4+2strm"/>
    <x v="31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</r>
  <r>
    <m/>
    <x v="370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2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4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6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9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1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3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4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6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7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14664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</r>
  <r>
    <m/>
    <x v="399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0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Power Cord for VIIG to C13, Europe, 250V 10A"/>
    <x v="31"/>
    <x v="3"/>
    <n v="1006"/>
    <s v="F2"/>
    <s v="Adet"/>
    <n v="60"/>
    <n v="0"/>
    <s v="Sıfır, paketsiz"/>
    <m/>
    <n v="12.78"/>
    <n v="217.26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</r>
  <r>
    <m/>
    <x v="403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4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5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8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9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0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1-port PoE Adapter (1000Base-T, 802.3af)"/>
    <x v="32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</r>
  <r>
    <m/>
    <x v="413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</r>
  <r>
    <m/>
    <x v="414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</r>
  <r>
    <m/>
    <x v="417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9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0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2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3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4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5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6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7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8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9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0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1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2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3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4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7519D-9DCB-4D25-BC61-36234A94425D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9" firstHeaderRow="0" firstDataRow="1" firstDataCol="1"/>
  <pivotFields count="116">
    <pivotField showAll="0"/>
    <pivotField axis="axisRow" showAll="0" sortType="ascending">
      <items count="436">
        <item sd="0" x="290"/>
        <item x="90"/>
        <item sd="0" x="332"/>
        <item x="72"/>
        <item x="83"/>
        <item x="84"/>
        <item x="71"/>
        <item x="79"/>
        <item x="82"/>
        <item x="431"/>
        <item x="304"/>
        <item x="301"/>
        <item x="292"/>
        <item x="291"/>
        <item sd="0" x="334"/>
        <item sd="0" x="335"/>
        <item sd="0" x="336"/>
        <item sd="0" x="65"/>
        <item x="295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7"/>
        <item sd="0" x="86"/>
        <item x="88"/>
        <item x="68"/>
        <item x="69"/>
        <item sd="0" x="54"/>
        <item x="70"/>
        <item x="67"/>
        <item sd="0" x="279"/>
        <item sd="0" x="89"/>
        <item sd="0" x="404"/>
        <item x="298"/>
        <item sd="0" x="282"/>
        <item x="283"/>
        <item sd="0" x="285"/>
        <item sd="0" x="339"/>
        <item sd="0" x="340"/>
        <item sd="0" x="55"/>
        <item x="77"/>
        <item x="75"/>
        <item sd="0" x="280"/>
        <item x="293"/>
        <item sd="0" x="14"/>
        <item x="297"/>
        <item x="265"/>
        <item x="296"/>
        <item sd="0" x="56"/>
        <item sd="0" x="284"/>
        <item x="347"/>
        <item sd="0" x="348"/>
        <item x="349"/>
        <item sd="0" x="350"/>
        <item sd="0" x="351"/>
        <item sd="0" x="352"/>
        <item sd="0" x="353"/>
        <item sd="0" x="354"/>
        <item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x="344"/>
        <item sd="0" x="47"/>
        <item x="365"/>
        <item x="366"/>
        <item x="367"/>
        <item sd="0" x="368"/>
        <item x="369"/>
        <item sd="0" x="370"/>
        <item x="76"/>
        <item sd="0" x="34"/>
        <item sd="0" x="35"/>
        <item sd="0" x="36"/>
        <item sd="0" x="91"/>
        <item sd="0" x="92"/>
        <item x="93"/>
        <item sd="0" x="94"/>
        <item x="95"/>
        <item sd="0" x="96"/>
        <item x="97"/>
        <item x="331"/>
        <item x="330"/>
        <item sd="0" x="15"/>
        <item sd="0" x="0"/>
        <item sd="0" x="1"/>
        <item x="434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6"/>
        <item x="43"/>
        <item x="42"/>
        <item sd="0" x="21"/>
        <item sd="0" x="19"/>
        <item sd="0" x="20"/>
        <item sd="0" x="432"/>
        <item sd="0" x="37"/>
        <item sd="0" x="38"/>
        <item sd="0" x="57"/>
        <item sd="0" x="18"/>
        <item sd="0" x="98"/>
        <item sd="0" x="99"/>
        <item sd="0" x="100"/>
        <item sd="0" x="101"/>
        <item sd="0" x="102"/>
        <item sd="0" x="277"/>
        <item x="337"/>
        <item x="338"/>
        <item sd="0" x="33"/>
        <item x="103"/>
        <item x="288"/>
        <item sd="0" x="268"/>
        <item sd="0" x="269"/>
        <item sd="0" x="233"/>
        <item sd="0" x="234"/>
        <item sd="0" x="235"/>
        <item sd="0" x="236"/>
        <item sd="0" x="246"/>
        <item sd="0" x="247"/>
        <item sd="0" x="116"/>
        <item sd="0" x="117"/>
        <item sd="0" x="178"/>
        <item sd="0" x="179"/>
        <item sd="0" x="181"/>
        <item sd="0" x="163"/>
        <item sd="0" x="164"/>
        <item sd="0" x="165"/>
        <item sd="0" x="166"/>
        <item sd="0" x="167"/>
        <item sd="0" x="176"/>
        <item sd="0" x="177"/>
        <item sd="0" x="110"/>
        <item sd="0" x="112"/>
        <item sd="0" x="113"/>
        <item sd="0" x="128"/>
        <item sd="0" x="153"/>
        <item sd="0" x="118"/>
        <item sd="0" x="138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37"/>
        <item sd="0" x="162"/>
        <item sd="0" x="127"/>
        <item sd="0" x="147"/>
        <item sd="0" x="114"/>
        <item sd="0" x="115"/>
        <item sd="0" x="170"/>
        <item sd="0" x="174"/>
        <item sd="0" x="172"/>
        <item sd="0" x="173"/>
        <item sd="0" x="175"/>
        <item sd="0" x="168"/>
        <item sd="0" x="169"/>
        <item sd="0" x="180"/>
        <item sd="0" x="224"/>
        <item sd="0" x="225"/>
        <item sd="0" x="244"/>
        <item sd="0" x="245"/>
        <item sd="0" x="241"/>
        <item sd="0" x="242"/>
        <item x="243"/>
        <item sd="0" x="253"/>
        <item sd="0" x="254"/>
        <item sd="0" x="257"/>
        <item sd="0" x="217"/>
        <item sd="0" x="182"/>
        <item sd="0" x="256"/>
        <item sd="0" x="258"/>
        <item sd="0" x="260"/>
        <item sd="0" x="262"/>
        <item sd="0" x="191"/>
        <item sd="0" x="192"/>
        <item sd="0" x="193"/>
        <item sd="0" x="194"/>
        <item sd="0" x="206"/>
        <item sd="0" x="195"/>
        <item sd="0" x="196"/>
        <item sd="0" x="197"/>
        <item sd="0" x="198"/>
        <item sd="0" x="207"/>
        <item sd="0" x="187"/>
        <item sd="0" x="188"/>
        <item sd="0" x="189"/>
        <item sd="0" x="190"/>
        <item sd="0" x="205"/>
        <item sd="0" x="212"/>
        <item sd="0" x="213"/>
        <item sd="0" x="211"/>
        <item sd="0" x="232"/>
        <item sd="0" x="230"/>
        <item x="231"/>
        <item sd="0" x="221"/>
        <item sd="0" x="222"/>
        <item sd="0" x="223"/>
        <item sd="0" x="255"/>
        <item sd="0" x="184"/>
        <item sd="0" x="263"/>
        <item sd="0" x="185"/>
        <item sd="0" x="186"/>
        <item sd="0" x="239"/>
        <item sd="0" x="240"/>
        <item sd="0" x="252"/>
        <item sd="0" x="251"/>
        <item sd="0" x="250"/>
        <item sd="0" x="238"/>
        <item sd="0" x="227"/>
        <item sd="0" x="226"/>
        <item x="237"/>
        <item sd="0" x="203"/>
        <item sd="0" x="204"/>
        <item sd="0" x="199"/>
        <item sd="0" x="200"/>
        <item sd="0" x="201"/>
        <item sd="0" x="202"/>
        <item sd="0" x="215"/>
        <item sd="0" x="216"/>
        <item sd="0" x="214"/>
        <item sd="0" x="209"/>
        <item sd="0" x="210"/>
        <item sd="0" x="208"/>
        <item sd="0" x="248"/>
        <item sd="0" x="249"/>
        <item sd="0" x="218"/>
        <item sd="0" x="264"/>
        <item sd="0" x="228"/>
        <item sd="0" x="229"/>
        <item sd="0" x="183"/>
        <item sd="0" x="219"/>
        <item sd="0" x="220"/>
        <item sd="0" x="108"/>
        <item x="266"/>
        <item x="78"/>
        <item sd="0" x="273"/>
        <item sd="0" x="274"/>
        <item x="275"/>
        <item sd="0" x="270"/>
        <item sd="0" x="272"/>
        <item sd="0" x="271"/>
        <item sd="0" x="326"/>
        <item sd="0" x="327"/>
        <item sd="0" x="325"/>
        <item sd="0" x="328"/>
        <item sd="0" x="267"/>
        <item x="45"/>
        <item sd="0" x="44"/>
        <item x="299"/>
        <item x="104"/>
        <item sd="0" x="13"/>
        <item sd="0" x="371"/>
        <item sd="0" x="401"/>
        <item sd="0" x="374"/>
        <item sd="0" x="373"/>
        <item sd="0" x="375"/>
        <item x="378"/>
        <item sd="0" x="377"/>
        <item sd="0" x="379"/>
        <item sd="0" x="380"/>
        <item x="381"/>
        <item sd="0" x="384"/>
        <item sd="0" x="382"/>
        <item sd="0" x="385"/>
        <item x="372"/>
        <item x="386"/>
        <item sd="0" x="387"/>
        <item x="388"/>
        <item sd="0" x="389"/>
        <item sd="0" x="391"/>
        <item x="392"/>
        <item x="393"/>
        <item sd="0" x="394"/>
        <item x="395"/>
        <item x="397"/>
        <item sd="0" x="396"/>
        <item sd="0" x="398"/>
        <item sd="0" x="399"/>
        <item sd="0" x="400"/>
        <item x="343"/>
        <item x="322"/>
        <item x="323"/>
        <item x="324"/>
        <item x="320"/>
        <item x="8"/>
        <item sd="0" x="278"/>
        <item x="11"/>
        <item x="9"/>
        <item x="12"/>
        <item sd="0" x="3"/>
        <item x="287"/>
        <item x="289"/>
        <item sd="0" x="2"/>
        <item sd="0" x="4"/>
        <item sd="0" x="433"/>
        <item sd="0" x="106"/>
        <item x="286"/>
        <item sd="0" x="58"/>
        <item sd="0" x="59"/>
        <item x="60"/>
        <item x="61"/>
        <item x="62"/>
        <item x="63"/>
        <item x="64"/>
        <item x="85"/>
        <item x="346"/>
        <item sd="0" x="345"/>
        <item x="53"/>
        <item x="317"/>
        <item sd="0" x="402"/>
        <item x="111"/>
        <item x="171"/>
        <item x="259"/>
        <item x="261"/>
        <item x="109"/>
        <item x="105"/>
        <item x="376"/>
        <item x="383"/>
        <item x="390"/>
        <item x="305"/>
        <item x="306"/>
        <item x="307"/>
        <item x="308"/>
        <item x="315"/>
        <item x="310"/>
        <item x="313"/>
        <item x="309"/>
        <item x="318"/>
        <item x="312"/>
        <item x="311"/>
        <item x="16"/>
        <item x="409"/>
        <item x="416"/>
        <item x="302"/>
        <item x="314"/>
        <item sd="0" x="5"/>
        <item sd="0" x="6"/>
        <item x="46"/>
        <item x="10"/>
        <item sd="0" x="17"/>
        <item sd="0" x="7"/>
        <item sd="0" x="107"/>
        <item x="405"/>
        <item x="406"/>
        <item sd="0" x="407"/>
        <item sd="0" x="408"/>
        <item sd="0" x="410"/>
        <item sd="0" x="411"/>
        <item sd="0" x="412"/>
        <item sd="0" x="413"/>
        <item sd="0" x="414"/>
        <item sd="0" x="415"/>
        <item x="418"/>
        <item sd="0" x="417"/>
        <item sd="0" x="419"/>
        <item sd="0" x="420"/>
        <item sd="0" x="421"/>
        <item sd="0" x="422"/>
        <item sd="0" x="423"/>
        <item sd="0" x="424"/>
        <item sd="0" x="425"/>
        <item sd="0" x="426"/>
        <item x="342"/>
        <item sd="0" x="403"/>
        <item x="321"/>
        <item x="40"/>
        <item sd="0" x="22"/>
        <item sd="0" x="39"/>
        <item sd="0" x="276"/>
        <item sd="0" x="319"/>
        <item x="300"/>
        <item x="333"/>
        <item sd="0" x="303"/>
        <item sd="0" x="329"/>
        <item sd="0" x="41"/>
        <item sd="0" x="294"/>
        <item sd="0" x="281"/>
        <item sd="0" x="341"/>
        <item sd="0" x="427"/>
        <item sd="0" x="428"/>
        <item x="429"/>
        <item sd="0" x="430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4">
    <i>
      <x/>
    </i>
    <i r="1">
      <x v="97"/>
    </i>
    <i r="1">
      <x v="98"/>
    </i>
    <i>
      <x v="1"/>
    </i>
    <i r="1">
      <x v="51"/>
    </i>
    <i r="1">
      <x v="96"/>
    </i>
    <i r="1">
      <x v="303"/>
    </i>
    <i r="1">
      <x v="337"/>
    </i>
    <i r="1">
      <x v="339"/>
    </i>
    <i r="1">
      <x v="340"/>
    </i>
    <i r="1">
      <x v="341"/>
    </i>
    <i r="1">
      <x v="342"/>
    </i>
    <i r="1">
      <x v="345"/>
    </i>
    <i r="1">
      <x v="346"/>
    </i>
    <i r="1">
      <x v="383"/>
    </i>
    <i r="1">
      <x v="388"/>
    </i>
    <i r="1">
      <x v="389"/>
    </i>
    <i r="1">
      <x v="391"/>
    </i>
    <i r="1">
      <x v="392"/>
    </i>
    <i r="1">
      <x v="393"/>
    </i>
    <i>
      <x v="2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>
      <x v="3"/>
    </i>
    <i r="1">
      <x v="129"/>
    </i>
    <i>
      <x v="4"/>
    </i>
    <i r="1">
      <x v="84"/>
    </i>
    <i r="1">
      <x v="85"/>
    </i>
    <i r="1">
      <x v="86"/>
    </i>
    <i r="1">
      <x v="111"/>
    </i>
    <i r="1">
      <x v="112"/>
    </i>
    <i r="1">
      <x v="117"/>
    </i>
    <i r="1">
      <x v="118"/>
    </i>
    <i r="1">
      <x v="299"/>
    </i>
    <i r="1">
      <x v="300"/>
    </i>
    <i r="1">
      <x v="390"/>
    </i>
    <i r="1">
      <x v="418"/>
    </i>
    <i r="1">
      <x v="420"/>
    </i>
    <i r="1">
      <x v="42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19"/>
    </i>
    <i r="1">
      <x v="287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60"/>
    </i>
    <i>
      <x v="6"/>
    </i>
    <i r="1">
      <x v="1"/>
    </i>
    <i r="1">
      <x v="29"/>
    </i>
    <i r="1">
      <x v="30"/>
    </i>
    <i r="1">
      <x v="31"/>
    </i>
    <i r="1">
      <x v="38"/>
    </i>
    <i r="1">
      <x v="357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1"/>
    </i>
    <i r="1">
      <x v="122"/>
    </i>
    <i r="1">
      <x v="123"/>
    </i>
    <i r="1">
      <x v="124"/>
    </i>
    <i r="1">
      <x v="125"/>
    </i>
    <i>
      <x v="8"/>
    </i>
    <i r="1">
      <x v="130"/>
    </i>
    <i r="1">
      <x v="302"/>
    </i>
    <i r="1">
      <x v="368"/>
    </i>
    <i>
      <x v="9"/>
    </i>
    <i r="1">
      <x v="348"/>
    </i>
    <i r="1">
      <x v="394"/>
    </i>
    <i>
      <x v="10"/>
    </i>
    <i r="1">
      <x v="5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363"/>
    </i>
    <i r="1">
      <x v="364"/>
    </i>
    <i r="1">
      <x v="365"/>
    </i>
    <i r="1">
      <x v="366"/>
    </i>
    <i r="1">
      <x v="367"/>
    </i>
    <i>
      <x v="11"/>
    </i>
    <i r="1">
      <x v="132"/>
    </i>
    <i r="1">
      <x v="133"/>
    </i>
    <i r="1">
      <x v="298"/>
    </i>
    <i>
      <x v="12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421"/>
    </i>
    <i>
      <x v="13"/>
    </i>
    <i r="1">
      <x v="37"/>
    </i>
    <i r="1">
      <x v="49"/>
    </i>
    <i r="1">
      <x v="126"/>
    </i>
    <i r="1">
      <x v="338"/>
    </i>
    <i>
      <x v="14"/>
    </i>
    <i r="1">
      <x v="41"/>
    </i>
    <i r="1">
      <x v="42"/>
    </i>
    <i r="1">
      <x v="56"/>
    </i>
    <i r="1">
      <x v="42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28"/>
    </i>
    <i>
      <x v="18"/>
    </i>
    <i r="1">
      <x v="40"/>
    </i>
    <i r="1">
      <x v="52"/>
    </i>
    <i r="1">
      <x v="54"/>
    </i>
    <i>
      <x v="19"/>
    </i>
    <i r="1">
      <x v="347"/>
    </i>
    <i>
      <x v="20"/>
    </i>
    <i r="1">
      <x v="294"/>
    </i>
    <i r="1">
      <x v="295"/>
    </i>
    <i r="1">
      <x v="296"/>
    </i>
    <i r="1">
      <x v="297"/>
    </i>
    <i>
      <x v="21"/>
    </i>
    <i r="1">
      <x v="11"/>
    </i>
    <i r="1">
      <x v="110"/>
    </i>
    <i r="1">
      <x v="301"/>
    </i>
    <i r="1">
      <x v="357"/>
    </i>
    <i r="1">
      <x v="36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6"/>
    </i>
    <i r="1">
      <x v="387"/>
    </i>
    <i r="1">
      <x v="423"/>
    </i>
    <i r="1">
      <x v="425"/>
    </i>
    <i>
      <x v="22"/>
    </i>
    <i r="1">
      <x v="42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27"/>
    </i>
    <i r="1">
      <x v="128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58"/>
    </i>
    <i r="1">
      <x v="359"/>
    </i>
    <i r="1">
      <x v="362"/>
    </i>
    <i r="1">
      <x v="369"/>
    </i>
    <i r="1">
      <x v="370"/>
    </i>
    <i r="1">
      <x v="371"/>
    </i>
    <i r="1">
      <x v="415"/>
    </i>
    <i r="1">
      <x v="416"/>
    </i>
    <i r="1">
      <x v="430"/>
    </i>
    <i>
      <x v="25"/>
    </i>
    <i r="1">
      <x v="39"/>
    </i>
    <i r="1">
      <x v="384"/>
    </i>
    <i r="1">
      <x v="385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31"/>
    </i>
    <i r="1">
      <x v="432"/>
    </i>
    <i r="1">
      <x v="433"/>
    </i>
    <i r="1">
      <x v="434"/>
    </i>
    <i>
      <x v="26"/>
    </i>
    <i r="1">
      <x v="116"/>
    </i>
    <i>
      <x v="27"/>
    </i>
    <i r="1">
      <x v="113"/>
    </i>
    <i r="1">
      <x v="114"/>
    </i>
    <i r="1">
      <x v="115"/>
    </i>
    <i r="1">
      <x v="120"/>
    </i>
    <i r="1">
      <x v="419"/>
    </i>
    <i>
      <x v="28"/>
    </i>
    <i r="1">
      <x v="422"/>
    </i>
    <i>
      <x v="29"/>
    </i>
    <i r="1">
      <x v="131"/>
    </i>
    <i r="1">
      <x v="343"/>
    </i>
    <i r="1">
      <x v="344"/>
    </i>
    <i>
      <x v="30"/>
    </i>
    <i r="1">
      <x v="9"/>
    </i>
    <i>
      <x v="31"/>
    </i>
    <i r="1">
      <x v="99"/>
    </i>
    <i>
      <x v="32"/>
    </i>
    <i r="1">
      <x v="424"/>
    </i>
    <i>
      <x v="33"/>
    </i>
    <i r="1">
      <x v="349"/>
    </i>
    <i>
      <x v="34"/>
    </i>
    <i r="1">
      <x v="94"/>
    </i>
    <i r="1">
      <x v="95"/>
    </i>
    <i>
      <x v="35"/>
    </i>
    <i r="1">
      <x v="10"/>
    </i>
    <i>
      <x v="36"/>
    </i>
    <i r="1">
      <x v="333"/>
    </i>
    <i r="1">
      <x v="334"/>
    </i>
    <i r="1">
      <x v="335"/>
    </i>
    <i r="1">
      <x v="336"/>
    </i>
    <i r="1">
      <x v="41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0.08.2026" fld="115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3"/>
            <x v="342"/>
            <x v="345"/>
            <x v="346"/>
            <x v="388"/>
            <x v="389"/>
            <x v="392"/>
            <x v="393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29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17"/>
            <x v="118"/>
            <x v="300"/>
            <x v="420"/>
            <x v="42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19"/>
            <x v="350"/>
            <x v="351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1"/>
            <x v="122"/>
            <x v="123"/>
            <x v="124"/>
            <x v="125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48"/>
            <x v="394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2"/>
            <x v="133"/>
            <x v="298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88"/>
            <x v="289"/>
            <x v="291"/>
            <x v="292"/>
            <x v="293"/>
            <x v="421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6"/>
            <x v="338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2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2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47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4"/>
            <x v="295"/>
            <x v="296"/>
            <x v="297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2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2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4"/>
            <x v="305"/>
            <x v="306"/>
            <x v="307"/>
            <x v="308"/>
            <x v="310"/>
            <x v="311"/>
            <x v="312"/>
            <x v="314"/>
            <x v="315"/>
            <x v="316"/>
            <x v="319"/>
            <x v="321"/>
            <x v="322"/>
            <x v="325"/>
            <x v="328"/>
            <x v="329"/>
            <x v="330"/>
            <x v="331"/>
            <x v="359"/>
            <x v="362"/>
            <x v="416"/>
            <x v="43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397"/>
            <x v="398"/>
            <x v="399"/>
            <x v="400"/>
            <x v="401"/>
            <x v="402"/>
            <x v="403"/>
            <x v="404"/>
            <x v="406"/>
            <x v="407"/>
            <x v="408"/>
            <x v="409"/>
            <x v="410"/>
            <x v="411"/>
            <x v="412"/>
            <x v="413"/>
            <x v="414"/>
            <x v="431"/>
            <x v="432"/>
            <x v="43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6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3"/>
            <x v="342"/>
            <x v="345"/>
            <x v="346"/>
            <x v="388"/>
            <x v="389"/>
            <x v="392"/>
            <x v="393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29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17"/>
            <x v="118"/>
            <x v="300"/>
            <x v="420"/>
            <x v="42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19"/>
            <x v="350"/>
            <x v="351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1"/>
            <x v="122"/>
            <x v="123"/>
            <x v="124"/>
            <x v="125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48"/>
            <x v="394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2"/>
            <x v="133"/>
            <x v="298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88"/>
            <x v="289"/>
            <x v="291"/>
            <x v="292"/>
            <x v="293"/>
            <x v="421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6"/>
            <x v="338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2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2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47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4"/>
            <x v="295"/>
            <x v="296"/>
            <x v="297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2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2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4"/>
            <x v="305"/>
            <x v="306"/>
            <x v="307"/>
            <x v="308"/>
            <x v="310"/>
            <x v="311"/>
            <x v="312"/>
            <x v="314"/>
            <x v="315"/>
            <x v="316"/>
            <x v="319"/>
            <x v="321"/>
            <x v="322"/>
            <x v="325"/>
            <x v="328"/>
            <x v="329"/>
            <x v="330"/>
            <x v="331"/>
            <x v="359"/>
            <x v="362"/>
            <x v="416"/>
            <x v="43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397"/>
            <x v="398"/>
            <x v="399"/>
            <x v="400"/>
            <x v="401"/>
            <x v="402"/>
            <x v="403"/>
            <x v="404"/>
            <x v="406"/>
            <x v="407"/>
            <x v="408"/>
            <x v="409"/>
            <x v="410"/>
            <x v="411"/>
            <x v="412"/>
            <x v="413"/>
            <x v="414"/>
            <x v="431"/>
            <x v="432"/>
            <x v="43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6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3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27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2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2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16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3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59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4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69"/>
            <x v="370"/>
            <x v="371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59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6"/>
            <x v="417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6"/>
            <x v="417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087834684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087834684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8" totalsRowShown="0" headerRowDxfId="6" dataDxfId="4" headerRowBorderDxfId="5" tableBorderDxfId="3" totalsRowBorderDxfId="2">
  <autoFilter ref="K5:L108" xr:uid="{E5E02A0B-EBAC-497B-8F95-E1A614B153BB}">
    <filterColumn colId="0" hiddenButton="1"/>
    <filterColumn colId="1" hiddenButton="1"/>
  </autoFilter>
  <sortState xmlns:xlrd2="http://schemas.microsoft.com/office/spreadsheetml/2017/richdata2" ref="K6:L108">
    <sortCondition descending="1" ref="K80:K108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3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21" t="s">
        <v>1556</v>
      </c>
      <c r="Z1" s="122"/>
      <c r="AA1" s="122"/>
      <c r="AB1" s="122"/>
      <c r="AC1" s="122"/>
      <c r="AD1" s="122"/>
      <c r="AE1" s="122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23" t="str">
        <f>L6</f>
        <v/>
      </c>
      <c r="Y2" s="123"/>
      <c r="Z2" s="123"/>
      <c r="AA2" s="123"/>
      <c r="AB2" s="123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4" t="s">
        <v>1154</v>
      </c>
      <c r="G5" s="125" t="s">
        <v>1157</v>
      </c>
      <c r="H5" s="125" t="s">
        <v>1156</v>
      </c>
      <c r="I5" s="126" t="s">
        <v>1558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7" t="s">
        <v>39</v>
      </c>
      <c r="G6" s="128">
        <v>1200</v>
      </c>
      <c r="H6" s="128">
        <v>0</v>
      </c>
      <c r="I6" s="129">
        <v>1</v>
      </c>
      <c r="J6" s="53"/>
      <c r="K6" s="58">
        <v>46244</v>
      </c>
      <c r="L6" s="59" t="str">
        <f>IFERROR(VLOOKUP($A$2,Stok!$B$1:$DL$439,115,0),"")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30" t="s">
        <v>37</v>
      </c>
      <c r="G7" s="128">
        <v>1200</v>
      </c>
      <c r="H7" s="128">
        <v>0</v>
      </c>
      <c r="I7" s="129">
        <v>0</v>
      </c>
      <c r="J7" s="53"/>
      <c r="K7" s="58">
        <v>46237</v>
      </c>
      <c r="L7" s="59" t="str">
        <f>IFERROR(VLOOKUP($A$2,Stok!$B$1:$DK$439,114,0),"")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30" t="s">
        <v>44</v>
      </c>
      <c r="G8" s="128"/>
      <c r="H8" s="128">
        <v>0</v>
      </c>
      <c r="I8" s="129">
        <v>1</v>
      </c>
      <c r="J8" s="53"/>
      <c r="K8" s="58">
        <v>46223</v>
      </c>
      <c r="L8" s="59" t="str">
        <f>IFERROR(VLOOKUP($A$2,Stok!$B$1:$DJ$439,113,0),"")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7" t="s">
        <v>48</v>
      </c>
      <c r="G9" s="128">
        <v>5149.71</v>
      </c>
      <c r="H9" s="128">
        <v>26168.62</v>
      </c>
      <c r="I9" s="129">
        <v>127</v>
      </c>
      <c r="J9" s="53"/>
      <c r="K9" s="58">
        <v>46216</v>
      </c>
      <c r="L9" s="59" t="str">
        <f>IFERROR(VLOOKUP($A$2,Stok!$B$1:$DI$439,112,0),"")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30" t="s">
        <v>76</v>
      </c>
      <c r="G10" s="128"/>
      <c r="H10" s="128">
        <v>0</v>
      </c>
      <c r="I10" s="129">
        <v>1</v>
      </c>
      <c r="J10" s="53"/>
      <c r="K10" s="58">
        <v>46209</v>
      </c>
      <c r="L10" s="59" t="str">
        <f>IFERROR(VLOOKUP($A$2,Stok!$B$1:$DH$439,111,0),"")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30" t="s">
        <v>78</v>
      </c>
      <c r="G11" s="128"/>
      <c r="H11" s="128">
        <v>0</v>
      </c>
      <c r="I11" s="129">
        <v>1</v>
      </c>
      <c r="J11" s="53"/>
      <c r="K11" s="58">
        <v>46202</v>
      </c>
      <c r="L11" s="59" t="str">
        <f>IFERROR(VLOOKUP($A$2,Stok!$B$1:$DG$439,110,0),"")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30" t="s">
        <v>71</v>
      </c>
      <c r="G12" s="128"/>
      <c r="H12" s="128">
        <v>0</v>
      </c>
      <c r="I12" s="129">
        <v>1</v>
      </c>
      <c r="J12" s="53"/>
      <c r="K12" s="58">
        <v>46195</v>
      </c>
      <c r="L12" s="59" t="str">
        <f>IFERROR(VLOOKUP($A$2,Stok!$B$1:$DF$439,109,0),"")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30" t="s">
        <v>1189</v>
      </c>
      <c r="G13" s="128"/>
      <c r="H13" s="128">
        <v>0</v>
      </c>
      <c r="I13" s="129">
        <v>0</v>
      </c>
      <c r="J13" s="53"/>
      <c r="K13" s="58">
        <v>46188</v>
      </c>
      <c r="L13" s="59" t="str">
        <f>IFERROR(VLOOKUP($A$2,Stok!$B$1:$DE$439,108,0),"")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30" t="s">
        <v>1192</v>
      </c>
      <c r="G14" s="128"/>
      <c r="H14" s="128">
        <v>0</v>
      </c>
      <c r="I14" s="129">
        <v>0</v>
      </c>
      <c r="J14" s="53"/>
      <c r="K14" s="58">
        <v>46181</v>
      </c>
      <c r="L14" s="59" t="str">
        <f>IFERROR(VLOOKUP($A$2,Stok!$B$1:$DD$439,107,0),"")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30" t="s">
        <v>1190</v>
      </c>
      <c r="G15" s="128"/>
      <c r="H15" s="128">
        <v>0</v>
      </c>
      <c r="I15" s="129">
        <v>0</v>
      </c>
      <c r="J15" s="53"/>
      <c r="K15" s="58">
        <v>46174</v>
      </c>
      <c r="L15" s="59" t="str">
        <f>IFERROR(VLOOKUP($A$2,Stok!$B$1:$DC$439,106,0),"")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30" t="s">
        <v>1508</v>
      </c>
      <c r="G16" s="128">
        <v>1000</v>
      </c>
      <c r="H16" s="128">
        <v>0</v>
      </c>
      <c r="I16" s="129">
        <v>0</v>
      </c>
      <c r="J16" s="53"/>
      <c r="K16" s="58">
        <v>46160</v>
      </c>
      <c r="L16" s="59" t="str">
        <f>IFERROR(VLOOKUP($A$2,Stok!$B$1:$DB$439,105,0),"")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30" t="s">
        <v>51</v>
      </c>
      <c r="G17" s="128">
        <v>2237.5</v>
      </c>
      <c r="H17" s="128">
        <v>0</v>
      </c>
      <c r="I17" s="129">
        <v>0</v>
      </c>
      <c r="J17" s="53"/>
      <c r="K17" s="58">
        <v>46153</v>
      </c>
      <c r="L17" s="59" t="str">
        <f>IFERROR(VLOOKUP($A$2,Stok!$B$1:$DA$439,104,0),"")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30" t="s">
        <v>46</v>
      </c>
      <c r="G18" s="128">
        <v>265.14</v>
      </c>
      <c r="H18" s="128">
        <v>265.14</v>
      </c>
      <c r="I18" s="129">
        <v>1</v>
      </c>
      <c r="J18" s="53"/>
      <c r="K18" s="58">
        <v>46146</v>
      </c>
      <c r="L18" s="59" t="str">
        <f>IFERROR(VLOOKUP($A$2,Stok!$B$1:$CZ$439,103,0),"")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30" t="s">
        <v>54</v>
      </c>
      <c r="G19" s="128">
        <v>428.57</v>
      </c>
      <c r="H19" s="128">
        <v>5999.98</v>
      </c>
      <c r="I19" s="129">
        <v>14</v>
      </c>
      <c r="J19" s="53"/>
      <c r="K19" s="58">
        <v>46139</v>
      </c>
      <c r="L19" s="59" t="str">
        <f>IFERROR(VLOOKUP($A$2,Stok!$B$1:$CY$439,102,0),"")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30" t="s">
        <v>1316</v>
      </c>
      <c r="G20" s="128"/>
      <c r="H20" s="128">
        <v>0</v>
      </c>
      <c r="I20" s="129">
        <v>1</v>
      </c>
      <c r="J20" s="53"/>
      <c r="K20" s="58">
        <v>46132</v>
      </c>
      <c r="L20" s="59" t="str">
        <f>IFERROR(VLOOKUP($A$2,Stok!$B$1:$CX$439,101,0),"")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30" t="s">
        <v>56</v>
      </c>
      <c r="G21" s="128">
        <v>1</v>
      </c>
      <c r="H21" s="128">
        <v>56</v>
      </c>
      <c r="I21" s="129">
        <v>56</v>
      </c>
      <c r="J21" s="53"/>
      <c r="K21" s="58">
        <v>46125</v>
      </c>
      <c r="L21" s="59" t="str">
        <f>IFERROR(VLOOKUP($A$2,Stok!$B$1:$CW$439,100,0),"")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30" t="s">
        <v>58</v>
      </c>
      <c r="G22" s="128">
        <v>460</v>
      </c>
      <c r="H22" s="128">
        <v>19780</v>
      </c>
      <c r="I22" s="129">
        <v>43</v>
      </c>
      <c r="J22" s="53"/>
      <c r="K22" s="58">
        <v>46118</v>
      </c>
      <c r="L22" s="59" t="str">
        <f>IFERROR(VLOOKUP($A$2,Stok!$B$1:$CV$439,99,0),"")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30" t="s">
        <v>1191</v>
      </c>
      <c r="G23" s="128"/>
      <c r="H23" s="128">
        <v>0</v>
      </c>
      <c r="I23" s="129">
        <v>0</v>
      </c>
      <c r="J23" s="53"/>
      <c r="K23" s="58">
        <v>46111</v>
      </c>
      <c r="L23" s="59" t="str">
        <f>IFERROR(VLOOKUP($A$2,Stok!$B$1:$CU$439,98,0),"")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30" t="s">
        <v>81</v>
      </c>
      <c r="G24" s="128">
        <v>7.5</v>
      </c>
      <c r="H24" s="128">
        <v>67.5</v>
      </c>
      <c r="I24" s="129">
        <v>9</v>
      </c>
      <c r="J24" s="53"/>
      <c r="K24" s="58">
        <v>46104</v>
      </c>
      <c r="L24" s="59" t="str">
        <f>IFERROR(VLOOKUP($A$2,Stok!$B$1:$CT$439,97,0),"")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30" t="s">
        <v>61</v>
      </c>
      <c r="G25" s="128">
        <v>750</v>
      </c>
      <c r="H25" s="128">
        <v>0</v>
      </c>
      <c r="I25" s="129">
        <v>0</v>
      </c>
      <c r="J25" s="53"/>
      <c r="K25" s="58">
        <v>46097</v>
      </c>
      <c r="L25" s="59" t="str">
        <f>IFERROR(VLOOKUP($A$2,Stok!$B$1:$CS$439,96,0),"")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7" t="s">
        <v>85</v>
      </c>
      <c r="G26" s="128">
        <v>116.83</v>
      </c>
      <c r="H26" s="128">
        <v>698.87000000000012</v>
      </c>
      <c r="I26" s="129">
        <v>805</v>
      </c>
      <c r="J26" s="53"/>
      <c r="K26" s="58">
        <v>46090</v>
      </c>
      <c r="L26" s="59" t="str">
        <f>IFERROR(VLOOKUP($A$2,Stok!$B$1:$CR$439,95,0),"")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30" t="s">
        <v>93</v>
      </c>
      <c r="G27" s="128">
        <v>0.5</v>
      </c>
      <c r="H27" s="128">
        <v>250</v>
      </c>
      <c r="I27" s="129">
        <v>500</v>
      </c>
      <c r="J27" s="53"/>
      <c r="K27" s="58">
        <v>46083</v>
      </c>
      <c r="L27" s="59" t="str">
        <f>IFERROR(VLOOKUP($A$2,Stok!$B$1:$CQ$439,94,0),"")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30" t="s">
        <v>90</v>
      </c>
      <c r="G28" s="128"/>
      <c r="H28" s="128">
        <v>0</v>
      </c>
      <c r="I28" s="129">
        <v>0</v>
      </c>
      <c r="J28" s="53"/>
      <c r="K28" s="58">
        <v>46076</v>
      </c>
      <c r="L28" s="59" t="str">
        <f>IFERROR(VLOOKUP($A$2,Stok!$B$1:$CP$439,93,0),"")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30" t="s">
        <v>83</v>
      </c>
      <c r="G29" s="128">
        <v>6.36</v>
      </c>
      <c r="H29" s="128">
        <v>6.36</v>
      </c>
      <c r="I29" s="129">
        <v>1</v>
      </c>
      <c r="J29" s="53"/>
      <c r="K29" s="58">
        <v>46069</v>
      </c>
      <c r="L29" s="59" t="str">
        <f>IFERROR(VLOOKUP($A$2,Stok!$B$1:$CO$439,92,0),"")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30" t="s">
        <v>96</v>
      </c>
      <c r="G30" s="128">
        <v>0.48</v>
      </c>
      <c r="H30" s="128">
        <v>99.36</v>
      </c>
      <c r="I30" s="129">
        <v>207</v>
      </c>
      <c r="J30" s="53"/>
      <c r="K30" s="58">
        <v>46062</v>
      </c>
      <c r="L30" s="59" t="str">
        <f>IFERROR(VLOOKUP($A$2,Stok!$B$1:$CN$439,91,0),"")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30" t="s">
        <v>1492</v>
      </c>
      <c r="G31" s="128">
        <v>0.57999999999999996</v>
      </c>
      <c r="H31" s="128">
        <v>13.919999999999998</v>
      </c>
      <c r="I31" s="129">
        <v>24</v>
      </c>
      <c r="J31" s="53"/>
      <c r="K31" s="58">
        <v>46055</v>
      </c>
      <c r="L31" s="59" t="str">
        <f>IFERROR(VLOOKUP($A$2,Stok!$B$1:$CM$439,90,0),"")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30" t="s">
        <v>86</v>
      </c>
      <c r="G32" s="128">
        <v>0.41</v>
      </c>
      <c r="H32" s="128">
        <v>11.479999999999999</v>
      </c>
      <c r="I32" s="129">
        <v>28</v>
      </c>
      <c r="J32" s="53"/>
      <c r="K32" s="58">
        <v>46048</v>
      </c>
      <c r="L32" s="59" t="str">
        <f>IFERROR(VLOOKUP($A$2,Stok!$B$1:$CL$439,89,0),"")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30" t="s">
        <v>88</v>
      </c>
      <c r="G33" s="128">
        <v>0.41</v>
      </c>
      <c r="H33" s="128">
        <v>11.479999999999999</v>
      </c>
      <c r="I33" s="129">
        <v>28</v>
      </c>
      <c r="J33" s="53"/>
      <c r="K33" s="58">
        <v>46041</v>
      </c>
      <c r="L33" s="59" t="str">
        <f>IFERROR(VLOOKUP($A$2,Stok!$B$1:$CK$439,88,0),"")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30" t="s">
        <v>1491</v>
      </c>
      <c r="G34" s="128">
        <v>21.419999999999998</v>
      </c>
      <c r="H34" s="128">
        <v>42.839999999999996</v>
      </c>
      <c r="I34" s="129">
        <v>2</v>
      </c>
      <c r="J34" s="53"/>
      <c r="K34" s="58">
        <v>46034</v>
      </c>
      <c r="L34" s="59" t="str">
        <f>IFERROR(VLOOKUP($A$2,Stok!$B$1:$CJ$439,87,0),"")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30" t="s">
        <v>921</v>
      </c>
      <c r="G35" s="128">
        <v>78.48</v>
      </c>
      <c r="H35" s="128">
        <v>156.96</v>
      </c>
      <c r="I35" s="129">
        <v>2</v>
      </c>
      <c r="J35" s="53"/>
      <c r="K35" s="58">
        <v>46027</v>
      </c>
      <c r="L35" s="59" t="str">
        <f>IFERROR(VLOOKUP($A$2,Stok!$B$1:$CI$439,86,0),"")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30" t="s">
        <v>1193</v>
      </c>
      <c r="G36" s="128">
        <v>8.19</v>
      </c>
      <c r="H36" s="128">
        <v>106.47</v>
      </c>
      <c r="I36" s="129">
        <v>13</v>
      </c>
      <c r="J36" s="53"/>
      <c r="K36" s="58">
        <v>46020</v>
      </c>
      <c r="L36" s="59" t="str">
        <f>IFERROR(VLOOKUP($A$2,Stok!$B$1:$CH$439,85,0),"")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7" t="s">
        <v>101</v>
      </c>
      <c r="G37" s="128"/>
      <c r="H37" s="128">
        <v>0</v>
      </c>
      <c r="I37" s="129">
        <v>2</v>
      </c>
      <c r="J37" s="53"/>
      <c r="K37" s="58">
        <v>46013</v>
      </c>
      <c r="L37" s="59" t="str">
        <f>IFERROR(VLOOKUP($A$2,Stok!$B$1:$CG$439,84,0),"")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30" t="s">
        <v>99</v>
      </c>
      <c r="G38" s="128"/>
      <c r="H38" s="128">
        <v>0</v>
      </c>
      <c r="I38" s="129">
        <v>2</v>
      </c>
      <c r="J38" s="53"/>
      <c r="K38" s="58">
        <v>46006</v>
      </c>
      <c r="L38" s="59" t="str">
        <f>IFERROR(VLOOKUP($A$2,Stok!$B$1:$CF$439,83,0),"")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7" t="s">
        <v>104</v>
      </c>
      <c r="G39" s="128">
        <v>3882.8899999999994</v>
      </c>
      <c r="H39" s="128">
        <v>17975.349999999999</v>
      </c>
      <c r="I39" s="129">
        <v>42</v>
      </c>
      <c r="J39" s="53"/>
      <c r="K39" s="58">
        <v>45999</v>
      </c>
      <c r="L39" s="59" t="str">
        <f>IFERROR(VLOOKUP($A$2,Stok!$B$1:$CE$439,82,0),"")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30" t="s">
        <v>102</v>
      </c>
      <c r="G40" s="128"/>
      <c r="H40" s="128">
        <v>0</v>
      </c>
      <c r="I40" s="129">
        <v>1</v>
      </c>
      <c r="J40" s="53"/>
      <c r="K40" s="58">
        <v>45992</v>
      </c>
      <c r="L40" s="59" t="str">
        <f>IFERROR(VLOOKUP($A$2,Stok!$B$1:$CD$439,81,0),"")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30" t="s">
        <v>106</v>
      </c>
      <c r="G41" s="128"/>
      <c r="H41" s="128">
        <v>0</v>
      </c>
      <c r="I41" s="129">
        <v>0</v>
      </c>
      <c r="J41" s="53"/>
      <c r="K41" s="58">
        <v>45985</v>
      </c>
      <c r="L41" s="59" t="str">
        <f>IFERROR(VLOOKUP($A$2,Stok!$B$1:$CC$439,80,0),"")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30" t="s">
        <v>108</v>
      </c>
      <c r="G42" s="128"/>
      <c r="H42" s="128">
        <v>0</v>
      </c>
      <c r="I42" s="129">
        <v>1</v>
      </c>
      <c r="J42" s="53"/>
      <c r="K42" s="58">
        <v>45978</v>
      </c>
      <c r="L42" s="59" t="str">
        <f>IFERROR(VLOOKUP($A$2,Stok!$B$1:$CB$439,79,0),"")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30" t="s">
        <v>1528</v>
      </c>
      <c r="G43" s="128">
        <v>941.46</v>
      </c>
      <c r="H43" s="128">
        <v>7531.68</v>
      </c>
      <c r="I43" s="129">
        <v>8</v>
      </c>
      <c r="J43" s="53"/>
      <c r="K43" s="58">
        <v>45971</v>
      </c>
      <c r="L43" s="59" t="str">
        <f>IFERROR(VLOOKUP($A$2,Stok!$B$1:$CA$439,78,0),"")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30" t="s">
        <v>1527</v>
      </c>
      <c r="G44" s="128">
        <v>1772.71</v>
      </c>
      <c r="H44" s="128">
        <v>3545.42</v>
      </c>
      <c r="I44" s="129">
        <v>2</v>
      </c>
      <c r="J44" s="53"/>
      <c r="K44" s="58">
        <v>45964</v>
      </c>
      <c r="L44" s="59" t="str">
        <f>IFERROR(VLOOKUP($A$2,Stok!$B$1:$BZ$439,77,0),"")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30" t="s">
        <v>110</v>
      </c>
      <c r="G45" s="128">
        <v>367.2</v>
      </c>
      <c r="H45" s="128">
        <v>367.2</v>
      </c>
      <c r="I45" s="129">
        <v>1</v>
      </c>
      <c r="J45" s="53"/>
      <c r="K45" s="58">
        <v>45950</v>
      </c>
      <c r="L45" s="59" t="str">
        <f>IFERROR(VLOOKUP($A$2,Stok!$B$1:$BY$439,76,0),"")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30" t="s">
        <v>112</v>
      </c>
      <c r="G46" s="128"/>
      <c r="H46" s="128">
        <v>0</v>
      </c>
      <c r="I46" s="129">
        <v>0</v>
      </c>
      <c r="J46" s="53"/>
      <c r="K46" s="58">
        <v>45943</v>
      </c>
      <c r="L46" s="59" t="str">
        <f>IFERROR(VLOOKUP($A$2,Stok!$B$1:$BX$439,75,0),"")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30" t="s">
        <v>1529</v>
      </c>
      <c r="G47" s="128">
        <v>364.16</v>
      </c>
      <c r="H47" s="128">
        <v>1456.64</v>
      </c>
      <c r="I47" s="129">
        <v>4</v>
      </c>
      <c r="J47" s="53"/>
      <c r="K47" s="58">
        <v>45936</v>
      </c>
      <c r="L47" s="59" t="str">
        <f>IFERROR(VLOOKUP($A$2,Stok!$B$1:$BW$439,74,0),"")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30" t="s">
        <v>118</v>
      </c>
      <c r="G48" s="128">
        <v>182.99</v>
      </c>
      <c r="H48" s="128">
        <v>3293.82</v>
      </c>
      <c r="I48" s="129">
        <v>18</v>
      </c>
      <c r="J48" s="53"/>
      <c r="K48" s="58">
        <v>45929</v>
      </c>
      <c r="L48" s="59" t="str">
        <f>IFERROR(VLOOKUP($A$2,Stok!$B$1:$BV$439,73,0),"")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30" t="s">
        <v>1231</v>
      </c>
      <c r="G49" s="128"/>
      <c r="H49" s="128">
        <v>0</v>
      </c>
      <c r="I49" s="129">
        <v>0</v>
      </c>
      <c r="J49" s="53"/>
      <c r="K49" s="58">
        <v>45919</v>
      </c>
      <c r="L49" s="59" t="str">
        <f>IFERROR(VLOOKUP($A$2,Stok!$B$1:$BU$439,72,0),"")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30" t="s">
        <v>1468</v>
      </c>
      <c r="G50" s="128"/>
      <c r="H50" s="128">
        <v>0</v>
      </c>
      <c r="I50" s="129">
        <v>0</v>
      </c>
      <c r="J50" s="53"/>
      <c r="K50" s="58">
        <v>45908</v>
      </c>
      <c r="L50" s="59" t="str">
        <f>IFERROR(VLOOKUP($A$2,Stok!$B$1:$BT$439,71,0),"")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30" t="s">
        <v>114</v>
      </c>
      <c r="G51" s="128">
        <v>254.37</v>
      </c>
      <c r="H51" s="128">
        <v>1780.5900000000001</v>
      </c>
      <c r="I51" s="129">
        <v>7</v>
      </c>
      <c r="J51" s="53"/>
      <c r="K51" s="58">
        <v>45896</v>
      </c>
      <c r="L51" s="59" t="str">
        <f>IFERROR(VLOOKUP($A$2,Stok!$B$1:$BS$439,70,0),"")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30" t="s">
        <v>116</v>
      </c>
      <c r="G52" s="128"/>
      <c r="H52" s="128">
        <v>0</v>
      </c>
      <c r="I52" s="129">
        <v>0</v>
      </c>
      <c r="J52" s="53"/>
      <c r="K52" s="58">
        <v>45866</v>
      </c>
      <c r="L52" s="59" t="str">
        <f>IFERROR(VLOOKUP($A$2,Stok!$B$1:$BR$439,69,0),"")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7" t="s">
        <v>123</v>
      </c>
      <c r="G53" s="128">
        <v>733.23000000000013</v>
      </c>
      <c r="H53" s="128">
        <v>6045.15</v>
      </c>
      <c r="I53" s="129">
        <v>646</v>
      </c>
      <c r="J53" s="53"/>
      <c r="K53" s="58">
        <v>45840</v>
      </c>
      <c r="L53" s="59" t="str">
        <f>IFERROR(VLOOKUP($A$2,Stok!$B$1:$BQ$439,68,0),"")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30">
        <v>760248523</v>
      </c>
      <c r="G54" s="128">
        <v>1.7</v>
      </c>
      <c r="H54" s="128">
        <v>13.6</v>
      </c>
      <c r="I54" s="129">
        <v>8</v>
      </c>
      <c r="J54" s="53"/>
      <c r="K54" s="58">
        <v>45824</v>
      </c>
      <c r="L54" s="59" t="str">
        <f>IFERROR(VLOOKUP($A$2,Stok!$B$1:$BP$439,67,0),"")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30">
        <v>760248525</v>
      </c>
      <c r="G55" s="128">
        <v>2.7</v>
      </c>
      <c r="H55" s="128">
        <v>0</v>
      </c>
      <c r="I55" s="129">
        <v>0</v>
      </c>
      <c r="J55" s="53"/>
      <c r="K55" s="58">
        <v>45805</v>
      </c>
      <c r="L55" s="59" t="str">
        <f>IFERROR(VLOOKUP($A$2,Stok!$B$1:$BO$439,66,0),"")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30">
        <v>760248968</v>
      </c>
      <c r="G56" s="128">
        <v>390</v>
      </c>
      <c r="H56" s="128">
        <v>3900</v>
      </c>
      <c r="I56" s="129">
        <v>10</v>
      </c>
      <c r="J56" s="53"/>
      <c r="K56" s="58">
        <v>45797</v>
      </c>
      <c r="L56" s="59" t="str">
        <f>IFERROR(VLOOKUP($A$2,Stok!$B$1:$BN$439,65,0),"")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30">
        <v>760253419</v>
      </c>
      <c r="G57" s="128">
        <v>5.55</v>
      </c>
      <c r="H57" s="128">
        <v>405.15</v>
      </c>
      <c r="I57" s="129">
        <v>73</v>
      </c>
      <c r="J57" s="53"/>
      <c r="K57" s="58">
        <v>45783</v>
      </c>
      <c r="L57" s="59" t="str">
        <f>IFERROR(VLOOKUP($A$2,Stok!$B$1:$BM$439,64,0),"")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30">
        <v>760253420</v>
      </c>
      <c r="G58" s="128">
        <v>20</v>
      </c>
      <c r="H58" s="128">
        <v>0</v>
      </c>
      <c r="I58" s="129">
        <v>0</v>
      </c>
      <c r="J58" s="53"/>
      <c r="K58" s="58">
        <v>45769</v>
      </c>
      <c r="L58" s="59" t="str">
        <f>IFERROR(VLOOKUP($A$2,Stok!$B$1:$BL$439,63,0),"")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30">
        <v>760254741</v>
      </c>
      <c r="G59" s="128">
        <v>1.45</v>
      </c>
      <c r="H59" s="128">
        <v>0</v>
      </c>
      <c r="I59" s="129">
        <v>0</v>
      </c>
      <c r="J59" s="53"/>
      <c r="K59" s="58">
        <v>45762</v>
      </c>
      <c r="L59" s="59" t="str">
        <f>IFERROR(VLOOKUP($A$2,Stok!$B$1:$BK$439,62,0),"")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30" t="s">
        <v>148</v>
      </c>
      <c r="G60" s="128">
        <v>1.5</v>
      </c>
      <c r="H60" s="128">
        <v>57</v>
      </c>
      <c r="I60" s="129">
        <v>38</v>
      </c>
      <c r="J60" s="53"/>
      <c r="K60" s="58">
        <v>45750</v>
      </c>
      <c r="L60" s="59" t="str">
        <f>IFERROR(VLOOKUP($A$2,Stok!$B$1:$BJ$439,61,0),"")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30" t="s">
        <v>125</v>
      </c>
      <c r="G61" s="128"/>
      <c r="H61" s="128">
        <v>0</v>
      </c>
      <c r="I61" s="129">
        <v>0</v>
      </c>
      <c r="J61" s="53"/>
      <c r="K61" s="58">
        <v>45741</v>
      </c>
      <c r="L61" s="59" t="str">
        <f>IFERROR(VLOOKUP($A$2,Stok!$B$1:$BI$439,60,0),"")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30" t="s">
        <v>127</v>
      </c>
      <c r="G62" s="128"/>
      <c r="H62" s="128">
        <v>0</v>
      </c>
      <c r="I62" s="129">
        <v>0</v>
      </c>
      <c r="J62" s="53"/>
      <c r="K62" s="58">
        <v>45736</v>
      </c>
      <c r="L62" s="59" t="str">
        <f>IFERROR(VLOOKUP($A$2,Stok!$B$1:$BH$439,59,0),"")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30" t="s">
        <v>1405</v>
      </c>
      <c r="G63" s="128">
        <v>52</v>
      </c>
      <c r="H63" s="128">
        <v>0</v>
      </c>
      <c r="I63" s="129">
        <v>0</v>
      </c>
      <c r="J63" s="53"/>
      <c r="K63" s="58">
        <v>45726</v>
      </c>
      <c r="L63" s="59" t="str">
        <f>IFERROR(VLOOKUP($A$2,Stok!$B$1:$BG$439,58,0),"")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30" t="s">
        <v>1406</v>
      </c>
      <c r="G64" s="128">
        <v>17</v>
      </c>
      <c r="H64" s="128">
        <v>0</v>
      </c>
      <c r="I64" s="129">
        <v>0</v>
      </c>
      <c r="J64" s="53"/>
      <c r="K64" s="58">
        <v>45723</v>
      </c>
      <c r="L64" s="59" t="str">
        <f>IFERROR(VLOOKUP($A$2,Stok!$B$1:$BF$439,57,0),"")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30" t="s">
        <v>959</v>
      </c>
      <c r="G65" s="128">
        <v>0</v>
      </c>
      <c r="H65" s="128">
        <v>0</v>
      </c>
      <c r="I65" s="129">
        <v>0</v>
      </c>
      <c r="J65" s="53"/>
      <c r="K65" s="58">
        <v>45716</v>
      </c>
      <c r="L65" s="59" t="str">
        <f>IFERROR(VLOOKUP($A$2,Stok!$B$1:$BE$439,56,0),"")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30" t="s">
        <v>129</v>
      </c>
      <c r="G66" s="128">
        <v>0.55000000000000004</v>
      </c>
      <c r="H66" s="128">
        <v>13.200000000000001</v>
      </c>
      <c r="I66" s="129">
        <v>24</v>
      </c>
      <c r="J66" s="53"/>
      <c r="K66" s="58">
        <v>45712</v>
      </c>
      <c r="L66" s="59" t="str">
        <f>IFERROR(VLOOKUP($A$2,Stok!$B$1:$BD$439,55,0),"")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30" t="s">
        <v>131</v>
      </c>
      <c r="G67" s="128">
        <v>0.3</v>
      </c>
      <c r="H67" s="128">
        <v>48.3</v>
      </c>
      <c r="I67" s="129">
        <v>161</v>
      </c>
      <c r="J67" s="53"/>
      <c r="K67" s="58">
        <v>45705</v>
      </c>
      <c r="L67" s="59" t="str">
        <f>IFERROR(VLOOKUP($A$2,Stok!$B$1:$BC$439,54,0),"")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30" t="s">
        <v>133</v>
      </c>
      <c r="G68" s="128">
        <v>0.56999999999999995</v>
      </c>
      <c r="H68" s="128">
        <v>0</v>
      </c>
      <c r="I68" s="129">
        <v>0</v>
      </c>
      <c r="J68" s="53"/>
      <c r="K68" s="58">
        <v>45702</v>
      </c>
      <c r="L68" s="59" t="str">
        <f>IFERROR(VLOOKUP($A$2,Stok!$B$1:$BB$439,53,0),"")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30" t="s">
        <v>1411</v>
      </c>
      <c r="G69" s="128">
        <v>55.15</v>
      </c>
      <c r="H69" s="128">
        <v>0</v>
      </c>
      <c r="I69" s="129">
        <v>0</v>
      </c>
      <c r="J69" s="53"/>
      <c r="K69" s="58">
        <v>45698</v>
      </c>
      <c r="L69" s="59" t="str">
        <f>IFERROR(VLOOKUP($A$2,Stok!$B$1:$BA$439,52,0),"")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30" t="s">
        <v>1194</v>
      </c>
      <c r="G70" s="128"/>
      <c r="H70" s="128">
        <v>0</v>
      </c>
      <c r="I70" s="129">
        <v>0</v>
      </c>
      <c r="J70" s="53"/>
      <c r="K70" s="58">
        <v>45691</v>
      </c>
      <c r="L70" s="59" t="str">
        <f>IFERROR(VLOOKUP($A$2,Stok!$B$1:$AZ$439,51,0),"")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30" t="s">
        <v>1391</v>
      </c>
      <c r="G71" s="128">
        <v>5.36</v>
      </c>
      <c r="H71" s="128">
        <v>0</v>
      </c>
      <c r="I71" s="129">
        <v>0</v>
      </c>
      <c r="J71" s="53"/>
      <c r="K71" s="58">
        <v>45684</v>
      </c>
      <c r="L71" s="59" t="str">
        <f>IFERROR(VLOOKUP($A$2,Stok!$B$1:$AY$439,50,0),"")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30" t="s">
        <v>1392</v>
      </c>
      <c r="G72" s="128">
        <v>5.36</v>
      </c>
      <c r="H72" s="128">
        <v>0</v>
      </c>
      <c r="I72" s="129">
        <v>0</v>
      </c>
      <c r="J72" s="53"/>
      <c r="K72" s="58">
        <v>45677</v>
      </c>
      <c r="L72" s="59" t="str">
        <f>IFERROR(VLOOKUP($A$2,Stok!$B$1:$AX$439,49,0),"")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30" t="s">
        <v>136</v>
      </c>
      <c r="G73" s="128">
        <v>20.55</v>
      </c>
      <c r="H73" s="128">
        <v>123.30000000000001</v>
      </c>
      <c r="I73" s="129">
        <v>6</v>
      </c>
      <c r="J73" s="53"/>
      <c r="K73" s="58">
        <v>45672</v>
      </c>
      <c r="L73" s="59" t="str">
        <f>IFERROR(VLOOKUP($A$2,Stok!$B$1:$AW$439,48,0),"")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30" t="s">
        <v>1396</v>
      </c>
      <c r="G74" s="128">
        <v>24</v>
      </c>
      <c r="H74" s="128">
        <v>0</v>
      </c>
      <c r="I74" s="129">
        <v>0</v>
      </c>
      <c r="J74" s="53"/>
      <c r="K74" s="58">
        <v>45656</v>
      </c>
      <c r="L74" s="59" t="str">
        <f>IFERROR(VLOOKUP($A$2,Stok!$B$1:$AV$439,47,0),"")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30" t="s">
        <v>1313</v>
      </c>
      <c r="G75" s="128">
        <v>2.75</v>
      </c>
      <c r="H75" s="128">
        <v>352</v>
      </c>
      <c r="I75" s="129">
        <v>128</v>
      </c>
      <c r="J75" s="53"/>
      <c r="K75" s="58">
        <v>45649</v>
      </c>
      <c r="L75" s="59" t="str">
        <f>IFERROR(VLOOKUP($A$2,Stok!$B$1:$AU$439,46,0),"")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30" t="s">
        <v>138</v>
      </c>
      <c r="G76" s="128">
        <v>22.45</v>
      </c>
      <c r="H76" s="128">
        <v>606.15</v>
      </c>
      <c r="I76" s="129">
        <v>27</v>
      </c>
      <c r="J76" s="53"/>
      <c r="K76" s="58">
        <v>45642</v>
      </c>
      <c r="L76" s="59" t="str">
        <f>IFERROR(VLOOKUP($A$2,Stok!$B$1:$AT$439,45,0),"")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30" t="s">
        <v>1409</v>
      </c>
      <c r="G77" s="128">
        <v>3.9</v>
      </c>
      <c r="H77" s="128">
        <v>0</v>
      </c>
      <c r="I77" s="129">
        <v>0</v>
      </c>
      <c r="J77" s="53"/>
      <c r="K77" s="58">
        <v>45635</v>
      </c>
      <c r="L77" s="59" t="str">
        <f>IFERROR(VLOOKUP($A$2,Stok!$B$1:$AS$439,44,0),"")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30" t="s">
        <v>1407</v>
      </c>
      <c r="G78" s="128">
        <v>15.35</v>
      </c>
      <c r="H78" s="128">
        <v>0</v>
      </c>
      <c r="I78" s="129">
        <v>0</v>
      </c>
      <c r="J78" s="53"/>
      <c r="K78" s="58">
        <v>45630</v>
      </c>
      <c r="L78" s="59" t="str">
        <f>IFERROR(VLOOKUP($A$2,Stok!$B$1:$AR$439,43,0),"")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30" t="s">
        <v>140</v>
      </c>
      <c r="G79" s="128">
        <v>0.37</v>
      </c>
      <c r="H79" s="128">
        <v>0</v>
      </c>
      <c r="I79" s="129">
        <v>0</v>
      </c>
      <c r="J79" s="53"/>
      <c r="K79" s="58">
        <v>45614</v>
      </c>
      <c r="L79" s="59" t="str">
        <f>IFERROR(VLOOKUP($A$2,Stok!$B$1:$AQ$439,42,0),"")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30" t="s">
        <v>121</v>
      </c>
      <c r="G80" s="128">
        <v>0.6</v>
      </c>
      <c r="H80" s="128">
        <v>0</v>
      </c>
      <c r="I80" s="129">
        <v>0</v>
      </c>
      <c r="J80" s="53"/>
      <c r="K80" s="58">
        <v>45608</v>
      </c>
      <c r="L80" s="59" t="str">
        <f>IFERROR(VLOOKUP($A$2,Stok!$B$1:$AP$439,41,0),"")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30" t="s">
        <v>1408</v>
      </c>
      <c r="G81" s="128">
        <v>3.9</v>
      </c>
      <c r="H81" s="128">
        <v>0</v>
      </c>
      <c r="I81" s="129">
        <v>0</v>
      </c>
      <c r="J81" s="53"/>
      <c r="K81" s="58">
        <v>45596</v>
      </c>
      <c r="L81" s="59" t="str">
        <f>IFERROR(VLOOKUP($A$2,Stok!$B$1:$AO$439,40,0),"")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30" t="s">
        <v>142</v>
      </c>
      <c r="G82" s="128">
        <v>4.45</v>
      </c>
      <c r="H82" s="128">
        <v>4.45</v>
      </c>
      <c r="I82" s="129">
        <v>1</v>
      </c>
      <c r="J82" s="53"/>
      <c r="K82" s="58">
        <v>45580</v>
      </c>
      <c r="L82" s="59" t="str">
        <f>IFERROR(VLOOKUP($A$2,Stok!$B$1:$AN$439,39,0),"")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30" t="s">
        <v>1410</v>
      </c>
      <c r="G83" s="128">
        <v>22</v>
      </c>
      <c r="H83" s="128">
        <v>0</v>
      </c>
      <c r="I83" s="129">
        <v>0</v>
      </c>
      <c r="J83" s="53"/>
      <c r="K83" s="58">
        <v>45570</v>
      </c>
      <c r="L83" s="59" t="str">
        <f>IFERROR(VLOOKUP($A$2,Stok!$B$1:$AM$439,38,0),"")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30" t="s">
        <v>144</v>
      </c>
      <c r="G84" s="128">
        <v>2.9</v>
      </c>
      <c r="H84" s="128">
        <v>408.9</v>
      </c>
      <c r="I84" s="129">
        <v>141</v>
      </c>
      <c r="J84" s="53"/>
      <c r="K84" s="58">
        <v>45563</v>
      </c>
      <c r="L84" s="59" t="str">
        <f>IFERROR(VLOOKUP($A$2,Stok!$B$1:$AL$439,37,0),"")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30" t="s">
        <v>146</v>
      </c>
      <c r="G85" s="128">
        <v>3.9</v>
      </c>
      <c r="H85" s="128">
        <v>113.1</v>
      </c>
      <c r="I85" s="129">
        <v>29</v>
      </c>
      <c r="J85" s="53"/>
      <c r="K85" s="58">
        <v>45552</v>
      </c>
      <c r="L85" s="59" t="str">
        <f>IFERROR(VLOOKUP($A$2,Stok!$B$1:$AK$439,36,0),"")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30" t="s">
        <v>1475</v>
      </c>
      <c r="G86" s="128">
        <v>6</v>
      </c>
      <c r="H86" s="128">
        <v>0</v>
      </c>
      <c r="I86" s="129">
        <v>0</v>
      </c>
      <c r="J86" s="53"/>
      <c r="K86" s="58">
        <v>45539</v>
      </c>
      <c r="L86" s="59" t="str">
        <f>IFERROR(VLOOKUP($A$2,Stok!$B$1:$AJ$439,35,0),"")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30" t="s">
        <v>1476</v>
      </c>
      <c r="G87" s="128">
        <v>6.15</v>
      </c>
      <c r="H87" s="128">
        <v>0</v>
      </c>
      <c r="I87" s="129">
        <v>0</v>
      </c>
      <c r="J87" s="53"/>
      <c r="K87" s="58">
        <v>45524</v>
      </c>
      <c r="L87" s="59" t="str">
        <f>IFERROR(VLOOKUP($A$2,Stok!$B$1:$AI$439,34,0),"")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30" t="s">
        <v>1477</v>
      </c>
      <c r="G88" s="128">
        <v>7.5</v>
      </c>
      <c r="H88" s="128">
        <v>0</v>
      </c>
      <c r="I88" s="129">
        <v>0</v>
      </c>
      <c r="J88" s="53"/>
      <c r="K88" s="58">
        <v>45511</v>
      </c>
      <c r="L88" s="59" t="str">
        <f>IFERROR(VLOOKUP($A$2,Stok!$B$1:$AH$439,33,0),"")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30" t="s">
        <v>1478</v>
      </c>
      <c r="G89" s="128">
        <v>11.5</v>
      </c>
      <c r="H89" s="128">
        <v>0</v>
      </c>
      <c r="I89" s="129">
        <v>0</v>
      </c>
      <c r="J89" s="53"/>
      <c r="K89" s="58">
        <v>45500</v>
      </c>
      <c r="L89" s="59" t="str">
        <f>IFERROR(VLOOKUP($A$2,Stok!$B$1:$AG$439,32,0),"")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30" t="s">
        <v>1479</v>
      </c>
      <c r="G90" s="128">
        <v>15.2</v>
      </c>
      <c r="H90" s="128">
        <v>0</v>
      </c>
      <c r="I90" s="129">
        <v>0</v>
      </c>
      <c r="J90" s="53"/>
      <c r="K90" s="58">
        <v>45490</v>
      </c>
      <c r="L90" s="59" t="str">
        <f>IFERROR(VLOOKUP($A$2,Stok!$B$1:$AF$439,31,0),"")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30" t="s">
        <v>1317</v>
      </c>
      <c r="G91" s="128">
        <v>0.56999999999999995</v>
      </c>
      <c r="H91" s="128">
        <v>0</v>
      </c>
      <c r="I91" s="129">
        <v>0</v>
      </c>
      <c r="J91" s="53"/>
      <c r="K91" s="58">
        <v>45478</v>
      </c>
      <c r="L91" s="59" t="str">
        <f>IFERROR(VLOOKUP($A$2,Stok!$B$1:$AE$439,30,0),"")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7" t="s">
        <v>152</v>
      </c>
      <c r="G92" s="128">
        <v>319</v>
      </c>
      <c r="H92" s="128">
        <v>0</v>
      </c>
      <c r="I92" s="129">
        <v>8</v>
      </c>
      <c r="J92" s="53"/>
      <c r="K92" s="58">
        <v>45467</v>
      </c>
      <c r="L92" s="59" t="str">
        <f>IFERROR(VLOOKUP($A$2,Stok!$B$1:$AD$439,29,0),"")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30">
        <v>6327900</v>
      </c>
      <c r="G93" s="128">
        <v>319</v>
      </c>
      <c r="H93" s="128">
        <v>0</v>
      </c>
      <c r="I93" s="129">
        <v>0</v>
      </c>
      <c r="J93" s="53"/>
      <c r="K93" s="58">
        <v>45455</v>
      </c>
      <c r="L93" s="59" t="str">
        <f>IFERROR(VLOOKUP($A$2,Stok!$B$1:$AC$439,28,0),"")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30" t="s">
        <v>155</v>
      </c>
      <c r="G94" s="128"/>
      <c r="H94" s="128">
        <v>0</v>
      </c>
      <c r="I94" s="129">
        <v>0</v>
      </c>
      <c r="J94" s="53"/>
      <c r="K94" s="58">
        <v>45442</v>
      </c>
      <c r="L94" s="59" t="str">
        <f>IFERROR(VLOOKUP($A$2,Stok!$B$1:$AB$439,27,0),"")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30" t="s">
        <v>150</v>
      </c>
      <c r="G95" s="128"/>
      <c r="H95" s="128">
        <v>0</v>
      </c>
      <c r="I95" s="129">
        <v>0</v>
      </c>
      <c r="J95" s="53"/>
      <c r="K95" s="58">
        <v>45427</v>
      </c>
      <c r="L95" s="59" t="str">
        <f>IFERROR(VLOOKUP($A$2,Stok!$B$1:$AA$439,25,0),"")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30" t="s">
        <v>1263</v>
      </c>
      <c r="G96" s="128"/>
      <c r="H96" s="128">
        <v>0</v>
      </c>
      <c r="I96" s="129">
        <v>0</v>
      </c>
      <c r="J96" s="53"/>
      <c r="K96" s="58">
        <v>45427</v>
      </c>
      <c r="L96" s="59" t="str">
        <f>IFERROR(VLOOKUP($A$2,Stok!$B$1:$AA$439,26,0),"")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30" t="s">
        <v>157</v>
      </c>
      <c r="G97" s="128"/>
      <c r="H97" s="128">
        <v>0</v>
      </c>
      <c r="I97" s="129">
        <v>6</v>
      </c>
      <c r="J97" s="53"/>
      <c r="K97" s="58">
        <v>45411</v>
      </c>
      <c r="L97" s="59" t="str">
        <f>IFERROR(VLOOKUP($A$2,Stok!$B$1:$AA$439,24,0),"")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30" t="s">
        <v>1230</v>
      </c>
      <c r="G98" s="128"/>
      <c r="H98" s="128">
        <v>0</v>
      </c>
      <c r="I98" s="129">
        <v>2</v>
      </c>
      <c r="J98" s="53"/>
      <c r="K98" s="58">
        <v>45397</v>
      </c>
      <c r="L98" s="59" t="str">
        <f>IFERROR(VLOOKUP($A$2,Stok!$B$1:$AA$439,23,0),"")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7" t="s">
        <v>161</v>
      </c>
      <c r="G99" s="128">
        <v>79.350000000000009</v>
      </c>
      <c r="H99" s="128">
        <v>292.52999999999997</v>
      </c>
      <c r="I99" s="129">
        <v>209</v>
      </c>
      <c r="J99" s="53"/>
      <c r="K99" s="58">
        <v>45376</v>
      </c>
      <c r="L99" s="59" t="str">
        <f>IFERROR(VLOOKUP($A$2,Stok!$B$1:$AA$439,22,0),"")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30" t="s">
        <v>159</v>
      </c>
      <c r="G100" s="128">
        <v>2.73</v>
      </c>
      <c r="H100" s="128">
        <v>0</v>
      </c>
      <c r="I100" s="129">
        <v>0</v>
      </c>
      <c r="J100" s="53"/>
      <c r="K100" s="58">
        <v>45364</v>
      </c>
      <c r="L100" s="59" t="str">
        <f>IFERROR(VLOOKUP($A$2,Stok!$B$1:$AA$439,21,0),"")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30" t="s">
        <v>163</v>
      </c>
      <c r="G101" s="128">
        <v>2.4700000000000002</v>
      </c>
      <c r="H101" s="128">
        <v>0</v>
      </c>
      <c r="I101" s="129">
        <v>0</v>
      </c>
      <c r="J101" s="53"/>
      <c r="K101" s="58">
        <v>45352</v>
      </c>
      <c r="L101" s="59" t="str">
        <f>IFERROR(VLOOKUP($A$2,Stok!$B$1:$AA$439,20,0),"")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30" t="s">
        <v>1365</v>
      </c>
      <c r="G102" s="128">
        <v>3.3</v>
      </c>
      <c r="H102" s="128">
        <v>0</v>
      </c>
      <c r="I102" s="129">
        <v>0</v>
      </c>
      <c r="J102" s="53"/>
      <c r="K102" s="58">
        <v>45334</v>
      </c>
      <c r="L102" s="59" t="str">
        <f>IFERROR(VLOOKUP($A$2,Stok!$B$1:$AA$439,19,0),"")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30" t="s">
        <v>165</v>
      </c>
      <c r="G103" s="128">
        <v>4.38</v>
      </c>
      <c r="H103" s="128">
        <v>0</v>
      </c>
      <c r="I103" s="129">
        <v>0</v>
      </c>
      <c r="J103" s="53"/>
      <c r="K103" s="58">
        <v>45320</v>
      </c>
      <c r="L103" s="59" t="str">
        <f>IFERROR(VLOOKUP($A$2,Stok!$B$1:$AA$439,18,0),"")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30" t="s">
        <v>1366</v>
      </c>
      <c r="G104" s="128">
        <v>9.8800000000000008</v>
      </c>
      <c r="H104" s="128">
        <v>0</v>
      </c>
      <c r="I104" s="129">
        <v>0</v>
      </c>
      <c r="J104" s="53"/>
      <c r="K104" s="58">
        <v>45313</v>
      </c>
      <c r="L104" s="59" t="str">
        <f>IFERROR(VLOOKUP($A$2,Stok!$B$1:$AA$439,17,0),"")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30" t="s">
        <v>167</v>
      </c>
      <c r="G105" s="128">
        <v>45.18</v>
      </c>
      <c r="H105" s="128">
        <v>0</v>
      </c>
      <c r="I105" s="129">
        <v>0</v>
      </c>
      <c r="J105" s="53"/>
      <c r="K105" s="60">
        <v>45293</v>
      </c>
      <c r="L105" s="59" t="str">
        <f>IFERROR(VLOOKUP($A$2,Stok!$B$1:$AA$439,16,0),"")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30" t="s">
        <v>1304</v>
      </c>
      <c r="G106" s="128">
        <v>2.93</v>
      </c>
      <c r="H106" s="128">
        <v>76.180000000000007</v>
      </c>
      <c r="I106" s="129">
        <v>26</v>
      </c>
      <c r="J106" s="53"/>
      <c r="K106" s="60">
        <v>45285</v>
      </c>
      <c r="L106" s="70" t="str">
        <f>IFERROR(VLOOKUP($A$2,Stok!$B$1:$AA$439,15,0),"")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30" t="s">
        <v>169</v>
      </c>
      <c r="G107" s="128">
        <v>0.77</v>
      </c>
      <c r="H107" s="128">
        <v>3.85</v>
      </c>
      <c r="I107" s="129">
        <v>5</v>
      </c>
      <c r="J107" s="53"/>
      <c r="K107" s="58">
        <v>45275</v>
      </c>
      <c r="L107" s="70" t="str">
        <f>IFERROR(VLOOKUP($A$2,Stok!$B$1:$AA$439,14,0),"")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30" t="s">
        <v>171</v>
      </c>
      <c r="G108" s="128">
        <v>4.03</v>
      </c>
      <c r="H108" s="128">
        <v>72.540000000000006</v>
      </c>
      <c r="I108" s="129">
        <v>18</v>
      </c>
      <c r="J108" s="53"/>
      <c r="K108" s="60">
        <v>45173</v>
      </c>
      <c r="L108" s="70" t="str">
        <f>IFERROR(VLOOKUP($A$2,Stok!$B$1:$AA$439,8,0),"")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30" t="s">
        <v>173</v>
      </c>
      <c r="G109" s="128">
        <v>0.68</v>
      </c>
      <c r="H109" s="128">
        <v>78.88000000000001</v>
      </c>
      <c r="I109" s="129">
        <v>116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30" t="s">
        <v>177</v>
      </c>
      <c r="G110" s="128">
        <v>1.0900000000000001</v>
      </c>
      <c r="H110" s="128">
        <v>30.520000000000003</v>
      </c>
      <c r="I110" s="129">
        <v>28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30" t="s">
        <v>180</v>
      </c>
      <c r="G111" s="128">
        <v>1.91</v>
      </c>
      <c r="H111" s="128">
        <v>30.56</v>
      </c>
      <c r="I111" s="129">
        <v>16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7" t="s">
        <v>184</v>
      </c>
      <c r="G112" s="128"/>
      <c r="H112" s="128">
        <v>0</v>
      </c>
      <c r="I112" s="129">
        <v>239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30" t="s">
        <v>1318</v>
      </c>
      <c r="G113" s="128"/>
      <c r="H113" s="128">
        <v>0</v>
      </c>
      <c r="I113" s="129">
        <v>64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30" t="s">
        <v>1319</v>
      </c>
      <c r="G114" s="128"/>
      <c r="H114" s="128">
        <v>0</v>
      </c>
      <c r="I114" s="129">
        <v>97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30" t="s">
        <v>1320</v>
      </c>
      <c r="G115" s="128"/>
      <c r="H115" s="128">
        <v>0</v>
      </c>
      <c r="I115" s="129">
        <v>78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7" t="s">
        <v>188</v>
      </c>
      <c r="G116" s="128"/>
      <c r="H116" s="128">
        <v>0</v>
      </c>
      <c r="I116" s="129">
        <v>900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30" t="s">
        <v>186</v>
      </c>
      <c r="G117" s="128"/>
      <c r="H117" s="128">
        <v>0</v>
      </c>
      <c r="I117" s="129">
        <v>500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30" t="s">
        <v>190</v>
      </c>
      <c r="G118" s="128"/>
      <c r="H118" s="128">
        <v>0</v>
      </c>
      <c r="I118" s="129">
        <v>400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7" t="s">
        <v>92</v>
      </c>
      <c r="G119" s="128">
        <v>1401.3609854400001</v>
      </c>
      <c r="H119" s="128">
        <v>61549.852602240018</v>
      </c>
      <c r="I119" s="129">
        <v>56412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30" t="s">
        <v>1284</v>
      </c>
      <c r="G120" s="128"/>
      <c r="H120" s="128">
        <v>0</v>
      </c>
      <c r="I120" s="129">
        <v>4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30" t="s">
        <v>439</v>
      </c>
      <c r="G121" s="128">
        <v>23.75</v>
      </c>
      <c r="H121" s="128">
        <v>498.75</v>
      </c>
      <c r="I121" s="129">
        <v>21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30" t="s">
        <v>441</v>
      </c>
      <c r="G122" s="128">
        <v>43.75</v>
      </c>
      <c r="H122" s="128">
        <v>175</v>
      </c>
      <c r="I122" s="129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30" t="s">
        <v>442</v>
      </c>
      <c r="G123" s="128">
        <v>23.75</v>
      </c>
      <c r="H123" s="128">
        <v>712.5</v>
      </c>
      <c r="I123" s="129">
        <v>30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30" t="s">
        <v>444</v>
      </c>
      <c r="G124" s="128">
        <v>43.75</v>
      </c>
      <c r="H124" s="128">
        <v>175</v>
      </c>
      <c r="I124" s="129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30" t="s">
        <v>457</v>
      </c>
      <c r="G125" s="128">
        <v>96.875</v>
      </c>
      <c r="H125" s="128">
        <v>484.375</v>
      </c>
      <c r="I125" s="129">
        <v>5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30" t="s">
        <v>459</v>
      </c>
      <c r="G126" s="128">
        <v>200</v>
      </c>
      <c r="H126" s="128">
        <v>600</v>
      </c>
      <c r="I126" s="129">
        <v>3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30" t="s">
        <v>209</v>
      </c>
      <c r="G127" s="128">
        <v>6.66</v>
      </c>
      <c r="H127" s="128">
        <v>0</v>
      </c>
      <c r="I127" s="129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30" t="s">
        <v>212</v>
      </c>
      <c r="G128" s="128">
        <v>14.4</v>
      </c>
      <c r="H128" s="128">
        <v>0</v>
      </c>
      <c r="I128" s="129">
        <v>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30" t="s">
        <v>337</v>
      </c>
      <c r="G129" s="128">
        <v>1.26</v>
      </c>
      <c r="H129" s="128">
        <v>37.799999999999997</v>
      </c>
      <c r="I129" s="129">
        <v>30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30" t="s">
        <v>339</v>
      </c>
      <c r="G130" s="128"/>
      <c r="H130" s="128">
        <v>0</v>
      </c>
      <c r="I130" s="129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30" t="s">
        <v>343</v>
      </c>
      <c r="G131" s="128">
        <v>0.3</v>
      </c>
      <c r="H131" s="128">
        <v>575.4</v>
      </c>
      <c r="I131" s="129">
        <v>1918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30" t="s">
        <v>307</v>
      </c>
      <c r="G132" s="128">
        <v>0.53878423999999969</v>
      </c>
      <c r="H132" s="128">
        <v>2.1551369599999988</v>
      </c>
      <c r="I132" s="129">
        <v>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30" t="s">
        <v>309</v>
      </c>
      <c r="G133" s="128">
        <v>0.67247999999999997</v>
      </c>
      <c r="H133" s="128">
        <v>9.4147199999999991</v>
      </c>
      <c r="I133" s="129">
        <v>14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30" t="s">
        <v>311</v>
      </c>
      <c r="G134" s="128">
        <v>0.82379999999999998</v>
      </c>
      <c r="H134" s="128">
        <v>404.48579999999998</v>
      </c>
      <c r="I134" s="129">
        <v>491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30" t="s">
        <v>313</v>
      </c>
      <c r="G135" s="128">
        <v>1.2661199999999999</v>
      </c>
      <c r="H135" s="128">
        <v>88.628399999999999</v>
      </c>
      <c r="I135" s="129">
        <v>70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30" t="s">
        <v>315</v>
      </c>
      <c r="G136" s="128">
        <v>1.6967999999999999</v>
      </c>
      <c r="H136" s="128">
        <v>251.12639999999999</v>
      </c>
      <c r="I136" s="129">
        <v>148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30" t="s">
        <v>333</v>
      </c>
      <c r="G137" s="128">
        <v>0.72</v>
      </c>
      <c r="H137" s="128">
        <v>293.03999999999996</v>
      </c>
      <c r="I137" s="129">
        <v>407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30" t="s">
        <v>335</v>
      </c>
      <c r="G138" s="128">
        <v>0.72</v>
      </c>
      <c r="H138" s="128">
        <v>0</v>
      </c>
      <c r="I138" s="129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30" t="s">
        <v>197</v>
      </c>
      <c r="G139" s="128">
        <v>5.6280000000000001</v>
      </c>
      <c r="H139" s="128">
        <v>0</v>
      </c>
      <c r="I139" s="129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30" t="s">
        <v>200</v>
      </c>
      <c r="G140" s="128">
        <v>7.02</v>
      </c>
      <c r="H140" s="128">
        <v>0</v>
      </c>
      <c r="I140" s="129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30" t="s">
        <v>202</v>
      </c>
      <c r="G141" s="128">
        <v>11.88</v>
      </c>
      <c r="H141" s="128">
        <v>3421.44</v>
      </c>
      <c r="I141" s="129">
        <v>288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30" t="s">
        <v>234</v>
      </c>
      <c r="G142" s="128">
        <v>0.504</v>
      </c>
      <c r="H142" s="128">
        <v>612.86400000000003</v>
      </c>
      <c r="I142" s="129">
        <v>1216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30" t="s">
        <v>287</v>
      </c>
      <c r="G143" s="128">
        <v>0.504</v>
      </c>
      <c r="H143" s="128">
        <v>27.216000000000001</v>
      </c>
      <c r="I143" s="129">
        <v>54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30" t="s">
        <v>214</v>
      </c>
      <c r="G144" s="128">
        <v>0.504</v>
      </c>
      <c r="H144" s="128">
        <v>102.816</v>
      </c>
      <c r="I144" s="129">
        <v>204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30" t="s">
        <v>257</v>
      </c>
      <c r="G145" s="128">
        <v>0.504</v>
      </c>
      <c r="H145" s="128">
        <v>381.52800000000002</v>
      </c>
      <c r="I145" s="129">
        <v>757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30" t="s">
        <v>237</v>
      </c>
      <c r="G146" s="128">
        <v>0.53878423999999969</v>
      </c>
      <c r="H146" s="128">
        <v>0</v>
      </c>
      <c r="I146" s="129">
        <v>0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30" t="s">
        <v>289</v>
      </c>
      <c r="G147" s="128">
        <v>0.53878423999999969</v>
      </c>
      <c r="H147" s="128">
        <v>626.60607111999968</v>
      </c>
      <c r="I147" s="129">
        <v>1163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30" t="s">
        <v>216</v>
      </c>
      <c r="G148" s="128">
        <v>0.53878423999999969</v>
      </c>
      <c r="H148" s="128">
        <v>285.01686295999986</v>
      </c>
      <c r="I148" s="129">
        <v>529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30" t="s">
        <v>259</v>
      </c>
      <c r="G149" s="128">
        <v>0.53878423999999969</v>
      </c>
      <c r="H149" s="128">
        <v>878.21831119999945</v>
      </c>
      <c r="I149" s="129">
        <v>1630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30" t="s">
        <v>277</v>
      </c>
      <c r="G150" s="128">
        <v>0.53878423999999969</v>
      </c>
      <c r="H150" s="128">
        <v>0</v>
      </c>
      <c r="I150" s="129">
        <v>0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30" t="s">
        <v>239</v>
      </c>
      <c r="G151" s="128">
        <v>0.67247999999999997</v>
      </c>
      <c r="H151" s="128">
        <v>614.64671999999996</v>
      </c>
      <c r="I151" s="129">
        <v>914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30" t="s">
        <v>291</v>
      </c>
      <c r="G152" s="128">
        <v>0.67247999999999997</v>
      </c>
      <c r="H152" s="128">
        <v>445.18176</v>
      </c>
      <c r="I152" s="129">
        <v>662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30" t="s">
        <v>218</v>
      </c>
      <c r="G153" s="128">
        <v>0.67247999999999997</v>
      </c>
      <c r="H153" s="128">
        <v>268.31952000000001</v>
      </c>
      <c r="I153" s="129">
        <v>399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30" t="s">
        <v>261</v>
      </c>
      <c r="G154" s="128">
        <v>0.67247999999999997</v>
      </c>
      <c r="H154" s="128">
        <v>528.56927999999994</v>
      </c>
      <c r="I154" s="129">
        <v>786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30" t="s">
        <v>279</v>
      </c>
      <c r="G155" s="128">
        <v>0.67247999999999997</v>
      </c>
      <c r="H155" s="128">
        <v>0</v>
      </c>
      <c r="I155" s="129">
        <v>0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30" t="s">
        <v>241</v>
      </c>
      <c r="G156" s="128">
        <v>0.82379999999999998</v>
      </c>
      <c r="H156" s="128">
        <v>2.4714</v>
      </c>
      <c r="I156" s="129">
        <v>3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30" t="s">
        <v>293</v>
      </c>
      <c r="G157" s="128">
        <v>0.82379999999999998</v>
      </c>
      <c r="H157" s="128">
        <v>0</v>
      </c>
      <c r="I157" s="129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30" t="s">
        <v>220</v>
      </c>
      <c r="G158" s="128">
        <v>0.82379999999999998</v>
      </c>
      <c r="H158" s="128">
        <v>0</v>
      </c>
      <c r="I158" s="129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30" t="s">
        <v>263</v>
      </c>
      <c r="G159" s="128">
        <v>0.82379999999999998</v>
      </c>
      <c r="H159" s="128">
        <v>0</v>
      </c>
      <c r="I159" s="129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30" t="s">
        <v>281</v>
      </c>
      <c r="G160" s="128">
        <v>0.82379999999999998</v>
      </c>
      <c r="H160" s="128">
        <v>0</v>
      </c>
      <c r="I160" s="129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30" t="s">
        <v>244</v>
      </c>
      <c r="G161" s="128">
        <v>1.2661199999999999</v>
      </c>
      <c r="H161" s="128">
        <v>0</v>
      </c>
      <c r="I161" s="129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30" t="s">
        <v>295</v>
      </c>
      <c r="G162" s="128">
        <v>1.2661199999999999</v>
      </c>
      <c r="H162" s="128">
        <v>6.3305999999999996</v>
      </c>
      <c r="I162" s="129">
        <v>5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30" t="s">
        <v>222</v>
      </c>
      <c r="G163" s="128">
        <v>1.2661199999999999</v>
      </c>
      <c r="H163" s="128">
        <v>0</v>
      </c>
      <c r="I163" s="129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30" t="s">
        <v>265</v>
      </c>
      <c r="G164" s="128">
        <v>1.2661199999999999</v>
      </c>
      <c r="H164" s="128">
        <v>6.3305999999999996</v>
      </c>
      <c r="I164" s="129">
        <v>5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30" t="s">
        <v>283</v>
      </c>
      <c r="G165" s="128">
        <v>1.2661199999999999</v>
      </c>
      <c r="H165" s="128">
        <v>24.056279999999997</v>
      </c>
      <c r="I165" s="129">
        <v>19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30" t="s">
        <v>246</v>
      </c>
      <c r="G166" s="128">
        <v>1.6967999999999999</v>
      </c>
      <c r="H166" s="128">
        <v>30.542399999999997</v>
      </c>
      <c r="I166" s="129">
        <v>18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30" t="s">
        <v>297</v>
      </c>
      <c r="G167" s="128">
        <v>1.6967999999999999</v>
      </c>
      <c r="H167" s="128">
        <v>174.7704</v>
      </c>
      <c r="I167" s="129">
        <v>103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30" t="s">
        <v>224</v>
      </c>
      <c r="G168" s="128">
        <v>1.6967999999999999</v>
      </c>
      <c r="H168" s="128">
        <v>110.29199999999999</v>
      </c>
      <c r="I168" s="129">
        <v>65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30" t="s">
        <v>267</v>
      </c>
      <c r="G169" s="128">
        <v>1.6967999999999999</v>
      </c>
      <c r="H169" s="128">
        <v>363.11519999999996</v>
      </c>
      <c r="I169" s="129">
        <v>214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30" t="s">
        <v>285</v>
      </c>
      <c r="G170" s="128">
        <v>1.6967999999999999</v>
      </c>
      <c r="H170" s="128">
        <v>118.776</v>
      </c>
      <c r="I170" s="129">
        <v>70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30" t="s">
        <v>249</v>
      </c>
      <c r="G171" s="128">
        <v>2.5930799999999996</v>
      </c>
      <c r="H171" s="128">
        <v>0</v>
      </c>
      <c r="I171" s="129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30" t="s">
        <v>299</v>
      </c>
      <c r="G172" s="128">
        <v>2.5930799999999996</v>
      </c>
      <c r="H172" s="128">
        <v>77.792399999999986</v>
      </c>
      <c r="I172" s="129">
        <v>30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30" t="s">
        <v>226</v>
      </c>
      <c r="G173" s="128">
        <v>2.5930799999999996</v>
      </c>
      <c r="H173" s="128">
        <v>49.268519999999995</v>
      </c>
      <c r="I173" s="129">
        <v>19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30" t="s">
        <v>269</v>
      </c>
      <c r="G174" s="128">
        <v>2.5930799999999996</v>
      </c>
      <c r="H174" s="128">
        <v>77.792399999999986</v>
      </c>
      <c r="I174" s="129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30" t="s">
        <v>251</v>
      </c>
      <c r="G175" s="128">
        <v>3.48936</v>
      </c>
      <c r="H175" s="128">
        <v>188.42544000000001</v>
      </c>
      <c r="I175" s="129">
        <v>54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30" t="s">
        <v>301</v>
      </c>
      <c r="G176" s="128">
        <v>3.48936</v>
      </c>
      <c r="H176" s="128">
        <v>104.6808</v>
      </c>
      <c r="I176" s="129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30" t="s">
        <v>228</v>
      </c>
      <c r="G177" s="128">
        <v>3.48936</v>
      </c>
      <c r="H177" s="128">
        <v>167.48928000000001</v>
      </c>
      <c r="I177" s="129">
        <v>48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30" t="s">
        <v>271</v>
      </c>
      <c r="G178" s="128">
        <v>3.48936</v>
      </c>
      <c r="H178" s="128">
        <v>174.46799999999999</v>
      </c>
      <c r="I178" s="129">
        <v>50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30" t="s">
        <v>253</v>
      </c>
      <c r="G179" s="128">
        <v>4.82796</v>
      </c>
      <c r="H179" s="128">
        <v>106.21512</v>
      </c>
      <c r="I179" s="129">
        <v>22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30" t="s">
        <v>303</v>
      </c>
      <c r="G180" s="128">
        <v>4.82796</v>
      </c>
      <c r="H180" s="128">
        <v>48.279600000000002</v>
      </c>
      <c r="I180" s="129">
        <v>10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30" t="s">
        <v>230</v>
      </c>
      <c r="G181" s="128">
        <v>4.82796</v>
      </c>
      <c r="H181" s="128">
        <v>140.01084</v>
      </c>
      <c r="I181" s="129">
        <v>29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30" t="s">
        <v>273</v>
      </c>
      <c r="G182" s="128">
        <v>4.82796</v>
      </c>
      <c r="H182" s="128">
        <v>144.83879999999999</v>
      </c>
      <c r="I182" s="129">
        <v>30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30" t="s">
        <v>255</v>
      </c>
      <c r="G183" s="128">
        <v>7.1093999999999999</v>
      </c>
      <c r="H183" s="128">
        <v>142.18799999999999</v>
      </c>
      <c r="I183" s="129">
        <v>20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30" t="s">
        <v>305</v>
      </c>
      <c r="G184" s="128">
        <v>7.1093999999999999</v>
      </c>
      <c r="H184" s="128">
        <v>71.093999999999994</v>
      </c>
      <c r="I184" s="129">
        <v>10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30" t="s">
        <v>232</v>
      </c>
      <c r="G185" s="128">
        <v>7.1093999999999999</v>
      </c>
      <c r="H185" s="128">
        <v>113.7504</v>
      </c>
      <c r="I185" s="129">
        <v>16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30" t="s">
        <v>275</v>
      </c>
      <c r="G186" s="128">
        <v>7.1093999999999999</v>
      </c>
      <c r="H186" s="128">
        <v>142.18799999999999</v>
      </c>
      <c r="I186" s="129">
        <v>20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30" t="s">
        <v>204</v>
      </c>
      <c r="G187" s="128">
        <v>10.199999999999999</v>
      </c>
      <c r="H187" s="128">
        <v>663</v>
      </c>
      <c r="I187" s="129">
        <v>65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30" t="s">
        <v>207</v>
      </c>
      <c r="G188" s="128">
        <v>13.8</v>
      </c>
      <c r="H188" s="128">
        <v>1104</v>
      </c>
      <c r="I188" s="129">
        <v>80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30" t="s">
        <v>323</v>
      </c>
      <c r="G189" s="128">
        <v>0.51600000000000001</v>
      </c>
      <c r="H189" s="128">
        <v>516</v>
      </c>
      <c r="I189" s="129">
        <v>1000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30" t="s">
        <v>329</v>
      </c>
      <c r="G190" s="128"/>
      <c r="H190" s="128">
        <v>0</v>
      </c>
      <c r="I190" s="129">
        <v>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30" t="s">
        <v>326</v>
      </c>
      <c r="G191" s="128">
        <v>0.51600000000000001</v>
      </c>
      <c r="H191" s="128">
        <v>6.1920000000000002</v>
      </c>
      <c r="I191" s="129">
        <v>12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30" t="s">
        <v>328</v>
      </c>
      <c r="G192" s="128">
        <v>0.432</v>
      </c>
      <c r="H192" s="128">
        <v>184.464</v>
      </c>
      <c r="I192" s="129">
        <v>427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30" t="s">
        <v>331</v>
      </c>
      <c r="G193" s="128"/>
      <c r="H193" s="128">
        <v>0</v>
      </c>
      <c r="I193" s="129">
        <v>0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30" t="s">
        <v>317</v>
      </c>
      <c r="G194" s="128">
        <v>0.54</v>
      </c>
      <c r="H194" s="128">
        <v>1680.48</v>
      </c>
      <c r="I194" s="129">
        <v>3112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30" t="s">
        <v>320</v>
      </c>
      <c r="G195" s="128">
        <v>0.70799999999999996</v>
      </c>
      <c r="H195" s="128">
        <v>2504.904</v>
      </c>
      <c r="I195" s="129">
        <v>3538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30" t="s">
        <v>341</v>
      </c>
      <c r="G196" s="128">
        <v>6.3600000000000004E-2</v>
      </c>
      <c r="H196" s="128">
        <v>0</v>
      </c>
      <c r="I196" s="129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30" t="s">
        <v>427</v>
      </c>
      <c r="G197" s="128">
        <v>16.25</v>
      </c>
      <c r="H197" s="128">
        <v>0</v>
      </c>
      <c r="I197" s="129">
        <v>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30" t="s">
        <v>430</v>
      </c>
      <c r="G198" s="128">
        <v>60</v>
      </c>
      <c r="H198" s="128">
        <v>600</v>
      </c>
      <c r="I198" s="129">
        <v>10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30" t="s">
        <v>452</v>
      </c>
      <c r="G199" s="128">
        <v>16.25</v>
      </c>
      <c r="H199" s="128">
        <v>113.75</v>
      </c>
      <c r="I199" s="129">
        <v>7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30" t="s">
        <v>455</v>
      </c>
      <c r="G200" s="128">
        <v>23.75</v>
      </c>
      <c r="H200" s="128">
        <v>0</v>
      </c>
      <c r="I200" s="129">
        <v>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30" t="s">
        <v>448</v>
      </c>
      <c r="G201" s="128">
        <v>6.0625</v>
      </c>
      <c r="H201" s="128">
        <v>72.75</v>
      </c>
      <c r="I201" s="129">
        <v>12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30" t="s">
        <v>450</v>
      </c>
      <c r="G202" s="128">
        <v>9.375</v>
      </c>
      <c r="H202" s="128">
        <v>0</v>
      </c>
      <c r="I202" s="129">
        <v>0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30" t="s">
        <v>1283</v>
      </c>
      <c r="G203" s="128">
        <v>12.69</v>
      </c>
      <c r="H203" s="128">
        <v>101.52</v>
      </c>
      <c r="I203" s="129">
        <v>8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30" t="s">
        <v>470</v>
      </c>
      <c r="G204" s="128"/>
      <c r="H204" s="128">
        <v>0</v>
      </c>
      <c r="I204" s="129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30" t="s">
        <v>472</v>
      </c>
      <c r="G205" s="128"/>
      <c r="H205" s="128">
        <v>0</v>
      </c>
      <c r="I205" s="129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30" t="s">
        <v>477</v>
      </c>
      <c r="G206" s="128">
        <v>4.95</v>
      </c>
      <c r="H206" s="128">
        <v>0</v>
      </c>
      <c r="I206" s="129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30" t="s">
        <v>418</v>
      </c>
      <c r="G207" s="128">
        <v>4.8000000000000001E-2</v>
      </c>
      <c r="H207" s="128">
        <v>549.072</v>
      </c>
      <c r="I207" s="129">
        <v>11439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30" t="s">
        <v>345</v>
      </c>
      <c r="G208" s="128">
        <v>0.3</v>
      </c>
      <c r="H208" s="128">
        <v>2194.7999999999997</v>
      </c>
      <c r="I208" s="129">
        <v>7316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30" t="s">
        <v>475</v>
      </c>
      <c r="G209" s="128">
        <v>17.64</v>
      </c>
      <c r="H209" s="128">
        <v>52.92</v>
      </c>
      <c r="I209" s="129">
        <v>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30" t="s">
        <v>480</v>
      </c>
      <c r="G210" s="128">
        <v>2.48</v>
      </c>
      <c r="H210" s="128">
        <v>57.04</v>
      </c>
      <c r="I210" s="129">
        <v>23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30" t="s">
        <v>482</v>
      </c>
      <c r="G211" s="128">
        <v>2.97</v>
      </c>
      <c r="H211" s="128">
        <v>118.80000000000001</v>
      </c>
      <c r="I211" s="129">
        <v>40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30" t="s">
        <v>484</v>
      </c>
      <c r="G212" s="128">
        <v>3.47</v>
      </c>
      <c r="H212" s="128">
        <v>145.74</v>
      </c>
      <c r="I212" s="129">
        <v>42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30" t="s">
        <v>363</v>
      </c>
      <c r="G213" s="128">
        <v>2.0809199999999999</v>
      </c>
      <c r="H213" s="128">
        <v>1587.7419599999998</v>
      </c>
      <c r="I213" s="129">
        <v>763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30" t="s">
        <v>365</v>
      </c>
      <c r="G214" s="128">
        <v>2.2555199999999997</v>
      </c>
      <c r="H214" s="128">
        <v>1073.6275199999998</v>
      </c>
      <c r="I214" s="129">
        <v>476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30" t="s">
        <v>367</v>
      </c>
      <c r="G215" s="128">
        <v>2.5930799999999996</v>
      </c>
      <c r="H215" s="128">
        <v>1275.7953599999998</v>
      </c>
      <c r="I215" s="129">
        <v>492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30" t="s">
        <v>369</v>
      </c>
      <c r="G216" s="128">
        <v>2.9306400000000004</v>
      </c>
      <c r="H216" s="128">
        <v>293.06400000000002</v>
      </c>
      <c r="I216" s="129">
        <v>100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30" t="s">
        <v>394</v>
      </c>
      <c r="G217" s="128">
        <v>0.28799999999999998</v>
      </c>
      <c r="H217" s="128">
        <v>367.2</v>
      </c>
      <c r="I217" s="129">
        <v>1275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30" t="s">
        <v>371</v>
      </c>
      <c r="G218" s="128">
        <v>2.4417599999999995</v>
      </c>
      <c r="H218" s="128">
        <v>1191.5788799999998</v>
      </c>
      <c r="I218" s="129">
        <v>488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30" t="s">
        <v>373</v>
      </c>
      <c r="G219" s="128">
        <v>2.7909599999999997</v>
      </c>
      <c r="H219" s="128">
        <v>842.86991999999987</v>
      </c>
      <c r="I219" s="129">
        <v>302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30" t="s">
        <v>375</v>
      </c>
      <c r="G220" s="128">
        <v>3.1401599999999998</v>
      </c>
      <c r="H220" s="128">
        <v>320.29631999999998</v>
      </c>
      <c r="I220" s="129">
        <v>102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30" t="s">
        <v>377</v>
      </c>
      <c r="G221" s="128">
        <v>3.8385600000000002</v>
      </c>
      <c r="H221" s="128">
        <v>291.73056000000003</v>
      </c>
      <c r="I221" s="129">
        <v>76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30" t="s">
        <v>396</v>
      </c>
      <c r="G222" s="128">
        <v>0.312</v>
      </c>
      <c r="H222" s="128">
        <v>275.80799999999999</v>
      </c>
      <c r="I222" s="129">
        <v>884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30" t="s">
        <v>355</v>
      </c>
      <c r="G223" s="128">
        <v>1.9296000000000002</v>
      </c>
      <c r="H223" s="128">
        <v>1.9296000000000002</v>
      </c>
      <c r="I223" s="129">
        <v>1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30" t="s">
        <v>357</v>
      </c>
      <c r="G224" s="128">
        <v>2.0227200000000001</v>
      </c>
      <c r="H224" s="128">
        <v>6.0681600000000007</v>
      </c>
      <c r="I224" s="129">
        <v>3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30" t="s">
        <v>359</v>
      </c>
      <c r="G225" s="128">
        <v>2.2089600000000003</v>
      </c>
      <c r="H225" s="128">
        <v>543.40416000000005</v>
      </c>
      <c r="I225" s="129">
        <v>246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30" t="s">
        <v>361</v>
      </c>
      <c r="G226" s="128">
        <v>2.3835600000000001</v>
      </c>
      <c r="H226" s="128">
        <v>190.6848</v>
      </c>
      <c r="I226" s="129">
        <v>80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30" t="s">
        <v>392</v>
      </c>
      <c r="G227" s="128">
        <v>0.27600000000000002</v>
      </c>
      <c r="H227" s="128">
        <v>91.632000000000005</v>
      </c>
      <c r="I227" s="129">
        <v>332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30" t="s">
        <v>406</v>
      </c>
      <c r="G228" s="128">
        <v>0.58799999999999997</v>
      </c>
      <c r="H228" s="128">
        <v>876.12</v>
      </c>
      <c r="I228" s="129">
        <v>1490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30" t="s">
        <v>408</v>
      </c>
      <c r="G229" s="128">
        <v>0.63600000000000001</v>
      </c>
      <c r="H229" s="128">
        <v>777.82799999999997</v>
      </c>
      <c r="I229" s="129">
        <v>1223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30" t="s">
        <v>404</v>
      </c>
      <c r="G230" s="128">
        <v>0.49199999999999999</v>
      </c>
      <c r="H230" s="128">
        <v>7.8719999999999999</v>
      </c>
      <c r="I230" s="129">
        <v>16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30" t="s">
        <v>438</v>
      </c>
      <c r="G231" s="128">
        <v>30</v>
      </c>
      <c r="H231" s="128">
        <v>1470</v>
      </c>
      <c r="I231" s="129">
        <v>49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30" t="s">
        <v>437</v>
      </c>
      <c r="G232" s="128">
        <v>15</v>
      </c>
      <c r="H232" s="128">
        <v>315</v>
      </c>
      <c r="I232" s="129">
        <v>21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30" t="s">
        <v>1281</v>
      </c>
      <c r="G233" s="128"/>
      <c r="H233" s="128">
        <v>0</v>
      </c>
      <c r="I233" s="129">
        <v>0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30" t="s">
        <v>424</v>
      </c>
      <c r="G234" s="128">
        <v>4.8125</v>
      </c>
      <c r="H234" s="128">
        <v>1597.75</v>
      </c>
      <c r="I234" s="129">
        <v>332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30" t="s">
        <v>425</v>
      </c>
      <c r="G235" s="128">
        <v>4.8125</v>
      </c>
      <c r="H235" s="128">
        <v>423.5</v>
      </c>
      <c r="I235" s="129">
        <v>88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30" t="s">
        <v>426</v>
      </c>
      <c r="G236" s="128">
        <v>6.25</v>
      </c>
      <c r="H236" s="128">
        <v>712.5</v>
      </c>
      <c r="I236" s="129">
        <v>114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30" t="s">
        <v>474</v>
      </c>
      <c r="G237" s="128"/>
      <c r="H237" s="128">
        <v>0</v>
      </c>
      <c r="I237" s="129">
        <v>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30" t="s">
        <v>349</v>
      </c>
      <c r="G238" s="128">
        <v>31.8</v>
      </c>
      <c r="H238" s="128">
        <v>318</v>
      </c>
      <c r="I238" s="129">
        <v>10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30" t="s">
        <v>486</v>
      </c>
      <c r="G239" s="128">
        <v>3.96</v>
      </c>
      <c r="H239" s="128">
        <v>0</v>
      </c>
      <c r="I239" s="129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30" t="s">
        <v>351</v>
      </c>
      <c r="G240" s="128">
        <v>22.2</v>
      </c>
      <c r="H240" s="128">
        <v>0</v>
      </c>
      <c r="I240" s="129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30" t="s">
        <v>353</v>
      </c>
      <c r="G241" s="128">
        <v>22.2</v>
      </c>
      <c r="H241" s="128">
        <v>0</v>
      </c>
      <c r="I241" s="129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30" t="s">
        <v>446</v>
      </c>
      <c r="G242" s="128">
        <v>152.5</v>
      </c>
      <c r="H242" s="128">
        <v>1830</v>
      </c>
      <c r="I242" s="129">
        <v>12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30" t="s">
        <v>447</v>
      </c>
      <c r="G243" s="128">
        <v>88.29</v>
      </c>
      <c r="H243" s="128">
        <v>353.16</v>
      </c>
      <c r="I243" s="129">
        <v>4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30" t="s">
        <v>469</v>
      </c>
      <c r="G244" s="128"/>
      <c r="H244" s="128">
        <v>0</v>
      </c>
      <c r="I244" s="129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30" t="s">
        <v>466</v>
      </c>
      <c r="G245" s="128"/>
      <c r="H245" s="128">
        <v>0</v>
      </c>
      <c r="I245" s="129">
        <v>0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30" t="s">
        <v>465</v>
      </c>
      <c r="G246" s="128">
        <v>16.25</v>
      </c>
      <c r="H246" s="128">
        <v>81.25</v>
      </c>
      <c r="I246" s="129">
        <v>5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30" t="s">
        <v>445</v>
      </c>
      <c r="G247" s="128">
        <v>42.5</v>
      </c>
      <c r="H247" s="128">
        <v>1657.5</v>
      </c>
      <c r="I247" s="129">
        <v>39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30" t="s">
        <v>431</v>
      </c>
      <c r="G248" s="128"/>
      <c r="H248" s="128">
        <v>0</v>
      </c>
      <c r="I248" s="129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30" t="s">
        <v>433</v>
      </c>
      <c r="G249" s="128"/>
      <c r="H249" s="128">
        <v>0</v>
      </c>
      <c r="I249" s="129">
        <v>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30" t="s">
        <v>1282</v>
      </c>
      <c r="G250" s="128">
        <v>22.95</v>
      </c>
      <c r="H250" s="128">
        <v>459</v>
      </c>
      <c r="I250" s="129">
        <v>20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30" t="s">
        <v>388</v>
      </c>
      <c r="G251" s="128">
        <v>2.2320000000000002</v>
      </c>
      <c r="H251" s="128">
        <v>658.44</v>
      </c>
      <c r="I251" s="129">
        <v>295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30" t="s">
        <v>390</v>
      </c>
      <c r="G252" s="128">
        <v>2.472</v>
      </c>
      <c r="H252" s="128">
        <v>803.4</v>
      </c>
      <c r="I252" s="129">
        <v>325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30" t="s">
        <v>379</v>
      </c>
      <c r="G253" s="128">
        <v>1.9296000000000002</v>
      </c>
      <c r="H253" s="128">
        <v>0</v>
      </c>
      <c r="I253" s="129">
        <v>0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30" t="s">
        <v>382</v>
      </c>
      <c r="G254" s="128">
        <v>2.0227200000000001</v>
      </c>
      <c r="H254" s="128">
        <v>113.27232000000001</v>
      </c>
      <c r="I254" s="129">
        <v>56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30" t="s">
        <v>384</v>
      </c>
      <c r="G255" s="128">
        <v>2.2089600000000003</v>
      </c>
      <c r="H255" s="128">
        <v>108.23904000000002</v>
      </c>
      <c r="I255" s="129">
        <v>49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30" t="s">
        <v>386</v>
      </c>
      <c r="G256" s="128">
        <v>2.3835600000000001</v>
      </c>
      <c r="H256" s="128">
        <v>21.45204</v>
      </c>
      <c r="I256" s="129">
        <v>9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30" t="s">
        <v>414</v>
      </c>
      <c r="G257" s="128">
        <v>0.54</v>
      </c>
      <c r="H257" s="128">
        <v>623.16000000000008</v>
      </c>
      <c r="I257" s="129">
        <v>1154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30" t="s">
        <v>416</v>
      </c>
      <c r="G258" s="128">
        <v>0.63600000000000001</v>
      </c>
      <c r="H258" s="128">
        <v>840.79200000000003</v>
      </c>
      <c r="I258" s="129">
        <v>1322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30" t="s">
        <v>410</v>
      </c>
      <c r="G259" s="128">
        <v>0.49199999999999999</v>
      </c>
      <c r="H259" s="128">
        <v>0</v>
      </c>
      <c r="I259" s="129">
        <v>0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30" t="s">
        <v>400</v>
      </c>
      <c r="G260" s="128">
        <v>0.156</v>
      </c>
      <c r="H260" s="128">
        <v>125.42400000000001</v>
      </c>
      <c r="I260" s="129">
        <v>804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30" t="s">
        <v>402</v>
      </c>
      <c r="G261" s="128">
        <v>0.18</v>
      </c>
      <c r="H261" s="128">
        <v>174.42</v>
      </c>
      <c r="I261" s="129">
        <v>969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30" t="s">
        <v>398</v>
      </c>
      <c r="G262" s="128">
        <v>0.14399999999999999</v>
      </c>
      <c r="H262" s="128">
        <v>33.263999999999996</v>
      </c>
      <c r="I262" s="129">
        <v>231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30" t="s">
        <v>461</v>
      </c>
      <c r="G263" s="128">
        <v>6.0625</v>
      </c>
      <c r="H263" s="128">
        <v>18.1875</v>
      </c>
      <c r="I263" s="129">
        <v>3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30" t="s">
        <v>463</v>
      </c>
      <c r="G264" s="128">
        <v>9.375</v>
      </c>
      <c r="H264" s="128">
        <v>0</v>
      </c>
      <c r="I264" s="129">
        <v>0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30" t="s">
        <v>420</v>
      </c>
      <c r="G265" s="128">
        <v>0.86399999999999999</v>
      </c>
      <c r="H265" s="128">
        <v>816.48</v>
      </c>
      <c r="I265" s="129">
        <v>945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30" t="s">
        <v>488</v>
      </c>
      <c r="G266" s="128">
        <v>19.8</v>
      </c>
      <c r="H266" s="128">
        <v>59.400000000000006</v>
      </c>
      <c r="I266" s="129">
        <v>3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30" t="s">
        <v>434</v>
      </c>
      <c r="G267" s="128">
        <v>8.75</v>
      </c>
      <c r="H267" s="128">
        <v>227.5</v>
      </c>
      <c r="I267" s="129">
        <v>26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30" t="s">
        <v>436</v>
      </c>
      <c r="G268" s="128">
        <v>15.625</v>
      </c>
      <c r="H268" s="128">
        <v>156.25</v>
      </c>
      <c r="I268" s="129">
        <v>10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30" t="s">
        <v>347</v>
      </c>
      <c r="G269" s="128">
        <v>3</v>
      </c>
      <c r="H269" s="128">
        <v>261</v>
      </c>
      <c r="I269" s="129">
        <v>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30" t="s">
        <v>422</v>
      </c>
      <c r="G270" s="128">
        <v>4.8125</v>
      </c>
      <c r="H270" s="128">
        <v>3306.1875</v>
      </c>
      <c r="I270" s="129">
        <v>687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30" t="s">
        <v>423</v>
      </c>
      <c r="G271" s="128">
        <v>4.8125</v>
      </c>
      <c r="H271" s="128">
        <v>486.0625</v>
      </c>
      <c r="I271" s="129">
        <v>101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30" t="s">
        <v>192</v>
      </c>
      <c r="G272" s="128">
        <v>0.31900000000000001</v>
      </c>
      <c r="H272" s="128">
        <v>0</v>
      </c>
      <c r="I272" s="129">
        <v>0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30" t="s">
        <v>1361</v>
      </c>
      <c r="G273" s="128">
        <v>16.34</v>
      </c>
      <c r="H273" s="128">
        <v>7712.48</v>
      </c>
      <c r="I273" s="129">
        <v>472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30" t="s">
        <v>1397</v>
      </c>
      <c r="G274" s="128">
        <v>5.6280000000000001</v>
      </c>
      <c r="H274" s="128">
        <v>11.256</v>
      </c>
      <c r="I274" s="129">
        <v>2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30" t="s">
        <v>1398</v>
      </c>
      <c r="G275" s="128">
        <v>0.51600000000000001</v>
      </c>
      <c r="H275" s="128">
        <v>4.1280000000000001</v>
      </c>
      <c r="I275" s="129">
        <v>8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30" t="s">
        <v>1399</v>
      </c>
      <c r="G276" s="128">
        <v>2.48</v>
      </c>
      <c r="H276" s="128">
        <v>2.48</v>
      </c>
      <c r="I276" s="129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30" t="s">
        <v>1400</v>
      </c>
      <c r="G277" s="128">
        <v>2.97</v>
      </c>
      <c r="H277" s="128">
        <v>2.97</v>
      </c>
      <c r="I277" s="129">
        <v>1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30" t="s">
        <v>1321</v>
      </c>
      <c r="G278" s="128">
        <v>0.31900000000000001</v>
      </c>
      <c r="H278" s="128">
        <v>0</v>
      </c>
      <c r="I278" s="129">
        <v>0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7" t="s">
        <v>492</v>
      </c>
      <c r="G279" s="128">
        <v>152.46</v>
      </c>
      <c r="H279" s="128">
        <v>152.46</v>
      </c>
      <c r="I279" s="129">
        <v>3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30" t="s">
        <v>493</v>
      </c>
      <c r="G280" s="128">
        <v>30.195000000000004</v>
      </c>
      <c r="H280" s="128">
        <v>30.195000000000004</v>
      </c>
      <c r="I280" s="129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30" t="s">
        <v>495</v>
      </c>
      <c r="G281" s="128">
        <v>23.76</v>
      </c>
      <c r="H281" s="128">
        <v>23.76</v>
      </c>
      <c r="I281" s="129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30" t="s">
        <v>490</v>
      </c>
      <c r="G282" s="128">
        <v>98.50500000000001</v>
      </c>
      <c r="H282" s="128">
        <v>98.50500000000001</v>
      </c>
      <c r="I282" s="129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7" t="s">
        <v>499</v>
      </c>
      <c r="G283" s="128">
        <v>9645.94</v>
      </c>
      <c r="H283" s="128">
        <v>281.25</v>
      </c>
      <c r="I283" s="129">
        <v>2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30" t="s">
        <v>506</v>
      </c>
      <c r="G284" s="128">
        <v>1350</v>
      </c>
      <c r="H284" s="128">
        <v>0</v>
      </c>
      <c r="I284" s="129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30" t="s">
        <v>508</v>
      </c>
      <c r="G285" s="128"/>
      <c r="H285" s="128">
        <v>0</v>
      </c>
      <c r="I285" s="129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30" t="s">
        <v>1254</v>
      </c>
      <c r="G286" s="128">
        <v>7609.76</v>
      </c>
      <c r="H286" s="128">
        <v>0</v>
      </c>
      <c r="I286" s="129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30" t="s">
        <v>497</v>
      </c>
      <c r="G287" s="128">
        <v>281.25</v>
      </c>
      <c r="H287" s="128">
        <v>281.25</v>
      </c>
      <c r="I287" s="129">
        <v>1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30" t="s">
        <v>504</v>
      </c>
      <c r="G288" s="128"/>
      <c r="H288" s="128">
        <v>0</v>
      </c>
      <c r="I288" s="129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30" t="s">
        <v>501</v>
      </c>
      <c r="G289" s="128">
        <v>404.93</v>
      </c>
      <c r="H289" s="128">
        <v>0</v>
      </c>
      <c r="I289" s="129">
        <v>0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30" t="s">
        <v>510</v>
      </c>
      <c r="G290" s="128"/>
      <c r="H290" s="128">
        <v>0</v>
      </c>
      <c r="I290" s="129">
        <v>1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7" t="s">
        <v>513</v>
      </c>
      <c r="G291" s="128">
        <v>1300</v>
      </c>
      <c r="H291" s="128">
        <v>2600</v>
      </c>
      <c r="I291" s="129">
        <v>2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30" t="s">
        <v>518</v>
      </c>
      <c r="G292" s="128"/>
      <c r="H292" s="128">
        <v>0</v>
      </c>
      <c r="I292" s="129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30" t="s">
        <v>521</v>
      </c>
      <c r="G293" s="128"/>
      <c r="H293" s="128">
        <v>0</v>
      </c>
      <c r="I293" s="129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30" t="s">
        <v>512</v>
      </c>
      <c r="G294" s="128"/>
      <c r="H294" s="128">
        <v>0</v>
      </c>
      <c r="I294" s="129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30" t="s">
        <v>516</v>
      </c>
      <c r="G295" s="128">
        <v>1300</v>
      </c>
      <c r="H295" s="128">
        <v>2600</v>
      </c>
      <c r="I295" s="129">
        <v>2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7" t="s">
        <v>525</v>
      </c>
      <c r="G296" s="128"/>
      <c r="H296" s="128">
        <v>0</v>
      </c>
      <c r="I296" s="129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30" t="s">
        <v>528</v>
      </c>
      <c r="G297" s="128"/>
      <c r="H297" s="128">
        <v>0</v>
      </c>
      <c r="I297" s="129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30" t="s">
        <v>1264</v>
      </c>
      <c r="G298" s="128"/>
      <c r="H298" s="128">
        <v>0</v>
      </c>
      <c r="I298" s="129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30" t="s">
        <v>530</v>
      </c>
      <c r="G299" s="128"/>
      <c r="H299" s="128">
        <v>0</v>
      </c>
      <c r="I299" s="129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30" t="s">
        <v>523</v>
      </c>
      <c r="G300" s="128"/>
      <c r="H300" s="128">
        <v>0</v>
      </c>
      <c r="I300" s="129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7" t="s">
        <v>533</v>
      </c>
      <c r="G301" s="128">
        <v>26</v>
      </c>
      <c r="H301" s="128">
        <v>26</v>
      </c>
      <c r="I301" s="129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30" t="s">
        <v>532</v>
      </c>
      <c r="G302" s="128">
        <v>26</v>
      </c>
      <c r="H302" s="128">
        <v>26</v>
      </c>
      <c r="I302" s="129">
        <v>1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7" t="s">
        <v>535</v>
      </c>
      <c r="G303" s="128">
        <v>1.1599999999999999</v>
      </c>
      <c r="H303" s="128">
        <v>105.83999999999999</v>
      </c>
      <c r="I303" s="129">
        <v>252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30">
        <v>638213</v>
      </c>
      <c r="G304" s="128"/>
      <c r="H304" s="128">
        <v>0</v>
      </c>
      <c r="I304" s="129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30" t="s">
        <v>1509</v>
      </c>
      <c r="G305" s="128">
        <v>0.74</v>
      </c>
      <c r="H305" s="128">
        <v>0</v>
      </c>
      <c r="I305" s="129">
        <v>0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30" t="s">
        <v>1381</v>
      </c>
      <c r="G306" s="128">
        <v>0.42</v>
      </c>
      <c r="H306" s="128">
        <v>105.83999999999999</v>
      </c>
      <c r="I306" s="129">
        <v>252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7" t="s">
        <v>537</v>
      </c>
      <c r="G307" s="128"/>
      <c r="H307" s="128">
        <v>0</v>
      </c>
      <c r="I307" s="129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30" t="s">
        <v>1246</v>
      </c>
      <c r="G308" s="128"/>
      <c r="H308" s="128">
        <v>0</v>
      </c>
      <c r="I308" s="129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30" t="s">
        <v>1265</v>
      </c>
      <c r="G309" s="128"/>
      <c r="H309" s="128">
        <v>0</v>
      </c>
      <c r="I309" s="129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30" t="s">
        <v>536</v>
      </c>
      <c r="G310" s="128"/>
      <c r="H310" s="128">
        <v>0</v>
      </c>
      <c r="I310" s="129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7" t="s">
        <v>540</v>
      </c>
      <c r="G311" s="128">
        <v>3500</v>
      </c>
      <c r="H311" s="128">
        <v>9460</v>
      </c>
      <c r="I311" s="129">
        <v>7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30" t="s">
        <v>1506</v>
      </c>
      <c r="G312" s="128">
        <v>520</v>
      </c>
      <c r="H312" s="128">
        <v>520</v>
      </c>
      <c r="I312" s="129">
        <v>1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30" t="s">
        <v>1505</v>
      </c>
      <c r="G313" s="128">
        <v>1380</v>
      </c>
      <c r="H313" s="128">
        <v>4140</v>
      </c>
      <c r="I313" s="129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30" t="s">
        <v>1504</v>
      </c>
      <c r="G314" s="128">
        <v>1600</v>
      </c>
      <c r="H314" s="128">
        <v>4800</v>
      </c>
      <c r="I314" s="129">
        <v>3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7" t="s">
        <v>745</v>
      </c>
      <c r="G315" s="128"/>
      <c r="H315" s="128">
        <v>0</v>
      </c>
      <c r="I315" s="129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30" t="s">
        <v>743</v>
      </c>
      <c r="G316" s="128"/>
      <c r="H316" s="128">
        <v>0</v>
      </c>
      <c r="I316" s="129">
        <v>0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7" t="s">
        <v>578</v>
      </c>
      <c r="G317" s="128"/>
      <c r="H317" s="128">
        <v>0</v>
      </c>
      <c r="I317" s="129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30" t="s">
        <v>579</v>
      </c>
      <c r="G318" s="128"/>
      <c r="H318" s="128">
        <v>0</v>
      </c>
      <c r="I318" s="129">
        <v>4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30" t="s">
        <v>581</v>
      </c>
      <c r="G319" s="128"/>
      <c r="H319" s="128">
        <v>0</v>
      </c>
      <c r="I319" s="129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30" t="s">
        <v>576</v>
      </c>
      <c r="G320" s="128"/>
      <c r="H320" s="128">
        <v>0</v>
      </c>
      <c r="I320" s="129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30" t="s">
        <v>584</v>
      </c>
      <c r="G321" s="128"/>
      <c r="H321" s="128">
        <v>0</v>
      </c>
      <c r="I321" s="129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7" t="s">
        <v>549</v>
      </c>
      <c r="G322" s="128">
        <v>3800</v>
      </c>
      <c r="H322" s="128">
        <v>0</v>
      </c>
      <c r="I322" s="129">
        <v>674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30" t="s">
        <v>1256</v>
      </c>
      <c r="G323" s="128"/>
      <c r="H323" s="128">
        <v>0</v>
      </c>
      <c r="I323" s="129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30" t="s">
        <v>1334</v>
      </c>
      <c r="G324" s="128"/>
      <c r="H324" s="128">
        <v>0</v>
      </c>
      <c r="I324" s="129">
        <v>1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30" t="s">
        <v>1363</v>
      </c>
      <c r="G325" s="128">
        <v>3800</v>
      </c>
      <c r="H325" s="128">
        <v>0</v>
      </c>
      <c r="I325" s="129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30" t="s">
        <v>1230</v>
      </c>
      <c r="G326" s="128"/>
      <c r="H326" s="128">
        <v>0</v>
      </c>
      <c r="I326" s="129">
        <v>4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30" t="s">
        <v>1335</v>
      </c>
      <c r="G327" s="128"/>
      <c r="H327" s="128">
        <v>0</v>
      </c>
      <c r="I327" s="129">
        <v>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30" t="s">
        <v>1323</v>
      </c>
      <c r="G328" s="128"/>
      <c r="H328" s="128">
        <v>0</v>
      </c>
      <c r="I328" s="129">
        <v>61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30" t="s">
        <v>1324</v>
      </c>
      <c r="G329" s="128"/>
      <c r="H329" s="128">
        <v>0</v>
      </c>
      <c r="I329" s="129">
        <v>53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30" t="s">
        <v>1325</v>
      </c>
      <c r="G330" s="128"/>
      <c r="H330" s="128">
        <v>0</v>
      </c>
      <c r="I330" s="129">
        <v>28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30" t="s">
        <v>1326</v>
      </c>
      <c r="G331" s="128"/>
      <c r="H331" s="128">
        <v>0</v>
      </c>
      <c r="I331" s="129">
        <v>267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30" t="s">
        <v>1333</v>
      </c>
      <c r="G332" s="128"/>
      <c r="H332" s="128">
        <v>0</v>
      </c>
      <c r="I332" s="129">
        <v>7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30" t="s">
        <v>1328</v>
      </c>
      <c r="G333" s="128"/>
      <c r="H333" s="128">
        <v>0</v>
      </c>
      <c r="I333" s="129">
        <v>2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30" t="s">
        <v>1331</v>
      </c>
      <c r="G334" s="128"/>
      <c r="H334" s="128">
        <v>0</v>
      </c>
      <c r="I334" s="129">
        <v>10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30" t="s">
        <v>1327</v>
      </c>
      <c r="G335" s="128"/>
      <c r="H335" s="128">
        <v>0</v>
      </c>
      <c r="I335" s="129">
        <v>3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30" t="s">
        <v>1336</v>
      </c>
      <c r="G336" s="128"/>
      <c r="H336" s="128">
        <v>0</v>
      </c>
      <c r="I336" s="129">
        <v>1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30" t="s">
        <v>1330</v>
      </c>
      <c r="G337" s="128"/>
      <c r="H337" s="128">
        <v>0</v>
      </c>
      <c r="I337" s="129">
        <v>5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30" t="s">
        <v>1329</v>
      </c>
      <c r="G338" s="128"/>
      <c r="H338" s="128">
        <v>0</v>
      </c>
      <c r="I338" s="129">
        <v>7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30" t="s">
        <v>1322</v>
      </c>
      <c r="G339" s="128"/>
      <c r="H339" s="128">
        <v>0</v>
      </c>
      <c r="I339" s="129">
        <v>0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30" t="s">
        <v>1332</v>
      </c>
      <c r="G340" s="128"/>
      <c r="H340" s="128">
        <v>0</v>
      </c>
      <c r="I340" s="129">
        <v>223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30" t="s">
        <v>1255</v>
      </c>
      <c r="G341" s="128"/>
      <c r="H341" s="128">
        <v>0</v>
      </c>
      <c r="I341" s="129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30" t="s">
        <v>554</v>
      </c>
      <c r="G342" s="128"/>
      <c r="H342" s="128">
        <v>0</v>
      </c>
      <c r="I342" s="129">
        <v>1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7" t="s">
        <v>588</v>
      </c>
      <c r="G343" s="128">
        <v>30</v>
      </c>
      <c r="H343" s="128">
        <v>120</v>
      </c>
      <c r="I343" s="129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30" t="s">
        <v>586</v>
      </c>
      <c r="G344" s="128">
        <v>30</v>
      </c>
      <c r="H344" s="128">
        <v>120</v>
      </c>
      <c r="I344" s="129">
        <v>4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7" t="s">
        <v>590</v>
      </c>
      <c r="G345" s="128"/>
      <c r="H345" s="128">
        <v>0</v>
      </c>
      <c r="I345" s="129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30">
        <v>20030658</v>
      </c>
      <c r="G346" s="128"/>
      <c r="H346" s="128">
        <v>0</v>
      </c>
      <c r="I346" s="129">
        <v>2893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7" t="s">
        <v>594</v>
      </c>
      <c r="G347" s="128">
        <v>48108.034000000007</v>
      </c>
      <c r="H347" s="128">
        <v>210436.29000000004</v>
      </c>
      <c r="I347" s="129">
        <v>681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1" t="s">
        <v>592</v>
      </c>
      <c r="G348" s="128"/>
      <c r="H348" s="128">
        <v>0</v>
      </c>
      <c r="I348" s="129">
        <v>2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1" t="s">
        <v>595</v>
      </c>
      <c r="G349" s="128">
        <v>25.89</v>
      </c>
      <c r="H349" s="128">
        <v>517.79999999999995</v>
      </c>
      <c r="I349" s="129">
        <v>20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1" t="s">
        <v>596</v>
      </c>
      <c r="G350" s="128">
        <v>39.15</v>
      </c>
      <c r="H350" s="128">
        <v>0</v>
      </c>
      <c r="I350" s="129">
        <v>0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1" t="s">
        <v>597</v>
      </c>
      <c r="G351" s="128">
        <v>205</v>
      </c>
      <c r="H351" s="128">
        <v>1230</v>
      </c>
      <c r="I351" s="129">
        <v>6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1" t="s">
        <v>599</v>
      </c>
      <c r="G352" s="128"/>
      <c r="H352" s="128">
        <v>0</v>
      </c>
      <c r="I352" s="129">
        <v>2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1" t="s">
        <v>1267</v>
      </c>
      <c r="G353" s="128">
        <v>190.36</v>
      </c>
      <c r="H353" s="128">
        <v>17893.84</v>
      </c>
      <c r="I353" s="129">
        <v>94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1" t="s">
        <v>605</v>
      </c>
      <c r="G354" s="128">
        <v>324.52999999999997</v>
      </c>
      <c r="H354" s="128">
        <v>324.52999999999997</v>
      </c>
      <c r="I354" s="129">
        <v>1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1" t="s">
        <v>1243</v>
      </c>
      <c r="G355" s="128"/>
      <c r="H355" s="128">
        <v>0</v>
      </c>
      <c r="I355" s="129">
        <v>0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1" t="s">
        <v>607</v>
      </c>
      <c r="G356" s="128">
        <v>559.26</v>
      </c>
      <c r="H356" s="128">
        <v>559.26</v>
      </c>
      <c r="I356" s="129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1" t="s">
        <v>609</v>
      </c>
      <c r="G357" s="128"/>
      <c r="H357" s="128">
        <v>0</v>
      </c>
      <c r="I357" s="129">
        <v>1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1" t="s">
        <v>611</v>
      </c>
      <c r="G358" s="128">
        <v>249</v>
      </c>
      <c r="H358" s="128">
        <v>0</v>
      </c>
      <c r="I358" s="129">
        <v>0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1" t="s">
        <v>613</v>
      </c>
      <c r="G359" s="128">
        <v>264.27</v>
      </c>
      <c r="H359" s="128">
        <v>2114.16</v>
      </c>
      <c r="I359" s="129">
        <v>8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1" t="s">
        <v>615</v>
      </c>
      <c r="G360" s="128">
        <v>392.16</v>
      </c>
      <c r="H360" s="128">
        <v>34117.920000000006</v>
      </c>
      <c r="I360" s="129">
        <v>87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1" t="s">
        <v>1268</v>
      </c>
      <c r="G361" s="128"/>
      <c r="H361" s="128">
        <v>0</v>
      </c>
      <c r="I361" s="129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1" t="s">
        <v>618</v>
      </c>
      <c r="G362" s="128">
        <v>350</v>
      </c>
      <c r="H362" s="128">
        <v>0</v>
      </c>
      <c r="I362" s="129">
        <v>0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1" t="s">
        <v>621</v>
      </c>
      <c r="G363" s="128"/>
      <c r="H363" s="128">
        <v>0</v>
      </c>
      <c r="I363" s="129">
        <v>1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1" t="s">
        <v>623</v>
      </c>
      <c r="G364" s="128">
        <v>724.8</v>
      </c>
      <c r="H364" s="128">
        <v>0</v>
      </c>
      <c r="I364" s="129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1" t="s">
        <v>625</v>
      </c>
      <c r="G365" s="128">
        <v>525</v>
      </c>
      <c r="H365" s="128">
        <v>525</v>
      </c>
      <c r="I365" s="129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1" t="s">
        <v>627</v>
      </c>
      <c r="G366" s="128">
        <v>433.49</v>
      </c>
      <c r="H366" s="128">
        <v>31211.279999999999</v>
      </c>
      <c r="I366" s="129">
        <v>72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1" t="s">
        <v>630</v>
      </c>
      <c r="G367" s="128"/>
      <c r="H367" s="128">
        <v>0</v>
      </c>
      <c r="I367" s="129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1" t="s">
        <v>633</v>
      </c>
      <c r="G368" s="128">
        <v>813.96</v>
      </c>
      <c r="H368" s="128">
        <v>0</v>
      </c>
      <c r="I368" s="129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0" t="s">
        <v>635</v>
      </c>
      <c r="G369" s="128"/>
      <c r="H369" s="128">
        <v>0</v>
      </c>
      <c r="I369" s="129">
        <v>52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1" t="s">
        <v>637</v>
      </c>
      <c r="G370" s="132">
        <v>17</v>
      </c>
      <c r="H370" s="132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0" t="s">
        <v>1351</v>
      </c>
      <c r="G371" s="128"/>
      <c r="H371" s="128">
        <v>0</v>
      </c>
      <c r="I371" s="129">
        <v>7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1" t="s">
        <v>1352</v>
      </c>
      <c r="G372" s="128">
        <v>200</v>
      </c>
      <c r="H372" s="128">
        <v>400</v>
      </c>
      <c r="I372" s="129">
        <v>2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1" t="s">
        <v>1171</v>
      </c>
      <c r="G373" s="128">
        <v>207.53</v>
      </c>
      <c r="H373" s="128">
        <v>0</v>
      </c>
      <c r="I373" s="129">
        <v>0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0" t="s">
        <v>1486</v>
      </c>
      <c r="G374" s="128">
        <v>131.33000000000001</v>
      </c>
      <c r="H374" s="128">
        <v>34145.800000000003</v>
      </c>
      <c r="I374" s="129">
        <v>260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1" t="s">
        <v>639</v>
      </c>
      <c r="G375" s="128">
        <v>460</v>
      </c>
      <c r="H375" s="128">
        <v>460</v>
      </c>
      <c r="I375" s="129">
        <v>1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1" t="s">
        <v>1172</v>
      </c>
      <c r="G376" s="128">
        <v>395</v>
      </c>
      <c r="H376" s="128">
        <v>395</v>
      </c>
      <c r="I376" s="129">
        <v>1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1" t="s">
        <v>641</v>
      </c>
      <c r="G377" s="128"/>
      <c r="H377" s="128">
        <v>0</v>
      </c>
      <c r="I377" s="129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1" t="s">
        <v>1266</v>
      </c>
      <c r="G378" s="128">
        <v>80.739999999999995</v>
      </c>
      <c r="H378" s="128">
        <v>161.47999999999999</v>
      </c>
      <c r="I378" s="129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0" t="s">
        <v>1350</v>
      </c>
      <c r="G379" s="128"/>
      <c r="H379" s="128">
        <v>0</v>
      </c>
      <c r="I379" s="129">
        <v>2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1" t="s">
        <v>643</v>
      </c>
      <c r="G380" s="128"/>
      <c r="H380" s="128">
        <v>0</v>
      </c>
      <c r="I380" s="129">
        <v>1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0" t="s">
        <v>688</v>
      </c>
      <c r="G381" s="128"/>
      <c r="H381" s="128">
        <v>0</v>
      </c>
      <c r="I381" s="129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1" t="s">
        <v>648</v>
      </c>
      <c r="G382" s="128">
        <v>530</v>
      </c>
      <c r="H382" s="128">
        <v>0</v>
      </c>
      <c r="I382" s="129">
        <v>0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1" t="s">
        <v>645</v>
      </c>
      <c r="G383" s="128">
        <v>1775</v>
      </c>
      <c r="H383" s="128">
        <v>1775</v>
      </c>
      <c r="I383" s="129">
        <v>1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1" t="s">
        <v>650</v>
      </c>
      <c r="G384" s="128">
        <v>875.72</v>
      </c>
      <c r="H384" s="128">
        <v>0</v>
      </c>
      <c r="I384" s="129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1" t="s">
        <v>1269</v>
      </c>
      <c r="G385" s="128"/>
      <c r="H385" s="128">
        <v>0</v>
      </c>
      <c r="I385" s="129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1" t="s">
        <v>653</v>
      </c>
      <c r="G386" s="128">
        <v>975</v>
      </c>
      <c r="H386" s="128">
        <v>0</v>
      </c>
      <c r="I386" s="129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1" t="s">
        <v>656</v>
      </c>
      <c r="G387" s="128"/>
      <c r="H387" s="128">
        <v>0</v>
      </c>
      <c r="I387" s="129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1" t="s">
        <v>660</v>
      </c>
      <c r="G388" s="128">
        <v>1323</v>
      </c>
      <c r="H388" s="128">
        <v>0</v>
      </c>
      <c r="I388" s="129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0" t="s">
        <v>1388</v>
      </c>
      <c r="G389" s="128"/>
      <c r="H389" s="128">
        <v>0</v>
      </c>
      <c r="I389" s="129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1" t="s">
        <v>666</v>
      </c>
      <c r="G390" s="128"/>
      <c r="H390" s="128">
        <v>0</v>
      </c>
      <c r="I390" s="129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1" t="s">
        <v>663</v>
      </c>
      <c r="G391" s="128">
        <v>1348</v>
      </c>
      <c r="H391" s="128">
        <v>0</v>
      </c>
      <c r="I391" s="129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1" t="s">
        <v>668</v>
      </c>
      <c r="G392" s="128">
        <v>3000</v>
      </c>
      <c r="H392" s="128">
        <v>12000</v>
      </c>
      <c r="I392" s="129">
        <v>4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1" t="s">
        <v>1173</v>
      </c>
      <c r="G393" s="128">
        <v>1094.81</v>
      </c>
      <c r="H393" s="128">
        <v>0</v>
      </c>
      <c r="I393" s="129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1" t="s">
        <v>1174</v>
      </c>
      <c r="G394" s="128"/>
      <c r="H394" s="128">
        <v>0</v>
      </c>
      <c r="I394" s="129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1" t="s">
        <v>670</v>
      </c>
      <c r="G395" s="128">
        <v>5138.74</v>
      </c>
      <c r="H395" s="128">
        <v>0</v>
      </c>
      <c r="I395" s="129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1" t="s">
        <v>1175</v>
      </c>
      <c r="G396" s="128">
        <v>3961.71</v>
      </c>
      <c r="H396" s="128">
        <v>7923.42</v>
      </c>
      <c r="I396" s="129">
        <v>2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1" t="s">
        <v>672</v>
      </c>
      <c r="G397" s="128"/>
      <c r="H397" s="128">
        <v>0</v>
      </c>
      <c r="I397" s="129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1" t="s">
        <v>675</v>
      </c>
      <c r="G398" s="128"/>
      <c r="H398" s="128">
        <v>0</v>
      </c>
      <c r="I398" s="129">
        <v>0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1" t="s">
        <v>1176</v>
      </c>
      <c r="G399" s="128">
        <v>711.31</v>
      </c>
      <c r="H399" s="128">
        <v>711.31</v>
      </c>
      <c r="I399" s="129">
        <v>1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1" t="s">
        <v>1270</v>
      </c>
      <c r="G400" s="128">
        <v>1692.44</v>
      </c>
      <c r="H400" s="128">
        <v>5077.32</v>
      </c>
      <c r="I400" s="129">
        <v>3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1" t="s">
        <v>677</v>
      </c>
      <c r="G401" s="128"/>
      <c r="H401" s="128">
        <v>0</v>
      </c>
      <c r="I401" s="129">
        <v>0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1" t="s">
        <v>1177</v>
      </c>
      <c r="G402" s="128">
        <v>1030.18</v>
      </c>
      <c r="H402" s="128">
        <v>2060.36</v>
      </c>
      <c r="I402" s="129">
        <v>2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1" t="s">
        <v>1271</v>
      </c>
      <c r="G403" s="128"/>
      <c r="H403" s="128">
        <v>0</v>
      </c>
      <c r="I403" s="129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1" t="s">
        <v>679</v>
      </c>
      <c r="G404" s="128">
        <v>1843.48</v>
      </c>
      <c r="H404" s="128">
        <v>11060.880000000001</v>
      </c>
      <c r="I404" s="129">
        <v>6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1" t="s">
        <v>681</v>
      </c>
      <c r="G405" s="128">
        <v>1833</v>
      </c>
      <c r="H405" s="128">
        <v>14664</v>
      </c>
      <c r="I405" s="129">
        <v>8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1" t="s">
        <v>684</v>
      </c>
      <c r="G406" s="128">
        <v>2782.61</v>
      </c>
      <c r="H406" s="128">
        <v>19478.27</v>
      </c>
      <c r="I406" s="129">
        <v>7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1" t="s">
        <v>686</v>
      </c>
      <c r="G407" s="128"/>
      <c r="H407" s="128">
        <v>0</v>
      </c>
      <c r="I407" s="129">
        <v>0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1" t="s">
        <v>1170</v>
      </c>
      <c r="G408" s="128">
        <v>122.16</v>
      </c>
      <c r="H408" s="128">
        <v>244.32</v>
      </c>
      <c r="I408" s="129">
        <v>2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0" t="s">
        <v>1500</v>
      </c>
      <c r="G409" s="128">
        <v>5680.5839999999998</v>
      </c>
      <c r="H409" s="128">
        <v>0</v>
      </c>
      <c r="I409" s="129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1" t="s">
        <v>603</v>
      </c>
      <c r="G410" s="128"/>
      <c r="H410" s="128">
        <v>0</v>
      </c>
      <c r="I410" s="129">
        <v>0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1" t="s">
        <v>690</v>
      </c>
      <c r="G411" s="128">
        <v>12.78</v>
      </c>
      <c r="H411" s="128">
        <v>217.26</v>
      </c>
      <c r="I411" s="129">
        <v>17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1" t="s">
        <v>1353</v>
      </c>
      <c r="G412" s="128"/>
      <c r="H412" s="128">
        <v>0</v>
      </c>
      <c r="I412" s="129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1" t="s">
        <v>1337</v>
      </c>
      <c r="G413" s="128"/>
      <c r="H413" s="128">
        <v>0</v>
      </c>
      <c r="I413" s="129">
        <v>0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1" t="s">
        <v>1338</v>
      </c>
      <c r="G414" s="128">
        <v>5125.82</v>
      </c>
      <c r="H414" s="128">
        <v>10251.64</v>
      </c>
      <c r="I414" s="129">
        <v>2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1" t="s">
        <v>1169</v>
      </c>
      <c r="G415" s="128"/>
      <c r="H415" s="128">
        <v>0</v>
      </c>
      <c r="I415" s="129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1" t="s">
        <v>693</v>
      </c>
      <c r="G416" s="128">
        <v>458.22</v>
      </c>
      <c r="H416" s="128">
        <v>916.44</v>
      </c>
      <c r="I416" s="129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1" t="s">
        <v>600</v>
      </c>
      <c r="G417" s="128">
        <v>205</v>
      </c>
      <c r="H417" s="128">
        <v>0</v>
      </c>
      <c r="I417" s="129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7" t="s">
        <v>697</v>
      </c>
      <c r="G418" s="128">
        <v>8109.4800000000005</v>
      </c>
      <c r="H418" s="128">
        <v>45959.67</v>
      </c>
      <c r="I418" s="129">
        <v>150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0" t="s">
        <v>695</v>
      </c>
      <c r="G419" s="128">
        <v>236</v>
      </c>
      <c r="H419" s="128">
        <v>236</v>
      </c>
      <c r="I419" s="129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0" t="s">
        <v>1379</v>
      </c>
      <c r="G420" s="128">
        <v>263</v>
      </c>
      <c r="H420" s="128">
        <v>263</v>
      </c>
      <c r="I420" s="129">
        <v>1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0" t="s">
        <v>1386</v>
      </c>
      <c r="G421" s="128">
        <v>415</v>
      </c>
      <c r="H421" s="128">
        <v>0</v>
      </c>
      <c r="I421" s="129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0" t="s">
        <v>1247</v>
      </c>
      <c r="G422" s="128"/>
      <c r="H422" s="128">
        <v>0</v>
      </c>
      <c r="I422" s="129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0" t="s">
        <v>1248</v>
      </c>
      <c r="G423" s="128"/>
      <c r="H423" s="128">
        <v>0</v>
      </c>
      <c r="I423" s="129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0" t="s">
        <v>698</v>
      </c>
      <c r="G424" s="128">
        <v>462.33</v>
      </c>
      <c r="H424" s="128">
        <v>2311.65</v>
      </c>
      <c r="I424" s="129">
        <v>5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0" t="s">
        <v>700</v>
      </c>
      <c r="G425" s="128">
        <v>263</v>
      </c>
      <c r="H425" s="128">
        <v>789</v>
      </c>
      <c r="I425" s="129">
        <v>3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0" t="s">
        <v>702</v>
      </c>
      <c r="G426" s="128">
        <v>96.1</v>
      </c>
      <c r="H426" s="128">
        <v>0</v>
      </c>
      <c r="I426" s="129">
        <v>0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30" t="s">
        <v>704</v>
      </c>
      <c r="G427" s="128">
        <v>96</v>
      </c>
      <c r="H427" s="128">
        <v>96</v>
      </c>
      <c r="I427" s="129">
        <v>1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30" t="s">
        <v>706</v>
      </c>
      <c r="G428" s="128">
        <v>18</v>
      </c>
      <c r="H428" s="128">
        <v>18</v>
      </c>
      <c r="I428" s="129">
        <v>1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30" t="s">
        <v>708</v>
      </c>
      <c r="G429" s="128">
        <v>30</v>
      </c>
      <c r="H429" s="128">
        <v>120</v>
      </c>
      <c r="I429" s="129">
        <v>4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30" t="s">
        <v>711</v>
      </c>
      <c r="G430" s="128">
        <v>149.16999999999999</v>
      </c>
      <c r="H430" s="128">
        <v>0</v>
      </c>
      <c r="I430" s="129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30" t="s">
        <v>713</v>
      </c>
      <c r="G431" s="128"/>
      <c r="H431" s="128">
        <v>0</v>
      </c>
      <c r="I431" s="129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30" t="s">
        <v>1309</v>
      </c>
      <c r="G432" s="128"/>
      <c r="H432" s="128">
        <v>0</v>
      </c>
      <c r="I432" s="129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30" t="s">
        <v>715</v>
      </c>
      <c r="G433" s="128">
        <v>625</v>
      </c>
      <c r="H433" s="128">
        <v>0</v>
      </c>
      <c r="I433" s="129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30" t="s">
        <v>717</v>
      </c>
      <c r="G434" s="128">
        <v>490</v>
      </c>
      <c r="H434" s="128">
        <v>9800</v>
      </c>
      <c r="I434" s="129">
        <v>20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30" t="s">
        <v>719</v>
      </c>
      <c r="G435" s="128">
        <v>184</v>
      </c>
      <c r="H435" s="128">
        <v>0</v>
      </c>
      <c r="I435" s="129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30" t="s">
        <v>722</v>
      </c>
      <c r="G436" s="128">
        <v>227</v>
      </c>
      <c r="H436" s="128">
        <v>1135</v>
      </c>
      <c r="I436" s="129">
        <v>5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30" t="s">
        <v>724</v>
      </c>
      <c r="G437" s="128">
        <v>400</v>
      </c>
      <c r="H437" s="128">
        <v>1200</v>
      </c>
      <c r="I437" s="129">
        <v>3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30" t="s">
        <v>726</v>
      </c>
      <c r="G438" s="128">
        <v>883</v>
      </c>
      <c r="H438" s="128">
        <v>3532</v>
      </c>
      <c r="I438" s="129">
        <v>4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30" t="s">
        <v>728</v>
      </c>
      <c r="G439" s="128">
        <v>805</v>
      </c>
      <c r="H439" s="128">
        <v>7245</v>
      </c>
      <c r="I439" s="129">
        <v>9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30" t="s">
        <v>730</v>
      </c>
      <c r="G440" s="128">
        <v>1108</v>
      </c>
      <c r="H440" s="128">
        <v>12188</v>
      </c>
      <c r="I440" s="129">
        <v>11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30" t="s">
        <v>732</v>
      </c>
      <c r="G441" s="128">
        <v>930</v>
      </c>
      <c r="H441" s="128">
        <v>930</v>
      </c>
      <c r="I441" s="129">
        <v>1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30" t="s">
        <v>734</v>
      </c>
      <c r="G442" s="128">
        <v>98</v>
      </c>
      <c r="H442" s="128">
        <v>1568</v>
      </c>
      <c r="I442" s="129">
        <v>16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30" t="s">
        <v>736</v>
      </c>
      <c r="G443" s="128">
        <v>71.38</v>
      </c>
      <c r="H443" s="128">
        <v>3854.5199999999995</v>
      </c>
      <c r="I443" s="129">
        <v>54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30" t="s">
        <v>1122</v>
      </c>
      <c r="G444" s="128">
        <v>46</v>
      </c>
      <c r="H444" s="128">
        <v>460</v>
      </c>
      <c r="I444" s="129">
        <v>10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30" t="s">
        <v>738</v>
      </c>
      <c r="G445" s="128">
        <v>213.5</v>
      </c>
      <c r="H445" s="128">
        <v>213.5</v>
      </c>
      <c r="I445" s="129">
        <v>1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7" t="s">
        <v>742</v>
      </c>
      <c r="G446" s="128"/>
      <c r="H446" s="128">
        <v>0</v>
      </c>
      <c r="I446" s="129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30" t="s">
        <v>740</v>
      </c>
      <c r="G447" s="128"/>
      <c r="H447" s="128">
        <v>0</v>
      </c>
      <c r="I447" s="129">
        <v>2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7" t="s">
        <v>1158</v>
      </c>
      <c r="G448" s="128"/>
      <c r="H448" s="128">
        <v>0</v>
      </c>
      <c r="I448" s="129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30" t="s">
        <v>68</v>
      </c>
      <c r="G449" s="128"/>
      <c r="H449" s="128">
        <v>0</v>
      </c>
      <c r="I449" s="129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30" t="s">
        <v>65</v>
      </c>
      <c r="G450" s="128"/>
      <c r="H450" s="128">
        <v>0</v>
      </c>
      <c r="I450" s="129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30" t="s">
        <v>67</v>
      </c>
      <c r="G451" s="128"/>
      <c r="H451" s="128">
        <v>0</v>
      </c>
      <c r="I451" s="129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30" t="s">
        <v>63</v>
      </c>
      <c r="G452" s="128"/>
      <c r="H452" s="128">
        <v>0</v>
      </c>
      <c r="I452" s="129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30" t="s">
        <v>70</v>
      </c>
      <c r="G453" s="128"/>
      <c r="H453" s="128">
        <v>0</v>
      </c>
      <c r="I453" s="129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7" t="s">
        <v>1166</v>
      </c>
      <c r="G454" s="128"/>
      <c r="H454" s="128">
        <v>0</v>
      </c>
      <c r="I454" s="129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30" t="s">
        <v>574</v>
      </c>
      <c r="G455" s="128"/>
      <c r="H455" s="128">
        <v>0</v>
      </c>
      <c r="I455" s="129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7" t="s">
        <v>773</v>
      </c>
      <c r="G456" s="128"/>
      <c r="H456" s="128">
        <v>0</v>
      </c>
      <c r="I456" s="129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30" t="s">
        <v>1235</v>
      </c>
      <c r="G457" s="128"/>
      <c r="H457" s="128">
        <v>0</v>
      </c>
      <c r="I457" s="129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30" t="s">
        <v>1234</v>
      </c>
      <c r="G458" s="128"/>
      <c r="H458" s="128">
        <v>0</v>
      </c>
      <c r="I458" s="129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30" t="s">
        <v>1236</v>
      </c>
      <c r="G459" s="128"/>
      <c r="H459" s="128">
        <v>0</v>
      </c>
      <c r="I459" s="129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7" t="s">
        <v>1259</v>
      </c>
      <c r="G460" s="128"/>
      <c r="H460" s="128">
        <v>0</v>
      </c>
      <c r="I460" s="129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30">
        <v>3310016001</v>
      </c>
      <c r="G461" s="128"/>
      <c r="H461" s="128">
        <v>0</v>
      </c>
      <c r="I461" s="129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7" t="s">
        <v>748</v>
      </c>
      <c r="G462" s="128"/>
      <c r="H462" s="128">
        <v>0</v>
      </c>
      <c r="I462" s="129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30" t="s">
        <v>747</v>
      </c>
      <c r="G463" s="128"/>
      <c r="H463" s="128">
        <v>0</v>
      </c>
      <c r="I463" s="129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7" t="s">
        <v>1373</v>
      </c>
      <c r="G464" s="128">
        <v>475</v>
      </c>
      <c r="H464" s="128">
        <v>0</v>
      </c>
      <c r="I464" s="129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30" t="s">
        <v>1370</v>
      </c>
      <c r="G465" s="128">
        <v>475</v>
      </c>
      <c r="H465" s="128">
        <v>0</v>
      </c>
      <c r="I465" s="129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7" t="s">
        <v>1461</v>
      </c>
      <c r="G466" s="128"/>
      <c r="H466" s="128">
        <v>0</v>
      </c>
      <c r="I466" s="129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30" t="s">
        <v>1457</v>
      </c>
      <c r="G467" s="128"/>
      <c r="H467" s="128">
        <v>0</v>
      </c>
      <c r="I467" s="129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7" t="s">
        <v>1518</v>
      </c>
      <c r="G468" s="128">
        <v>260.93233218133309</v>
      </c>
      <c r="H468" s="128">
        <v>260.93233218133309</v>
      </c>
      <c r="I468" s="129">
        <v>2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30" t="s">
        <v>1515</v>
      </c>
      <c r="G469" s="128">
        <v>125.84795848296203</v>
      </c>
      <c r="H469" s="128">
        <v>125.84795848296203</v>
      </c>
      <c r="I469" s="129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30" t="s">
        <v>1514</v>
      </c>
      <c r="G470" s="128">
        <v>135.08437369837105</v>
      </c>
      <c r="H470" s="128">
        <v>135.08437369837105</v>
      </c>
      <c r="I470" s="129">
        <v>1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7" t="s">
        <v>1076</v>
      </c>
      <c r="G471" s="128">
        <v>0.64319999999999999</v>
      </c>
      <c r="H471" s="128">
        <v>38.591999999999999</v>
      </c>
      <c r="I471" s="129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30" t="s">
        <v>1538</v>
      </c>
      <c r="G472" s="128">
        <v>0.64319999999999999</v>
      </c>
      <c r="H472" s="128">
        <v>38.591999999999999</v>
      </c>
      <c r="I472" s="129">
        <v>60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7" t="s">
        <v>1551</v>
      </c>
      <c r="G473" s="128">
        <v>1171.6500000000001</v>
      </c>
      <c r="H473" s="128">
        <v>239149.00999999998</v>
      </c>
      <c r="I473" s="129">
        <v>1238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30" t="s">
        <v>1541</v>
      </c>
      <c r="G474" s="128">
        <v>102.06</v>
      </c>
      <c r="H474" s="128">
        <v>28678.86</v>
      </c>
      <c r="I474" s="129">
        <v>281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30" t="s">
        <v>1542</v>
      </c>
      <c r="G475" s="128">
        <v>109.06</v>
      </c>
      <c r="H475" s="128">
        <v>20939.52</v>
      </c>
      <c r="I475" s="129">
        <v>192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30" t="s">
        <v>1543</v>
      </c>
      <c r="G476" s="128">
        <v>211.41</v>
      </c>
      <c r="H476" s="128">
        <v>130862.79</v>
      </c>
      <c r="I476" s="129">
        <v>619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37" t="s">
        <v>1539</v>
      </c>
      <c r="G477" s="134">
        <v>457.52</v>
      </c>
      <c r="H477" s="134">
        <v>44379.439999999995</v>
      </c>
      <c r="I477" s="135">
        <v>97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37" t="s">
        <v>1540</v>
      </c>
      <c r="G478" s="134">
        <v>291.60000000000002</v>
      </c>
      <c r="H478" s="134">
        <v>14288.400000000001</v>
      </c>
      <c r="I478" s="135">
        <v>49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36" t="s">
        <v>1155</v>
      </c>
      <c r="G479" s="134">
        <v>89463.670517621344</v>
      </c>
      <c r="H479" s="134">
        <v>621320.4169344214</v>
      </c>
      <c r="I479" s="135">
        <v>65366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  <row r="491" spans="1:74" x14ac:dyDescent="0.35">
      <c r="K491" s="53"/>
      <c r="L491" s="53"/>
    </row>
    <row r="492" spans="1:74" x14ac:dyDescent="0.35">
      <c r="K492" s="53"/>
      <c r="L492" s="53"/>
    </row>
    <row r="493" spans="1:74" x14ac:dyDescent="0.35">
      <c r="K493" s="53"/>
      <c r="L493" s="53"/>
    </row>
  </sheetData>
  <mergeCells count="2">
    <mergeCell ref="Y1:AE1"/>
    <mergeCell ref="X2:AB2"/>
  </mergeCells>
  <pageMargins left="0.7" right="0.7" top="0.75" bottom="0.75" header="0.3" footer="0.3"/>
  <ignoredErrors>
    <ignoredError sqref="L6:L108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L439"/>
  <sheetViews>
    <sheetView topLeftCell="CY1" zoomScale="90" zoomScaleNormal="90" workbookViewId="0">
      <pane ySplit="1" topLeftCell="A414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6" width="14.26953125" style="76" customWidth="1"/>
    <col min="117" max="16384" width="8.90625" style="13"/>
  </cols>
  <sheetData>
    <row r="1" spans="1:116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1557</v>
      </c>
    </row>
    <row r="2" spans="1:116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M2*DL2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</row>
    <row r="3" spans="1:116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M3*DL3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</row>
    <row r="4" spans="1:116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</row>
    <row r="5" spans="1:116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</row>
    <row r="6" spans="1:116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</row>
    <row r="7" spans="1:116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</row>
    <row r="8" spans="1:116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</row>
    <row r="9" spans="1:116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</row>
    <row r="10" spans="1:116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</row>
    <row r="11" spans="1:116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</row>
    <row r="12" spans="1:116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</row>
    <row r="13" spans="1:116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</row>
    <row r="14" spans="1:116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</row>
    <row r="15" spans="1:116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</row>
    <row r="16" spans="1:116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</row>
    <row r="17" spans="1:116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</row>
    <row r="18" spans="1:116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</row>
    <row r="19" spans="1:116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</row>
    <row r="20" spans="1:116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</row>
    <row r="21" spans="1:116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</row>
    <row r="22" spans="1:116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</row>
    <row r="23" spans="1:116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</row>
    <row r="24" spans="1:116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</row>
    <row r="25" spans="1:116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</row>
    <row r="26" spans="1:116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</row>
    <row r="27" spans="1:116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</row>
    <row r="28" spans="1:116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  <c r="DJ28" s="72">
        <v>28</v>
      </c>
      <c r="DK28" s="72">
        <v>28</v>
      </c>
      <c r="DL28" s="72">
        <v>28</v>
      </c>
    </row>
    <row r="29" spans="1:116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0</v>
      </c>
      <c r="DJ29" s="72">
        <v>0</v>
      </c>
      <c r="DK29" s="72">
        <v>0</v>
      </c>
      <c r="DL29" s="72">
        <v>0</v>
      </c>
    </row>
    <row r="30" spans="1:116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  <c r="DI30" s="72">
        <v>500</v>
      </c>
      <c r="DJ30" s="72">
        <v>500</v>
      </c>
      <c r="DK30" s="72">
        <v>500</v>
      </c>
      <c r="DL30" s="72">
        <v>500</v>
      </c>
    </row>
    <row r="31" spans="1:116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  <c r="DI31" s="72">
        <v>207</v>
      </c>
      <c r="DJ31" s="72">
        <v>207</v>
      </c>
      <c r="DK31" s="72">
        <v>207</v>
      </c>
      <c r="DL31" s="72">
        <v>207</v>
      </c>
    </row>
    <row r="32" spans="1:116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  <c r="DI32" s="72">
        <v>13</v>
      </c>
      <c r="DJ32" s="72">
        <v>13</v>
      </c>
      <c r="DK32" s="72">
        <v>13</v>
      </c>
      <c r="DL32" s="72">
        <v>13</v>
      </c>
    </row>
    <row r="33" spans="1:116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  <c r="DI33" s="72">
        <v>2</v>
      </c>
      <c r="DJ33" s="72">
        <v>2</v>
      </c>
      <c r="DK33" s="72">
        <v>2</v>
      </c>
      <c r="DL33" s="72">
        <v>2</v>
      </c>
    </row>
    <row r="34" spans="1:116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  <c r="DI34" s="72">
        <v>24</v>
      </c>
      <c r="DJ34" s="72">
        <v>24</v>
      </c>
      <c r="DK34" s="72">
        <v>24</v>
      </c>
      <c r="DL34" s="72">
        <v>24</v>
      </c>
    </row>
    <row r="35" spans="1:116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</row>
    <row r="36" spans="1:116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  <c r="DJ36" s="72">
        <v>1</v>
      </c>
      <c r="DK36" s="72">
        <v>1</v>
      </c>
      <c r="DL36" s="72">
        <v>1</v>
      </c>
    </row>
    <row r="37" spans="1:116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0</v>
      </c>
      <c r="DJ37" s="72">
        <v>0</v>
      </c>
      <c r="DK37" s="72">
        <v>0</v>
      </c>
      <c r="DL37" s="72">
        <v>0</v>
      </c>
    </row>
    <row r="38" spans="1:116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</row>
    <row r="39" spans="1:116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  <c r="DJ39" s="72">
        <v>1</v>
      </c>
      <c r="DK39" s="72">
        <v>1</v>
      </c>
      <c r="DL39" s="72">
        <v>1</v>
      </c>
    </row>
    <row r="40" spans="1:116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0</v>
      </c>
      <c r="DL40" s="72">
        <v>0</v>
      </c>
    </row>
    <row r="41" spans="1:116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  <c r="DI41" s="72">
        <v>7</v>
      </c>
      <c r="DJ41" s="72">
        <v>7</v>
      </c>
      <c r="DK41" s="72">
        <v>7</v>
      </c>
      <c r="DL41" s="72">
        <v>7</v>
      </c>
    </row>
    <row r="42" spans="1:116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0</v>
      </c>
      <c r="DJ42" s="72">
        <v>0</v>
      </c>
      <c r="DK42" s="72">
        <v>0</v>
      </c>
      <c r="DL42" s="72">
        <v>0</v>
      </c>
    </row>
    <row r="43" spans="1:116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  <c r="DK43" s="72">
        <v>0</v>
      </c>
      <c r="DL43" s="72">
        <v>0</v>
      </c>
    </row>
    <row r="44" spans="1:116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  <c r="DI44" s="72">
        <v>2</v>
      </c>
      <c r="DJ44" s="72">
        <v>2</v>
      </c>
      <c r="DK44" s="72">
        <v>2</v>
      </c>
      <c r="DL44" s="72">
        <v>2</v>
      </c>
    </row>
    <row r="45" spans="1:116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  <c r="DI45" s="72">
        <v>8</v>
      </c>
      <c r="DJ45" s="72">
        <v>8</v>
      </c>
      <c r="DK45" s="72">
        <v>8</v>
      </c>
      <c r="DL45" s="72">
        <v>8</v>
      </c>
    </row>
    <row r="46" spans="1:116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  <c r="DI46" s="72">
        <v>18</v>
      </c>
      <c r="DJ46" s="72">
        <v>18</v>
      </c>
      <c r="DK46" s="72">
        <v>18</v>
      </c>
      <c r="DL46" s="72">
        <v>18</v>
      </c>
    </row>
    <row r="47" spans="1:116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  <c r="DI47" s="72">
        <v>4</v>
      </c>
      <c r="DJ47" s="72">
        <v>4</v>
      </c>
      <c r="DK47" s="72">
        <v>4</v>
      </c>
      <c r="DL47" s="72">
        <v>4</v>
      </c>
    </row>
    <row r="48" spans="1:116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  <c r="DK48" s="72">
        <v>0</v>
      </c>
      <c r="DL48" s="72">
        <v>0</v>
      </c>
    </row>
    <row r="49" spans="1:116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0</v>
      </c>
      <c r="DJ49" s="72">
        <v>0</v>
      </c>
      <c r="DK49" s="72">
        <v>0</v>
      </c>
      <c r="DL49" s="72">
        <v>0</v>
      </c>
    </row>
    <row r="50" spans="1:116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</row>
    <row r="51" spans="1:116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</row>
    <row r="52" spans="1:116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  <c r="DI52" s="72">
        <v>24</v>
      </c>
      <c r="DJ52" s="72">
        <v>24</v>
      </c>
      <c r="DK52" s="72">
        <v>24</v>
      </c>
      <c r="DL52" s="72">
        <v>24</v>
      </c>
    </row>
    <row r="53" spans="1:116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  <c r="DI53" s="72">
        <v>161</v>
      </c>
      <c r="DJ53" s="72">
        <v>161</v>
      </c>
      <c r="DK53" s="72">
        <v>161</v>
      </c>
      <c r="DL53" s="72">
        <v>161</v>
      </c>
    </row>
    <row r="54" spans="1:116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  <c r="DL54" s="72">
        <v>0</v>
      </c>
    </row>
    <row r="55" spans="1:116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  <c r="DL55" s="72">
        <v>0</v>
      </c>
    </row>
    <row r="56" spans="1:116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  <c r="DI56" s="72">
        <v>6</v>
      </c>
      <c r="DJ56" s="72">
        <v>6</v>
      </c>
      <c r="DK56" s="72">
        <v>6</v>
      </c>
      <c r="DL56" s="72">
        <v>6</v>
      </c>
    </row>
    <row r="57" spans="1:116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  <c r="DI57" s="72">
        <v>27</v>
      </c>
      <c r="DJ57" s="72">
        <v>27</v>
      </c>
      <c r="DK57" s="72">
        <v>27</v>
      </c>
      <c r="DL57" s="72">
        <v>27</v>
      </c>
    </row>
    <row r="58" spans="1:116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  <c r="DK58" s="72">
        <v>0</v>
      </c>
      <c r="DL58" s="72">
        <v>0</v>
      </c>
    </row>
    <row r="59" spans="1:116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  <c r="DI59" s="72">
        <v>1</v>
      </c>
      <c r="DJ59" s="72">
        <v>1</v>
      </c>
      <c r="DK59" s="72">
        <v>1</v>
      </c>
      <c r="DL59" s="72">
        <v>1</v>
      </c>
    </row>
    <row r="60" spans="1:116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  <c r="DI60" s="72">
        <v>141</v>
      </c>
      <c r="DJ60" s="72">
        <v>141</v>
      </c>
      <c r="DK60" s="72">
        <v>141</v>
      </c>
      <c r="DL60" s="72">
        <v>141</v>
      </c>
    </row>
    <row r="61" spans="1:116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  <c r="DI61" s="72">
        <v>29</v>
      </c>
      <c r="DJ61" s="72">
        <v>29</v>
      </c>
      <c r="DK61" s="72">
        <v>29</v>
      </c>
      <c r="DL61" s="72">
        <v>29</v>
      </c>
    </row>
    <row r="62" spans="1:116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  <c r="DK62" s="72">
        <v>0</v>
      </c>
      <c r="DL62" s="72">
        <v>0</v>
      </c>
    </row>
    <row r="63" spans="1:116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  <c r="DJ63" s="72">
        <v>0</v>
      </c>
      <c r="DK63" s="72">
        <v>0</v>
      </c>
      <c r="DL63" s="72">
        <v>0</v>
      </c>
    </row>
    <row r="64" spans="1:116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</row>
    <row r="65" spans="1:116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</row>
    <row r="66" spans="1:116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</row>
    <row r="67" spans="1:116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M67*DL67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  <c r="DI67" s="72">
        <v>38</v>
      </c>
      <c r="DJ67" s="72">
        <v>38</v>
      </c>
      <c r="DK67" s="72">
        <v>38</v>
      </c>
      <c r="DL67" s="72">
        <v>38</v>
      </c>
    </row>
    <row r="68" spans="1:116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</row>
    <row r="69" spans="1:116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  <c r="DI69" s="72">
        <v>128</v>
      </c>
      <c r="DJ69" s="72">
        <v>128</v>
      </c>
      <c r="DK69" s="72">
        <v>128</v>
      </c>
      <c r="DL69" s="72">
        <v>128</v>
      </c>
    </row>
    <row r="70" spans="1:116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</row>
    <row r="71" spans="1:116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  <c r="DI71" s="72">
        <v>504</v>
      </c>
      <c r="DJ71" s="72">
        <v>0</v>
      </c>
      <c r="DK71" s="72">
        <v>0</v>
      </c>
      <c r="DL71" s="72">
        <v>0</v>
      </c>
    </row>
    <row r="72" spans="1:116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</row>
    <row r="73" spans="1:116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  <c r="DI73" s="72">
        <v>73</v>
      </c>
      <c r="DJ73" s="72">
        <v>73</v>
      </c>
      <c r="DK73" s="72">
        <v>73</v>
      </c>
      <c r="DL73" s="72">
        <v>73</v>
      </c>
    </row>
    <row r="74" spans="1:116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  <c r="DI74" s="72">
        <v>8</v>
      </c>
      <c r="DJ74" s="72">
        <v>8</v>
      </c>
      <c r="DK74" s="72">
        <v>8</v>
      </c>
      <c r="DL74" s="72">
        <v>8</v>
      </c>
    </row>
    <row r="75" spans="1:116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  <c r="DL75" s="72">
        <v>0</v>
      </c>
    </row>
    <row r="76" spans="1:116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  <c r="DK76" s="72">
        <v>0</v>
      </c>
      <c r="DL76" s="72">
        <v>0</v>
      </c>
    </row>
    <row r="77" spans="1:116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</row>
    <row r="78" spans="1:116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</row>
    <row r="79" spans="1:116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</row>
    <row r="80" spans="1:116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</row>
    <row r="81" spans="1:116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</row>
    <row r="82" spans="1:116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</row>
    <row r="83" spans="1:116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</row>
    <row r="84" spans="1:116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</row>
    <row r="85" spans="1:116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</row>
    <row r="86" spans="1:116" x14ac:dyDescent="0.35">
      <c r="A86" s="7"/>
      <c r="B86" s="77">
        <v>760248968</v>
      </c>
      <c r="C86" s="78" t="s">
        <v>1554</v>
      </c>
      <c r="D86" s="97" t="s">
        <v>123</v>
      </c>
      <c r="E86" s="92" t="s">
        <v>1205</v>
      </c>
      <c r="F86" s="10"/>
      <c r="G86" s="10"/>
      <c r="H86" s="10"/>
      <c r="I86" s="72"/>
      <c r="J86" s="10"/>
      <c r="K86" s="10"/>
      <c r="L86" s="8"/>
      <c r="M86" s="12">
        <v>390</v>
      </c>
      <c r="N86" s="12">
        <f t="shared" si="1"/>
        <v>3900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>
        <v>10</v>
      </c>
      <c r="DK86" s="72">
        <v>10</v>
      </c>
      <c r="DL86" s="72">
        <v>10</v>
      </c>
    </row>
    <row r="87" spans="1:116" x14ac:dyDescent="0.35">
      <c r="A87" s="7"/>
      <c r="B87" s="77" t="s">
        <v>1230</v>
      </c>
      <c r="C87" s="78" t="s">
        <v>1239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/>
      <c r="J87" s="10"/>
      <c r="K87" s="10"/>
      <c r="L87" s="8"/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72"/>
      <c r="AO87" s="72"/>
      <c r="AP87" s="72"/>
      <c r="AQ87" s="72"/>
      <c r="AR87" s="72">
        <v>2</v>
      </c>
      <c r="AS87" s="72">
        <v>2</v>
      </c>
      <c r="AT87" s="72">
        <v>2</v>
      </c>
      <c r="AU87" s="72">
        <v>2</v>
      </c>
      <c r="AV87" s="72">
        <v>2</v>
      </c>
      <c r="AW87" s="72">
        <v>2</v>
      </c>
      <c r="AX87" s="72">
        <v>2</v>
      </c>
      <c r="AY87" s="72">
        <v>2</v>
      </c>
      <c r="AZ87" s="72">
        <v>2</v>
      </c>
      <c r="BA87" s="72">
        <v>2</v>
      </c>
      <c r="BB87" s="72">
        <v>2</v>
      </c>
      <c r="BC87" s="72">
        <v>2</v>
      </c>
      <c r="BD87" s="72">
        <v>2</v>
      </c>
      <c r="BE87" s="72">
        <v>2</v>
      </c>
      <c r="BF87" s="72">
        <v>2</v>
      </c>
      <c r="BG87" s="72">
        <v>2</v>
      </c>
      <c r="BH87" s="72">
        <v>2</v>
      </c>
      <c r="BI87" s="72">
        <v>2</v>
      </c>
      <c r="BJ87" s="72">
        <v>2</v>
      </c>
      <c r="BK87" s="72">
        <v>2</v>
      </c>
      <c r="BL87" s="72">
        <v>2</v>
      </c>
      <c r="BM87" s="72">
        <v>2</v>
      </c>
      <c r="BN87" s="72">
        <v>2</v>
      </c>
      <c r="BO87" s="72">
        <v>2</v>
      </c>
      <c r="BP87" s="72">
        <v>2</v>
      </c>
      <c r="BQ87" s="72">
        <v>2</v>
      </c>
      <c r="BR87" s="72">
        <v>2</v>
      </c>
      <c r="BS87" s="72">
        <v>2</v>
      </c>
      <c r="BT87" s="72">
        <v>2</v>
      </c>
      <c r="BU87" s="72">
        <v>2</v>
      </c>
      <c r="BV87" s="72">
        <v>2</v>
      </c>
      <c r="BW87" s="72">
        <v>2</v>
      </c>
      <c r="BX87" s="72">
        <v>2</v>
      </c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2</v>
      </c>
      <c r="CF87" s="72">
        <v>2</v>
      </c>
      <c r="CG87" s="72">
        <v>2</v>
      </c>
      <c r="CH87" s="72">
        <v>2</v>
      </c>
      <c r="CI87" s="72">
        <v>2</v>
      </c>
      <c r="CJ87" s="72">
        <v>2</v>
      </c>
      <c r="CK87" s="72">
        <v>2</v>
      </c>
      <c r="CL87" s="72">
        <v>2</v>
      </c>
      <c r="CM87" s="72">
        <v>2</v>
      </c>
      <c r="CN87" s="72">
        <v>2</v>
      </c>
      <c r="CO87" s="72">
        <v>2</v>
      </c>
      <c r="CP87" s="72">
        <v>2</v>
      </c>
      <c r="CQ87" s="72">
        <v>2</v>
      </c>
      <c r="CR87" s="72">
        <v>2</v>
      </c>
      <c r="CS87" s="72">
        <v>2</v>
      </c>
      <c r="CT87" s="72">
        <v>2</v>
      </c>
      <c r="CU87" s="72">
        <v>2</v>
      </c>
      <c r="CV87" s="72">
        <v>2</v>
      </c>
      <c r="CW87" s="72">
        <v>2</v>
      </c>
      <c r="CX87" s="72">
        <v>2</v>
      </c>
      <c r="CY87" s="72">
        <v>2</v>
      </c>
      <c r="CZ87" s="72">
        <v>2</v>
      </c>
      <c r="DA87" s="72">
        <v>2</v>
      </c>
      <c r="DB87" s="72">
        <v>2</v>
      </c>
      <c r="DC87" s="72">
        <v>2</v>
      </c>
      <c r="DD87" s="72">
        <v>2</v>
      </c>
      <c r="DE87" s="72">
        <v>2</v>
      </c>
      <c r="DF87" s="72">
        <v>2</v>
      </c>
      <c r="DG87" s="72">
        <v>2</v>
      </c>
      <c r="DH87" s="72">
        <v>2</v>
      </c>
      <c r="DI87" s="72">
        <v>2</v>
      </c>
      <c r="DJ87" s="72">
        <v>2</v>
      </c>
      <c r="DK87" s="72">
        <v>2</v>
      </c>
      <c r="DL87" s="72">
        <v>2</v>
      </c>
    </row>
    <row r="88" spans="1:116" x14ac:dyDescent="0.35">
      <c r="A88" s="7"/>
      <c r="B88" s="8" t="s">
        <v>150</v>
      </c>
      <c r="C88" s="9" t="s">
        <v>151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1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1</v>
      </c>
      <c r="AF88" s="11">
        <v>1</v>
      </c>
      <c r="AG88" s="11">
        <v>1</v>
      </c>
      <c r="AH88" s="11">
        <v>1</v>
      </c>
      <c r="AI88" s="11">
        <v>1</v>
      </c>
      <c r="AJ88" s="11">
        <v>1</v>
      </c>
      <c r="AK88" s="11">
        <v>1</v>
      </c>
      <c r="AL88" s="11">
        <v>1</v>
      </c>
      <c r="AM88" s="11">
        <v>0</v>
      </c>
      <c r="AN88" s="72">
        <v>0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  <c r="DL88" s="72">
        <v>0</v>
      </c>
    </row>
    <row r="89" spans="1:116" x14ac:dyDescent="0.35">
      <c r="A89" s="7"/>
      <c r="B89" s="8" t="s">
        <v>155</v>
      </c>
      <c r="C89" s="9" t="s">
        <v>156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>
        <v>7</v>
      </c>
      <c r="J89" s="10"/>
      <c r="K89" s="10" t="s">
        <v>153</v>
      </c>
      <c r="L89" s="8" t="s">
        <v>154</v>
      </c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>
        <v>7</v>
      </c>
      <c r="AF89" s="11">
        <v>7</v>
      </c>
      <c r="AG89" s="11">
        <v>7</v>
      </c>
      <c r="AH89" s="11">
        <v>7</v>
      </c>
      <c r="AI89" s="11">
        <v>7</v>
      </c>
      <c r="AJ89" s="11">
        <v>7</v>
      </c>
      <c r="AK89" s="11">
        <v>7</v>
      </c>
      <c r="AL89" s="11">
        <v>7</v>
      </c>
      <c r="AM89" s="11">
        <v>5</v>
      </c>
      <c r="AN89" s="72">
        <v>5</v>
      </c>
      <c r="AO89" s="72">
        <v>0</v>
      </c>
      <c r="AP89" s="72">
        <v>0</v>
      </c>
      <c r="AQ89" s="72">
        <v>0</v>
      </c>
      <c r="AR89" s="72">
        <v>0</v>
      </c>
      <c r="AS89" s="72">
        <v>0</v>
      </c>
      <c r="AT89" s="72">
        <v>0</v>
      </c>
      <c r="AU89" s="72">
        <v>0</v>
      </c>
      <c r="AV89" s="72">
        <v>0</v>
      </c>
      <c r="AW89" s="72">
        <v>0</v>
      </c>
      <c r="AX89" s="72">
        <v>0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  <c r="DL89" s="72">
        <v>0</v>
      </c>
    </row>
    <row r="90" spans="1:116" x14ac:dyDescent="0.35">
      <c r="A90" s="7"/>
      <c r="B90" s="77" t="s">
        <v>1263</v>
      </c>
      <c r="C90" s="9" t="s">
        <v>1273</v>
      </c>
      <c r="D90" s="10" t="s">
        <v>152</v>
      </c>
      <c r="E90" s="8" t="s">
        <v>1214</v>
      </c>
      <c r="F90" s="10"/>
      <c r="G90" s="10"/>
      <c r="H90" s="10" t="s">
        <v>41</v>
      </c>
      <c r="I90" s="11"/>
      <c r="J90" s="10"/>
      <c r="K90" s="10" t="s">
        <v>153</v>
      </c>
      <c r="L90" s="8"/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72"/>
      <c r="AO90" s="72"/>
      <c r="AP90" s="72"/>
      <c r="AQ90" s="72"/>
      <c r="AR90" s="72"/>
      <c r="AS90" s="72"/>
      <c r="AT90" s="72"/>
      <c r="AU90" s="72"/>
      <c r="AV90" s="72"/>
      <c r="AW90" s="72">
        <v>3</v>
      </c>
      <c r="AX90" s="72">
        <v>3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</row>
    <row r="91" spans="1:116" x14ac:dyDescent="0.35">
      <c r="A91" s="7"/>
      <c r="B91" s="8" t="s">
        <v>157</v>
      </c>
      <c r="C91" s="9" t="s">
        <v>158</v>
      </c>
      <c r="D91" s="10" t="s">
        <v>152</v>
      </c>
      <c r="E91" s="8" t="s">
        <v>1207</v>
      </c>
      <c r="F91" s="10">
        <v>1006</v>
      </c>
      <c r="G91" s="10" t="s">
        <v>40</v>
      </c>
      <c r="H91" s="10" t="s">
        <v>41</v>
      </c>
      <c r="I91" s="11">
        <v>32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32</v>
      </c>
      <c r="AF91" s="11">
        <v>32</v>
      </c>
      <c r="AG91" s="11">
        <v>32</v>
      </c>
      <c r="AH91" s="11">
        <v>32</v>
      </c>
      <c r="AI91" s="11">
        <v>32</v>
      </c>
      <c r="AJ91" s="11">
        <v>32</v>
      </c>
      <c r="AK91" s="11">
        <v>32</v>
      </c>
      <c r="AL91" s="11">
        <v>32</v>
      </c>
      <c r="AM91" s="11">
        <v>26</v>
      </c>
      <c r="AN91" s="72">
        <v>26</v>
      </c>
      <c r="AO91" s="72">
        <v>6</v>
      </c>
      <c r="AP91" s="72">
        <v>6</v>
      </c>
      <c r="AQ91" s="72">
        <v>6</v>
      </c>
      <c r="AR91" s="72">
        <v>6</v>
      </c>
      <c r="AS91" s="72">
        <v>6</v>
      </c>
      <c r="AT91" s="72">
        <v>6</v>
      </c>
      <c r="AU91" s="72">
        <v>6</v>
      </c>
      <c r="AV91" s="72">
        <v>6</v>
      </c>
      <c r="AW91" s="72">
        <v>6</v>
      </c>
      <c r="AX91" s="72">
        <v>6</v>
      </c>
      <c r="AY91" s="72">
        <v>6</v>
      </c>
      <c r="AZ91" s="72">
        <v>6</v>
      </c>
      <c r="BA91" s="72">
        <v>6</v>
      </c>
      <c r="BB91" s="72">
        <v>6</v>
      </c>
      <c r="BC91" s="72">
        <v>6</v>
      </c>
      <c r="BD91" s="72">
        <v>6</v>
      </c>
      <c r="BE91" s="72">
        <v>6</v>
      </c>
      <c r="BF91" s="72">
        <v>6</v>
      </c>
      <c r="BG91" s="72">
        <v>6</v>
      </c>
      <c r="BH91" s="72">
        <v>6</v>
      </c>
      <c r="BI91" s="72">
        <v>6</v>
      </c>
      <c r="BJ91" s="72">
        <v>6</v>
      </c>
      <c r="BK91" s="72">
        <v>6</v>
      </c>
      <c r="BL91" s="72">
        <v>6</v>
      </c>
      <c r="BM91" s="72">
        <v>6</v>
      </c>
      <c r="BN91" s="72">
        <v>6</v>
      </c>
      <c r="BO91" s="72">
        <v>6</v>
      </c>
      <c r="BP91" s="72">
        <v>6</v>
      </c>
      <c r="BQ91" s="72">
        <v>6</v>
      </c>
      <c r="BR91" s="72">
        <v>6</v>
      </c>
      <c r="BS91" s="72">
        <v>6</v>
      </c>
      <c r="BT91" s="72">
        <v>6</v>
      </c>
      <c r="BU91" s="72">
        <v>6</v>
      </c>
      <c r="BV91" s="72">
        <v>6</v>
      </c>
      <c r="BW91" s="72">
        <v>6</v>
      </c>
      <c r="BX91" s="72">
        <v>6</v>
      </c>
      <c r="BY91" s="72">
        <v>6</v>
      </c>
      <c r="BZ91" s="72">
        <v>6</v>
      </c>
      <c r="CA91" s="72">
        <v>6</v>
      </c>
      <c r="CB91" s="72">
        <v>6</v>
      </c>
      <c r="CC91" s="72">
        <v>6</v>
      </c>
      <c r="CD91" s="72">
        <v>6</v>
      </c>
      <c r="CE91" s="72">
        <v>6</v>
      </c>
      <c r="CF91" s="72">
        <v>6</v>
      </c>
      <c r="CG91" s="72">
        <v>6</v>
      </c>
      <c r="CH91" s="72">
        <v>6</v>
      </c>
      <c r="CI91" s="72">
        <v>6</v>
      </c>
      <c r="CJ91" s="72">
        <v>6</v>
      </c>
      <c r="CK91" s="72">
        <v>6</v>
      </c>
      <c r="CL91" s="72">
        <v>6</v>
      </c>
      <c r="CM91" s="72">
        <v>6</v>
      </c>
      <c r="CN91" s="72">
        <v>6</v>
      </c>
      <c r="CO91" s="72">
        <v>6</v>
      </c>
      <c r="CP91" s="72">
        <v>6</v>
      </c>
      <c r="CQ91" s="72">
        <v>6</v>
      </c>
      <c r="CR91" s="72">
        <v>6</v>
      </c>
      <c r="CS91" s="72">
        <v>6</v>
      </c>
      <c r="CT91" s="72">
        <v>6</v>
      </c>
      <c r="CU91" s="72">
        <v>6</v>
      </c>
      <c r="CV91" s="72">
        <v>6</v>
      </c>
      <c r="CW91" s="72">
        <v>6</v>
      </c>
      <c r="CX91" s="72">
        <v>6</v>
      </c>
      <c r="CY91" s="72">
        <v>6</v>
      </c>
      <c r="CZ91" s="72">
        <v>6</v>
      </c>
      <c r="DA91" s="72">
        <v>6</v>
      </c>
      <c r="DB91" s="72">
        <v>6</v>
      </c>
      <c r="DC91" s="72">
        <v>6</v>
      </c>
      <c r="DD91" s="72">
        <v>6</v>
      </c>
      <c r="DE91" s="72">
        <v>6</v>
      </c>
      <c r="DF91" s="72">
        <v>6</v>
      </c>
      <c r="DG91" s="72">
        <v>6</v>
      </c>
      <c r="DH91" s="72">
        <v>6</v>
      </c>
      <c r="DI91" s="72">
        <v>6</v>
      </c>
      <c r="DJ91" s="72">
        <v>6</v>
      </c>
      <c r="DK91" s="72">
        <v>6</v>
      </c>
      <c r="DL91" s="72">
        <v>6</v>
      </c>
    </row>
    <row r="92" spans="1:116" x14ac:dyDescent="0.35">
      <c r="A92" s="7"/>
      <c r="B92" s="77">
        <v>6327900</v>
      </c>
      <c r="C92" s="93" t="s">
        <v>1341</v>
      </c>
      <c r="D92" s="10" t="s">
        <v>152</v>
      </c>
      <c r="E92" s="8" t="s">
        <v>1301</v>
      </c>
      <c r="F92" s="10"/>
      <c r="G92" s="10"/>
      <c r="H92" s="10" t="s">
        <v>41</v>
      </c>
      <c r="I92" s="11"/>
      <c r="J92" s="10"/>
      <c r="K92" s="10"/>
      <c r="L92" s="8"/>
      <c r="M92" s="12">
        <v>319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>
        <v>3</v>
      </c>
      <c r="BA92" s="72">
        <v>3</v>
      </c>
      <c r="BB92" s="72">
        <v>3</v>
      </c>
      <c r="BC92" s="72">
        <v>1</v>
      </c>
      <c r="BD92" s="72">
        <v>1</v>
      </c>
      <c r="BE92" s="72">
        <v>1</v>
      </c>
      <c r="BF92" s="72">
        <v>1</v>
      </c>
      <c r="BG92" s="72">
        <v>1</v>
      </c>
      <c r="BH92" s="72">
        <v>1</v>
      </c>
      <c r="BI92" s="72">
        <v>1</v>
      </c>
      <c r="BJ92" s="72">
        <v>1</v>
      </c>
      <c r="BK92" s="72">
        <v>1</v>
      </c>
      <c r="BL92" s="72">
        <v>1</v>
      </c>
      <c r="BM92" s="72">
        <v>1</v>
      </c>
      <c r="BN92" s="72">
        <v>1</v>
      </c>
      <c r="BO92" s="72">
        <v>1</v>
      </c>
      <c r="BP92" s="72">
        <v>1</v>
      </c>
      <c r="BQ92" s="72">
        <v>1</v>
      </c>
      <c r="BR92" s="72">
        <v>1</v>
      </c>
      <c r="BS92" s="72">
        <v>1</v>
      </c>
      <c r="BT92" s="72">
        <v>1</v>
      </c>
      <c r="BU92" s="72">
        <v>1</v>
      </c>
      <c r="BV92" s="72">
        <v>1</v>
      </c>
      <c r="BW92" s="72">
        <v>1</v>
      </c>
      <c r="BX92" s="72">
        <v>1</v>
      </c>
      <c r="BY92" s="72">
        <v>1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</row>
    <row r="93" spans="1:116" x14ac:dyDescent="0.35">
      <c r="A93" s="7"/>
      <c r="B93" s="42" t="s">
        <v>159</v>
      </c>
      <c r="C93" s="9" t="s">
        <v>160</v>
      </c>
      <c r="D93" s="10" t="s">
        <v>161</v>
      </c>
      <c r="E93" s="8" t="s">
        <v>1215</v>
      </c>
      <c r="F93" s="10"/>
      <c r="G93" s="10" t="s">
        <v>92</v>
      </c>
      <c r="H93" s="10" t="s">
        <v>41</v>
      </c>
      <c r="I93" s="11"/>
      <c r="J93" s="10">
        <v>37</v>
      </c>
      <c r="K93" s="10" t="s">
        <v>42</v>
      </c>
      <c r="L93" s="8" t="s">
        <v>162</v>
      </c>
      <c r="M93" s="12">
        <v>2.73</v>
      </c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>
        <v>0</v>
      </c>
      <c r="BI93" s="72">
        <v>0</v>
      </c>
      <c r="BJ93" s="72">
        <v>0</v>
      </c>
      <c r="BK93" s="72">
        <v>0</v>
      </c>
      <c r="BL93" s="72">
        <v>0</v>
      </c>
      <c r="BM93" s="72">
        <v>0</v>
      </c>
      <c r="BN93" s="72">
        <v>0</v>
      </c>
      <c r="BO93" s="72">
        <v>0</v>
      </c>
      <c r="BP93" s="72">
        <v>0</v>
      </c>
      <c r="BQ93" s="72">
        <v>0</v>
      </c>
      <c r="BR93" s="72">
        <v>0</v>
      </c>
      <c r="BS93" s="72">
        <v>0</v>
      </c>
      <c r="BT93" s="72">
        <v>0</v>
      </c>
      <c r="BU93" s="72">
        <v>0</v>
      </c>
      <c r="BV93" s="72">
        <v>0</v>
      </c>
      <c r="BW93" s="72">
        <v>0</v>
      </c>
      <c r="BX93" s="72">
        <v>0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  <c r="DJ93" s="72">
        <v>0</v>
      </c>
      <c r="DK93" s="72">
        <v>0</v>
      </c>
      <c r="DL93" s="72">
        <v>0</v>
      </c>
    </row>
    <row r="94" spans="1:116" x14ac:dyDescent="0.35">
      <c r="A94" s="7"/>
      <c r="B94" s="42" t="s">
        <v>163</v>
      </c>
      <c r="C94" s="9" t="s">
        <v>164</v>
      </c>
      <c r="D94" s="10" t="s">
        <v>161</v>
      </c>
      <c r="E94" s="8" t="s">
        <v>1210</v>
      </c>
      <c r="F94" s="10">
        <v>1005</v>
      </c>
      <c r="G94" s="10" t="s">
        <v>40</v>
      </c>
      <c r="H94" s="10" t="s">
        <v>41</v>
      </c>
      <c r="I94" s="11">
        <v>0</v>
      </c>
      <c r="J94" s="10"/>
      <c r="K94" s="10" t="s">
        <v>42</v>
      </c>
      <c r="L94" s="8"/>
      <c r="M94" s="12">
        <v>2.4700000000000002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5</v>
      </c>
      <c r="Y94" s="11">
        <v>5</v>
      </c>
      <c r="Z94" s="11">
        <v>2</v>
      </c>
      <c r="AA94" s="11">
        <v>2</v>
      </c>
      <c r="AB94" s="11">
        <v>2</v>
      </c>
      <c r="AC94" s="11">
        <v>2</v>
      </c>
      <c r="AD94" s="11">
        <v>2</v>
      </c>
      <c r="AE94" s="11">
        <v>2</v>
      </c>
      <c r="AF94" s="11">
        <v>2</v>
      </c>
      <c r="AG94" s="11">
        <v>2</v>
      </c>
      <c r="AH94" s="11">
        <v>2</v>
      </c>
      <c r="AI94" s="11">
        <v>2</v>
      </c>
      <c r="AJ94" s="11">
        <v>2</v>
      </c>
      <c r="AK94" s="11">
        <v>2</v>
      </c>
      <c r="AL94" s="11">
        <v>2</v>
      </c>
      <c r="AM94" s="11">
        <v>2</v>
      </c>
      <c r="AN94" s="72">
        <v>2</v>
      </c>
      <c r="AO94" s="72">
        <v>2</v>
      </c>
      <c r="AP94" s="72">
        <v>2</v>
      </c>
      <c r="AQ94" s="72">
        <v>2</v>
      </c>
      <c r="AR94" s="72">
        <v>2</v>
      </c>
      <c r="AS94" s="72">
        <v>2</v>
      </c>
      <c r="AT94" s="72">
        <v>2</v>
      </c>
      <c r="AU94" s="72">
        <v>2</v>
      </c>
      <c r="AV94" s="72">
        <v>2</v>
      </c>
      <c r="AW94" s="72">
        <v>2</v>
      </c>
      <c r="AX94" s="72">
        <v>2</v>
      </c>
      <c r="AY94" s="72">
        <v>2</v>
      </c>
      <c r="AZ94" s="72">
        <v>2</v>
      </c>
      <c r="BA94" s="72">
        <v>2</v>
      </c>
      <c r="BB94" s="72">
        <v>2</v>
      </c>
      <c r="BC94" s="72">
        <v>2</v>
      </c>
      <c r="BD94" s="72">
        <v>2</v>
      </c>
      <c r="BE94" s="72">
        <v>2</v>
      </c>
      <c r="BF94" s="72">
        <v>2</v>
      </c>
      <c r="BG94" s="72">
        <v>2</v>
      </c>
      <c r="BH94" s="72">
        <v>2</v>
      </c>
      <c r="BI94" s="72">
        <v>2</v>
      </c>
      <c r="BJ94" s="72">
        <v>2</v>
      </c>
      <c r="BK94" s="72">
        <v>2</v>
      </c>
      <c r="BL94" s="72">
        <v>2</v>
      </c>
      <c r="BM94" s="72">
        <v>2</v>
      </c>
      <c r="BN94" s="72">
        <v>2</v>
      </c>
      <c r="BO94" s="72">
        <v>2</v>
      </c>
      <c r="BP94" s="72">
        <v>2</v>
      </c>
      <c r="BQ94" s="72">
        <v>2</v>
      </c>
      <c r="BR94" s="72">
        <v>2</v>
      </c>
      <c r="BS94" s="72">
        <v>2</v>
      </c>
      <c r="BT94" s="72">
        <v>2</v>
      </c>
      <c r="BU94" s="72">
        <v>2</v>
      </c>
      <c r="BV94" s="72">
        <v>2</v>
      </c>
      <c r="BW94" s="72">
        <v>2</v>
      </c>
      <c r="BX94" s="72">
        <v>2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</row>
    <row r="95" spans="1:116" x14ac:dyDescent="0.35">
      <c r="A95" s="7"/>
      <c r="B95" s="98" t="s">
        <v>1365</v>
      </c>
      <c r="C95" s="9" t="s">
        <v>1368</v>
      </c>
      <c r="D95" s="10" t="s">
        <v>161</v>
      </c>
      <c r="E95" s="8" t="s">
        <v>1210</v>
      </c>
      <c r="F95" s="10"/>
      <c r="G95" s="10"/>
      <c r="H95" s="10" t="s">
        <v>41</v>
      </c>
      <c r="I95" s="11">
        <v>0</v>
      </c>
      <c r="J95" s="10"/>
      <c r="K95" s="10"/>
      <c r="L95" s="8"/>
      <c r="M95" s="12">
        <v>3.3</v>
      </c>
      <c r="N95" s="12">
        <f t="shared" si="1"/>
        <v>0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  <c r="Y95" s="11">
        <v>0</v>
      </c>
      <c r="Z95" s="11">
        <v>0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v>0</v>
      </c>
      <c r="AG95" s="11">
        <v>0</v>
      </c>
      <c r="AH95" s="11">
        <v>0</v>
      </c>
      <c r="AI95" s="11">
        <v>0</v>
      </c>
      <c r="AJ95" s="11">
        <v>0</v>
      </c>
      <c r="AK95" s="11">
        <v>0</v>
      </c>
      <c r="AL95" s="11">
        <v>0</v>
      </c>
      <c r="AM95" s="11">
        <v>0</v>
      </c>
      <c r="AN95" s="72">
        <v>0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85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</row>
    <row r="96" spans="1:116" x14ac:dyDescent="0.35">
      <c r="A96" s="7"/>
      <c r="B96" s="42" t="s">
        <v>165</v>
      </c>
      <c r="C96" s="9" t="s">
        <v>166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5</v>
      </c>
      <c r="J96" s="10"/>
      <c r="K96" s="10" t="s">
        <v>42</v>
      </c>
      <c r="L96" s="8"/>
      <c r="M96" s="12">
        <v>4.38</v>
      </c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>
        <v>5</v>
      </c>
      <c r="Y96" s="11">
        <v>5</v>
      </c>
      <c r="Z96" s="11">
        <v>5</v>
      </c>
      <c r="AA96" s="11">
        <v>5</v>
      </c>
      <c r="AB96" s="11">
        <v>5</v>
      </c>
      <c r="AC96" s="11">
        <v>5</v>
      </c>
      <c r="AD96" s="11">
        <v>5</v>
      </c>
      <c r="AE96" s="11">
        <v>5</v>
      </c>
      <c r="AF96" s="11">
        <v>5</v>
      </c>
      <c r="AG96" s="11">
        <v>5</v>
      </c>
      <c r="AH96" s="11">
        <v>5</v>
      </c>
      <c r="AI96" s="11">
        <v>5</v>
      </c>
      <c r="AJ96" s="11">
        <v>5</v>
      </c>
      <c r="AK96" s="11">
        <v>5</v>
      </c>
      <c r="AL96" s="11">
        <v>5</v>
      </c>
      <c r="AM96" s="11">
        <v>5</v>
      </c>
      <c r="AN96" s="72">
        <v>5</v>
      </c>
      <c r="AO96" s="72">
        <v>5</v>
      </c>
      <c r="AP96" s="72">
        <v>5</v>
      </c>
      <c r="AQ96" s="72">
        <v>5</v>
      </c>
      <c r="AR96" s="72">
        <v>5</v>
      </c>
      <c r="AS96" s="72">
        <v>5</v>
      </c>
      <c r="AT96" s="72">
        <v>5</v>
      </c>
      <c r="AU96" s="72">
        <v>5</v>
      </c>
      <c r="AV96" s="72">
        <v>5</v>
      </c>
      <c r="AW96" s="72">
        <v>5</v>
      </c>
      <c r="AX96" s="72">
        <v>5</v>
      </c>
      <c r="AY96" s="72">
        <v>5</v>
      </c>
      <c r="AZ96" s="72">
        <v>5</v>
      </c>
      <c r="BA96" s="72">
        <v>5</v>
      </c>
      <c r="BB96" s="72">
        <v>5</v>
      </c>
      <c r="BC96" s="72">
        <v>5</v>
      </c>
      <c r="BD96" s="72">
        <v>5</v>
      </c>
      <c r="BE96" s="72">
        <v>5</v>
      </c>
      <c r="BF96" s="72">
        <v>5</v>
      </c>
      <c r="BG96" s="72">
        <v>5</v>
      </c>
      <c r="BH96" s="72">
        <v>5</v>
      </c>
      <c r="BI96" s="72">
        <v>5</v>
      </c>
      <c r="BJ96" s="72">
        <v>5</v>
      </c>
      <c r="BK96" s="72">
        <v>5</v>
      </c>
      <c r="BL96" s="72">
        <v>148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</row>
    <row r="97" spans="1:116" x14ac:dyDescent="0.35">
      <c r="A97" s="7"/>
      <c r="B97" s="42" t="s">
        <v>1366</v>
      </c>
      <c r="C97" s="9" t="s">
        <v>1369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9.8800000000000008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21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</row>
    <row r="98" spans="1:116" x14ac:dyDescent="0.35">
      <c r="A98" s="7"/>
      <c r="B98" s="42" t="s">
        <v>167</v>
      </c>
      <c r="C98" s="9" t="s">
        <v>168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2</v>
      </c>
      <c r="J98" s="10"/>
      <c r="K98" s="10" t="s">
        <v>42</v>
      </c>
      <c r="L98" s="8"/>
      <c r="M98" s="12">
        <v>45.18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2</v>
      </c>
      <c r="Y98" s="11">
        <v>2</v>
      </c>
      <c r="Z98" s="11">
        <v>2</v>
      </c>
      <c r="AA98" s="11">
        <v>2</v>
      </c>
      <c r="AB98" s="11">
        <v>2</v>
      </c>
      <c r="AC98" s="11">
        <v>0</v>
      </c>
      <c r="AD98" s="11">
        <v>0</v>
      </c>
      <c r="AE98" s="11">
        <v>0</v>
      </c>
      <c r="AF98" s="11">
        <v>0</v>
      </c>
      <c r="AG98" s="11">
        <v>0</v>
      </c>
      <c r="AH98" s="11">
        <v>0</v>
      </c>
      <c r="AI98" s="11">
        <v>0</v>
      </c>
      <c r="AJ98" s="11">
        <v>0</v>
      </c>
      <c r="AK98" s="11">
        <v>0</v>
      </c>
      <c r="AL98" s="11">
        <v>0</v>
      </c>
      <c r="AM98" s="11">
        <v>0</v>
      </c>
      <c r="AN98" s="72">
        <v>0</v>
      </c>
      <c r="AO98" s="72">
        <v>0</v>
      </c>
      <c r="AP98" s="72">
        <v>0</v>
      </c>
      <c r="AQ98" s="72">
        <v>0</v>
      </c>
      <c r="AR98" s="72">
        <v>0</v>
      </c>
      <c r="AS98" s="72">
        <v>0</v>
      </c>
      <c r="AT98" s="72">
        <v>0</v>
      </c>
      <c r="AU98" s="72">
        <v>0</v>
      </c>
      <c r="AV98" s="72">
        <v>0</v>
      </c>
      <c r="AW98" s="72">
        <v>0</v>
      </c>
      <c r="AX98" s="72">
        <v>0</v>
      </c>
      <c r="AY98" s="72">
        <v>0</v>
      </c>
      <c r="AZ98" s="72">
        <v>0</v>
      </c>
      <c r="BA98" s="72">
        <v>0</v>
      </c>
      <c r="BB98" s="72">
        <v>0</v>
      </c>
      <c r="BC98" s="72">
        <v>0</v>
      </c>
      <c r="BD98" s="72">
        <v>0</v>
      </c>
      <c r="BE98" s="72">
        <v>0</v>
      </c>
      <c r="BF98" s="72">
        <v>0</v>
      </c>
      <c r="BG98" s="72">
        <v>0</v>
      </c>
      <c r="BH98" s="72">
        <v>0</v>
      </c>
      <c r="BI98" s="72">
        <v>0</v>
      </c>
      <c r="BJ98" s="72">
        <v>0</v>
      </c>
      <c r="BK98" s="72">
        <v>0</v>
      </c>
      <c r="BL98" s="72">
        <v>0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</row>
    <row r="99" spans="1:116" x14ac:dyDescent="0.35">
      <c r="A99" s="7"/>
      <c r="B99" s="77" t="s">
        <v>1304</v>
      </c>
      <c r="C99" s="78" t="s">
        <v>1306</v>
      </c>
      <c r="D99" s="10" t="s">
        <v>161</v>
      </c>
      <c r="E99" s="8" t="s">
        <v>1307</v>
      </c>
      <c r="F99" s="10"/>
      <c r="G99" s="10"/>
      <c r="H99" s="10" t="s">
        <v>41</v>
      </c>
      <c r="I99" s="11"/>
      <c r="J99" s="10"/>
      <c r="K99" s="10"/>
      <c r="L99" s="8"/>
      <c r="M99" s="12">
        <v>2.93</v>
      </c>
      <c r="N99" s="12">
        <f t="shared" si="1"/>
        <v>76.180000000000007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>
        <v>26</v>
      </c>
      <c r="BE99" s="72">
        <v>26</v>
      </c>
      <c r="BF99" s="72">
        <v>26</v>
      </c>
      <c r="BG99" s="72">
        <v>26</v>
      </c>
      <c r="BH99" s="72">
        <v>26</v>
      </c>
      <c r="BI99" s="72">
        <v>26</v>
      </c>
      <c r="BJ99" s="72">
        <v>26</v>
      </c>
      <c r="BK99" s="72">
        <v>26</v>
      </c>
      <c r="BL99" s="72">
        <v>26</v>
      </c>
      <c r="BM99" s="72">
        <v>26</v>
      </c>
      <c r="BN99" s="72">
        <v>26</v>
      </c>
      <c r="BO99" s="72">
        <v>26</v>
      </c>
      <c r="BP99" s="72">
        <v>26</v>
      </c>
      <c r="BQ99" s="72">
        <v>26</v>
      </c>
      <c r="BR99" s="72">
        <v>26</v>
      </c>
      <c r="BS99" s="72">
        <v>26</v>
      </c>
      <c r="BT99" s="72">
        <v>26</v>
      </c>
      <c r="BU99" s="72">
        <v>26</v>
      </c>
      <c r="BV99" s="72">
        <v>26</v>
      </c>
      <c r="BW99" s="72">
        <v>26</v>
      </c>
      <c r="BX99" s="72">
        <v>26</v>
      </c>
      <c r="BY99" s="72">
        <v>26</v>
      </c>
      <c r="BZ99" s="72">
        <v>26</v>
      </c>
      <c r="CA99" s="72">
        <v>26</v>
      </c>
      <c r="CB99" s="72">
        <v>26</v>
      </c>
      <c r="CC99" s="72">
        <v>26</v>
      </c>
      <c r="CD99" s="72">
        <v>26</v>
      </c>
      <c r="CE99" s="72">
        <v>26</v>
      </c>
      <c r="CF99" s="72">
        <v>26</v>
      </c>
      <c r="CG99" s="72">
        <v>26</v>
      </c>
      <c r="CH99" s="72">
        <v>26</v>
      </c>
      <c r="CI99" s="72">
        <v>26</v>
      </c>
      <c r="CJ99" s="72">
        <v>26</v>
      </c>
      <c r="CK99" s="72">
        <v>26</v>
      </c>
      <c r="CL99" s="72">
        <v>26</v>
      </c>
      <c r="CM99" s="72">
        <v>26</v>
      </c>
      <c r="CN99" s="72">
        <v>26</v>
      </c>
      <c r="CO99" s="72">
        <v>26</v>
      </c>
      <c r="CP99" s="72">
        <v>26</v>
      </c>
      <c r="CQ99" s="72">
        <v>26</v>
      </c>
      <c r="CR99" s="72">
        <v>26</v>
      </c>
      <c r="CS99" s="72">
        <v>26</v>
      </c>
      <c r="CT99" s="72">
        <v>26</v>
      </c>
      <c r="CU99" s="72">
        <v>26</v>
      </c>
      <c r="CV99" s="72">
        <v>26</v>
      </c>
      <c r="CW99" s="72">
        <v>26</v>
      </c>
      <c r="CX99" s="72">
        <v>26</v>
      </c>
      <c r="CY99" s="72">
        <v>26</v>
      </c>
      <c r="CZ99" s="72">
        <v>26</v>
      </c>
      <c r="DA99" s="72">
        <v>26</v>
      </c>
      <c r="DB99" s="72">
        <v>26</v>
      </c>
      <c r="DC99" s="72">
        <v>26</v>
      </c>
      <c r="DD99" s="72">
        <v>26</v>
      </c>
      <c r="DE99" s="72">
        <v>26</v>
      </c>
      <c r="DF99" s="72">
        <v>26</v>
      </c>
      <c r="DG99" s="72">
        <v>26</v>
      </c>
      <c r="DH99" s="72">
        <v>26</v>
      </c>
      <c r="DI99" s="72">
        <v>26</v>
      </c>
      <c r="DJ99" s="72">
        <v>26</v>
      </c>
      <c r="DK99" s="72">
        <v>26</v>
      </c>
      <c r="DL99" s="72">
        <v>26</v>
      </c>
    </row>
    <row r="100" spans="1:116" x14ac:dyDescent="0.35">
      <c r="A100" s="7"/>
      <c r="B100" s="8" t="s">
        <v>169</v>
      </c>
      <c r="C100" s="9" t="s">
        <v>170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5</v>
      </c>
      <c r="J100" s="10"/>
      <c r="K100" s="10"/>
      <c r="L100" s="8"/>
      <c r="M100" s="12">
        <v>0.77</v>
      </c>
      <c r="N100" s="12">
        <f t="shared" si="1"/>
        <v>3.85</v>
      </c>
      <c r="O100" s="11">
        <v>5</v>
      </c>
      <c r="P100" s="11">
        <v>5</v>
      </c>
      <c r="Q100" s="11">
        <v>5</v>
      </c>
      <c r="R100" s="11">
        <v>5</v>
      </c>
      <c r="S100" s="11">
        <v>5</v>
      </c>
      <c r="T100" s="11">
        <v>5</v>
      </c>
      <c r="U100" s="11">
        <v>5</v>
      </c>
      <c r="V100" s="11">
        <v>5</v>
      </c>
      <c r="W100" s="11">
        <v>5</v>
      </c>
      <c r="X100" s="11">
        <v>5</v>
      </c>
      <c r="Y100" s="11">
        <v>5</v>
      </c>
      <c r="Z100" s="11">
        <v>5</v>
      </c>
      <c r="AA100" s="11">
        <v>5</v>
      </c>
      <c r="AB100" s="11">
        <v>5</v>
      </c>
      <c r="AC100" s="11">
        <v>5</v>
      </c>
      <c r="AD100" s="11">
        <v>5</v>
      </c>
      <c r="AE100" s="11">
        <v>5</v>
      </c>
      <c r="AF100" s="11">
        <v>5</v>
      </c>
      <c r="AG100" s="11">
        <v>5</v>
      </c>
      <c r="AH100" s="11">
        <v>5</v>
      </c>
      <c r="AI100" s="11">
        <v>5</v>
      </c>
      <c r="AJ100" s="11">
        <v>5</v>
      </c>
      <c r="AK100" s="11">
        <v>5</v>
      </c>
      <c r="AL100" s="11">
        <v>5</v>
      </c>
      <c r="AM100" s="11">
        <v>5</v>
      </c>
      <c r="AN100" s="72">
        <v>5</v>
      </c>
      <c r="AO100" s="72">
        <v>5</v>
      </c>
      <c r="AP100" s="72">
        <v>5</v>
      </c>
      <c r="AQ100" s="72">
        <v>5</v>
      </c>
      <c r="AR100" s="72">
        <v>5</v>
      </c>
      <c r="AS100" s="72">
        <v>5</v>
      </c>
      <c r="AT100" s="72">
        <v>5</v>
      </c>
      <c r="AU100" s="72">
        <v>5</v>
      </c>
      <c r="AV100" s="72">
        <v>5</v>
      </c>
      <c r="AW100" s="72">
        <v>5</v>
      </c>
      <c r="AX100" s="72">
        <v>5</v>
      </c>
      <c r="AY100" s="72">
        <v>5</v>
      </c>
      <c r="AZ100" s="72">
        <v>5</v>
      </c>
      <c r="BA100" s="72">
        <v>5</v>
      </c>
      <c r="BB100" s="72">
        <v>5</v>
      </c>
      <c r="BC100" s="72">
        <v>5</v>
      </c>
      <c r="BD100" s="72">
        <v>5</v>
      </c>
      <c r="BE100" s="72">
        <v>5</v>
      </c>
      <c r="BF100" s="72">
        <v>5</v>
      </c>
      <c r="BG100" s="72">
        <v>5</v>
      </c>
      <c r="BH100" s="72">
        <v>5</v>
      </c>
      <c r="BI100" s="72">
        <v>5</v>
      </c>
      <c r="BJ100" s="72">
        <v>5</v>
      </c>
      <c r="BK100" s="72">
        <v>5</v>
      </c>
      <c r="BL100" s="72">
        <v>5</v>
      </c>
      <c r="BM100" s="72">
        <v>5</v>
      </c>
      <c r="BN100" s="72">
        <v>5</v>
      </c>
      <c r="BO100" s="72">
        <v>5</v>
      </c>
      <c r="BP100" s="72">
        <v>5</v>
      </c>
      <c r="BQ100" s="72">
        <v>5</v>
      </c>
      <c r="BR100" s="72">
        <v>5</v>
      </c>
      <c r="BS100" s="72">
        <v>5</v>
      </c>
      <c r="BT100" s="72">
        <v>5</v>
      </c>
      <c r="BU100" s="72">
        <v>5</v>
      </c>
      <c r="BV100" s="72">
        <v>5</v>
      </c>
      <c r="BW100" s="72">
        <v>5</v>
      </c>
      <c r="BX100" s="72">
        <v>5</v>
      </c>
      <c r="BY100" s="72">
        <v>5</v>
      </c>
      <c r="BZ100" s="72">
        <v>5</v>
      </c>
      <c r="CA100" s="72">
        <v>5</v>
      </c>
      <c r="CB100" s="72">
        <v>5</v>
      </c>
      <c r="CC100" s="72">
        <v>5</v>
      </c>
      <c r="CD100" s="72">
        <v>5</v>
      </c>
      <c r="CE100" s="72">
        <v>5</v>
      </c>
      <c r="CF100" s="72">
        <v>5</v>
      </c>
      <c r="CG100" s="72">
        <v>5</v>
      </c>
      <c r="CH100" s="72">
        <v>5</v>
      </c>
      <c r="CI100" s="72">
        <v>5</v>
      </c>
      <c r="CJ100" s="72">
        <v>5</v>
      </c>
      <c r="CK100" s="72">
        <v>5</v>
      </c>
      <c r="CL100" s="72">
        <v>5</v>
      </c>
      <c r="CM100" s="72">
        <v>5</v>
      </c>
      <c r="CN100" s="72">
        <v>5</v>
      </c>
      <c r="CO100" s="72">
        <v>5</v>
      </c>
      <c r="CP100" s="72">
        <v>5</v>
      </c>
      <c r="CQ100" s="72">
        <v>5</v>
      </c>
      <c r="CR100" s="72">
        <v>5</v>
      </c>
      <c r="CS100" s="72">
        <v>5</v>
      </c>
      <c r="CT100" s="72">
        <v>5</v>
      </c>
      <c r="CU100" s="72">
        <v>5</v>
      </c>
      <c r="CV100" s="72">
        <v>5</v>
      </c>
      <c r="CW100" s="72">
        <v>5</v>
      </c>
      <c r="CX100" s="72">
        <v>5</v>
      </c>
      <c r="CY100" s="72">
        <v>5</v>
      </c>
      <c r="CZ100" s="72">
        <v>5</v>
      </c>
      <c r="DA100" s="72">
        <v>5</v>
      </c>
      <c r="DB100" s="72">
        <v>5</v>
      </c>
      <c r="DC100" s="72">
        <v>5</v>
      </c>
      <c r="DD100" s="72">
        <v>5</v>
      </c>
      <c r="DE100" s="72">
        <v>5</v>
      </c>
      <c r="DF100" s="72">
        <v>5</v>
      </c>
      <c r="DG100" s="72">
        <v>5</v>
      </c>
      <c r="DH100" s="72">
        <v>5</v>
      </c>
      <c r="DI100" s="72">
        <v>5</v>
      </c>
      <c r="DJ100" s="72">
        <v>5</v>
      </c>
      <c r="DK100" s="72">
        <v>5</v>
      </c>
      <c r="DL100" s="72">
        <v>5</v>
      </c>
    </row>
    <row r="101" spans="1:116" x14ac:dyDescent="0.35">
      <c r="A101" s="7"/>
      <c r="B101" s="8" t="s">
        <v>171</v>
      </c>
      <c r="C101" s="9" t="s">
        <v>172</v>
      </c>
      <c r="D101" s="10" t="s">
        <v>161</v>
      </c>
      <c r="E101" s="8" t="s">
        <v>1209</v>
      </c>
      <c r="F101" s="10">
        <v>1101</v>
      </c>
      <c r="G101" s="10" t="s">
        <v>92</v>
      </c>
      <c r="H101" s="10" t="s">
        <v>41</v>
      </c>
      <c r="I101" s="11">
        <v>18</v>
      </c>
      <c r="J101" s="10"/>
      <c r="K101" s="10"/>
      <c r="L101" s="8"/>
      <c r="M101" s="12">
        <v>4.03</v>
      </c>
      <c r="N101" s="12">
        <f t="shared" si="1"/>
        <v>72.540000000000006</v>
      </c>
      <c r="O101" s="11">
        <v>18</v>
      </c>
      <c r="P101" s="11">
        <v>18</v>
      </c>
      <c r="Q101" s="11">
        <v>18</v>
      </c>
      <c r="R101" s="11">
        <v>18</v>
      </c>
      <c r="S101" s="11">
        <v>18</v>
      </c>
      <c r="T101" s="11">
        <v>18</v>
      </c>
      <c r="U101" s="11">
        <v>18</v>
      </c>
      <c r="V101" s="11">
        <v>18</v>
      </c>
      <c r="W101" s="11">
        <v>18</v>
      </c>
      <c r="X101" s="11">
        <v>18</v>
      </c>
      <c r="Y101" s="11">
        <v>18</v>
      </c>
      <c r="Z101" s="11">
        <v>18</v>
      </c>
      <c r="AA101" s="11">
        <v>18</v>
      </c>
      <c r="AB101" s="11">
        <v>18</v>
      </c>
      <c r="AC101" s="11">
        <v>18</v>
      </c>
      <c r="AD101" s="11">
        <v>18</v>
      </c>
      <c r="AE101" s="11">
        <v>18</v>
      </c>
      <c r="AF101" s="11">
        <v>18</v>
      </c>
      <c r="AG101" s="11">
        <v>18</v>
      </c>
      <c r="AH101" s="11">
        <v>18</v>
      </c>
      <c r="AI101" s="11">
        <v>18</v>
      </c>
      <c r="AJ101" s="11">
        <v>18</v>
      </c>
      <c r="AK101" s="11">
        <v>18</v>
      </c>
      <c r="AL101" s="11">
        <v>18</v>
      </c>
      <c r="AM101" s="11">
        <v>18</v>
      </c>
      <c r="AN101" s="72">
        <v>18</v>
      </c>
      <c r="AO101" s="72">
        <v>18</v>
      </c>
      <c r="AP101" s="72">
        <v>18</v>
      </c>
      <c r="AQ101" s="72">
        <v>18</v>
      </c>
      <c r="AR101" s="72">
        <v>18</v>
      </c>
      <c r="AS101" s="72">
        <v>18</v>
      </c>
      <c r="AT101" s="72">
        <v>18</v>
      </c>
      <c r="AU101" s="72">
        <v>18</v>
      </c>
      <c r="AV101" s="72">
        <v>18</v>
      </c>
      <c r="AW101" s="72">
        <v>18</v>
      </c>
      <c r="AX101" s="72">
        <v>18</v>
      </c>
      <c r="AY101" s="72">
        <v>18</v>
      </c>
      <c r="AZ101" s="72">
        <v>18</v>
      </c>
      <c r="BA101" s="72">
        <v>18</v>
      </c>
      <c r="BB101" s="72">
        <v>18</v>
      </c>
      <c r="BC101" s="72">
        <v>18</v>
      </c>
      <c r="BD101" s="72">
        <v>18</v>
      </c>
      <c r="BE101" s="72">
        <v>18</v>
      </c>
      <c r="BF101" s="72">
        <v>18</v>
      </c>
      <c r="BG101" s="72">
        <v>18</v>
      </c>
      <c r="BH101" s="72">
        <v>18</v>
      </c>
      <c r="BI101" s="72">
        <v>18</v>
      </c>
      <c r="BJ101" s="72">
        <v>18</v>
      </c>
      <c r="BK101" s="72">
        <v>18</v>
      </c>
      <c r="BL101" s="72">
        <v>18</v>
      </c>
      <c r="BM101" s="72">
        <v>18</v>
      </c>
      <c r="BN101" s="72">
        <v>18</v>
      </c>
      <c r="BO101" s="72">
        <v>18</v>
      </c>
      <c r="BP101" s="72">
        <v>18</v>
      </c>
      <c r="BQ101" s="72">
        <v>18</v>
      </c>
      <c r="BR101" s="72">
        <v>18</v>
      </c>
      <c r="BS101" s="72">
        <v>18</v>
      </c>
      <c r="BT101" s="72">
        <v>18</v>
      </c>
      <c r="BU101" s="72">
        <v>18</v>
      </c>
      <c r="BV101" s="72">
        <v>18</v>
      </c>
      <c r="BW101" s="72">
        <v>18</v>
      </c>
      <c r="BX101" s="72">
        <v>18</v>
      </c>
      <c r="BY101" s="72">
        <v>18</v>
      </c>
      <c r="BZ101" s="72">
        <v>18</v>
      </c>
      <c r="CA101" s="72">
        <v>18</v>
      </c>
      <c r="CB101" s="72">
        <v>18</v>
      </c>
      <c r="CC101" s="72">
        <v>18</v>
      </c>
      <c r="CD101" s="72">
        <v>18</v>
      </c>
      <c r="CE101" s="72">
        <v>18</v>
      </c>
      <c r="CF101" s="72">
        <v>18</v>
      </c>
      <c r="CG101" s="72">
        <v>18</v>
      </c>
      <c r="CH101" s="72">
        <v>18</v>
      </c>
      <c r="CI101" s="72">
        <v>18</v>
      </c>
      <c r="CJ101" s="72">
        <v>18</v>
      </c>
      <c r="CK101" s="72">
        <v>18</v>
      </c>
      <c r="CL101" s="72">
        <v>18</v>
      </c>
      <c r="CM101" s="72">
        <v>18</v>
      </c>
      <c r="CN101" s="72">
        <v>18</v>
      </c>
      <c r="CO101" s="72">
        <v>18</v>
      </c>
      <c r="CP101" s="72">
        <v>18</v>
      </c>
      <c r="CQ101" s="72">
        <v>18</v>
      </c>
      <c r="CR101" s="72">
        <v>18</v>
      </c>
      <c r="CS101" s="72">
        <v>18</v>
      </c>
      <c r="CT101" s="72">
        <v>18</v>
      </c>
      <c r="CU101" s="72">
        <v>18</v>
      </c>
      <c r="CV101" s="72">
        <v>18</v>
      </c>
      <c r="CW101" s="72">
        <v>18</v>
      </c>
      <c r="CX101" s="72">
        <v>18</v>
      </c>
      <c r="CY101" s="72">
        <v>18</v>
      </c>
      <c r="CZ101" s="72">
        <v>18</v>
      </c>
      <c r="DA101" s="72">
        <v>18</v>
      </c>
      <c r="DB101" s="72">
        <v>18</v>
      </c>
      <c r="DC101" s="72">
        <v>18</v>
      </c>
      <c r="DD101" s="72">
        <v>18</v>
      </c>
      <c r="DE101" s="72">
        <v>18</v>
      </c>
      <c r="DF101" s="72">
        <v>18</v>
      </c>
      <c r="DG101" s="72">
        <v>18</v>
      </c>
      <c r="DH101" s="72">
        <v>18</v>
      </c>
      <c r="DI101" s="72">
        <v>18</v>
      </c>
      <c r="DJ101" s="72">
        <v>18</v>
      </c>
      <c r="DK101" s="72">
        <v>18</v>
      </c>
      <c r="DL101" s="72">
        <v>18</v>
      </c>
    </row>
    <row r="102" spans="1:116" x14ac:dyDescent="0.35">
      <c r="A102" s="7"/>
      <c r="B102" s="8" t="s">
        <v>173</v>
      </c>
      <c r="C102" s="9" t="s">
        <v>174</v>
      </c>
      <c r="D102" s="10" t="s">
        <v>161</v>
      </c>
      <c r="E102" s="8" t="s">
        <v>1211</v>
      </c>
      <c r="F102" s="10">
        <v>1101</v>
      </c>
      <c r="G102" s="10" t="s">
        <v>40</v>
      </c>
      <c r="H102" s="10" t="s">
        <v>95</v>
      </c>
      <c r="I102" s="11">
        <v>116</v>
      </c>
      <c r="J102" s="10"/>
      <c r="K102" s="10" t="s">
        <v>175</v>
      </c>
      <c r="L102" s="8" t="s">
        <v>176</v>
      </c>
      <c r="M102" s="12">
        <v>0.68</v>
      </c>
      <c r="N102" s="12">
        <f t="shared" si="1"/>
        <v>78.88000000000001</v>
      </c>
      <c r="O102" s="11">
        <v>64</v>
      </c>
      <c r="P102" s="11">
        <v>64</v>
      </c>
      <c r="Q102" s="11">
        <v>64</v>
      </c>
      <c r="R102" s="11">
        <v>64</v>
      </c>
      <c r="S102" s="11">
        <v>116</v>
      </c>
      <c r="T102" s="11">
        <v>116</v>
      </c>
      <c r="U102" s="11">
        <v>116</v>
      </c>
      <c r="V102" s="11">
        <v>116</v>
      </c>
      <c r="W102" s="11">
        <v>116</v>
      </c>
      <c r="X102" s="11">
        <v>116</v>
      </c>
      <c r="Y102" s="11">
        <v>116</v>
      </c>
      <c r="Z102" s="11">
        <v>116</v>
      </c>
      <c r="AA102" s="11">
        <v>116</v>
      </c>
      <c r="AB102" s="11">
        <v>116</v>
      </c>
      <c r="AC102" s="11">
        <v>116</v>
      </c>
      <c r="AD102" s="11">
        <v>116</v>
      </c>
      <c r="AE102" s="11">
        <v>116</v>
      </c>
      <c r="AF102" s="11">
        <v>116</v>
      </c>
      <c r="AG102" s="11">
        <v>116</v>
      </c>
      <c r="AH102" s="11">
        <v>116</v>
      </c>
      <c r="AI102" s="11">
        <v>116</v>
      </c>
      <c r="AJ102" s="11">
        <v>116</v>
      </c>
      <c r="AK102" s="11">
        <v>116</v>
      </c>
      <c r="AL102" s="11">
        <v>116</v>
      </c>
      <c r="AM102" s="11">
        <v>116</v>
      </c>
      <c r="AN102" s="72">
        <v>116</v>
      </c>
      <c r="AO102" s="72">
        <v>116</v>
      </c>
      <c r="AP102" s="72">
        <v>116</v>
      </c>
      <c r="AQ102" s="72">
        <v>116</v>
      </c>
      <c r="AR102" s="72">
        <v>116</v>
      </c>
      <c r="AS102" s="72">
        <v>116</v>
      </c>
      <c r="AT102" s="72">
        <v>116</v>
      </c>
      <c r="AU102" s="72">
        <v>116</v>
      </c>
      <c r="AV102" s="72">
        <v>116</v>
      </c>
      <c r="AW102" s="72">
        <v>116</v>
      </c>
      <c r="AX102" s="72">
        <v>116</v>
      </c>
      <c r="AY102" s="72">
        <v>116</v>
      </c>
      <c r="AZ102" s="72">
        <v>116</v>
      </c>
      <c r="BA102" s="72">
        <v>116</v>
      </c>
      <c r="BB102" s="72">
        <v>116</v>
      </c>
      <c r="BC102" s="72">
        <v>116</v>
      </c>
      <c r="BD102" s="72">
        <v>116</v>
      </c>
      <c r="BE102" s="72">
        <v>116</v>
      </c>
      <c r="BF102" s="72">
        <v>116</v>
      </c>
      <c r="BG102" s="72">
        <v>116</v>
      </c>
      <c r="BH102" s="72">
        <v>116</v>
      </c>
      <c r="BI102" s="72">
        <v>116</v>
      </c>
      <c r="BJ102" s="72">
        <v>116</v>
      </c>
      <c r="BK102" s="72">
        <v>116</v>
      </c>
      <c r="BL102" s="72">
        <v>116</v>
      </c>
      <c r="BM102" s="72">
        <v>116</v>
      </c>
      <c r="BN102" s="72">
        <v>116</v>
      </c>
      <c r="BO102" s="72">
        <v>116</v>
      </c>
      <c r="BP102" s="72">
        <v>116</v>
      </c>
      <c r="BQ102" s="72">
        <v>116</v>
      </c>
      <c r="BR102" s="72">
        <v>116</v>
      </c>
      <c r="BS102" s="72">
        <v>116</v>
      </c>
      <c r="BT102" s="72">
        <v>116</v>
      </c>
      <c r="BU102" s="72">
        <v>116</v>
      </c>
      <c r="BV102" s="72">
        <v>116</v>
      </c>
      <c r="BW102" s="72">
        <v>116</v>
      </c>
      <c r="BX102" s="72">
        <v>116</v>
      </c>
      <c r="BY102" s="72">
        <v>116</v>
      </c>
      <c r="BZ102" s="72">
        <v>116</v>
      </c>
      <c r="CA102" s="72">
        <v>116</v>
      </c>
      <c r="CB102" s="72">
        <v>116</v>
      </c>
      <c r="CC102" s="72">
        <v>116</v>
      </c>
      <c r="CD102" s="72">
        <v>116</v>
      </c>
      <c r="CE102" s="72">
        <v>116</v>
      </c>
      <c r="CF102" s="72">
        <v>116</v>
      </c>
      <c r="CG102" s="72">
        <v>116</v>
      </c>
      <c r="CH102" s="72">
        <v>116</v>
      </c>
      <c r="CI102" s="72">
        <v>116</v>
      </c>
      <c r="CJ102" s="72">
        <v>116</v>
      </c>
      <c r="CK102" s="72">
        <v>116</v>
      </c>
      <c r="CL102" s="72">
        <v>116</v>
      </c>
      <c r="CM102" s="72">
        <v>116</v>
      </c>
      <c r="CN102" s="72">
        <v>116</v>
      </c>
      <c r="CO102" s="72">
        <v>116</v>
      </c>
      <c r="CP102" s="72">
        <v>116</v>
      </c>
      <c r="CQ102" s="72">
        <v>116</v>
      </c>
      <c r="CR102" s="72">
        <v>116</v>
      </c>
      <c r="CS102" s="72">
        <v>116</v>
      </c>
      <c r="CT102" s="72">
        <v>116</v>
      </c>
      <c r="CU102" s="72">
        <v>116</v>
      </c>
      <c r="CV102" s="72">
        <v>116</v>
      </c>
      <c r="CW102" s="72">
        <v>116</v>
      </c>
      <c r="CX102" s="72">
        <v>116</v>
      </c>
      <c r="CY102" s="72">
        <v>116</v>
      </c>
      <c r="CZ102" s="72">
        <v>116</v>
      </c>
      <c r="DA102" s="72">
        <v>116</v>
      </c>
      <c r="DB102" s="72">
        <v>116</v>
      </c>
      <c r="DC102" s="72">
        <v>116</v>
      </c>
      <c r="DD102" s="72">
        <v>116</v>
      </c>
      <c r="DE102" s="72">
        <v>116</v>
      </c>
      <c r="DF102" s="72">
        <v>116</v>
      </c>
      <c r="DG102" s="72">
        <v>116</v>
      </c>
      <c r="DH102" s="72">
        <v>116</v>
      </c>
      <c r="DI102" s="72">
        <v>116</v>
      </c>
      <c r="DJ102" s="72">
        <v>116</v>
      </c>
      <c r="DK102" s="72">
        <v>116</v>
      </c>
      <c r="DL102" s="72">
        <v>116</v>
      </c>
    </row>
    <row r="103" spans="1:116" x14ac:dyDescent="0.35">
      <c r="A103" s="7"/>
      <c r="B103" s="8" t="s">
        <v>177</v>
      </c>
      <c r="C103" s="9" t="s">
        <v>178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28</v>
      </c>
      <c r="J103" s="10"/>
      <c r="K103" s="10" t="s">
        <v>42</v>
      </c>
      <c r="L103" s="8" t="s">
        <v>179</v>
      </c>
      <c r="M103" s="12">
        <v>1.0900000000000001</v>
      </c>
      <c r="N103" s="12">
        <f t="shared" si="1"/>
        <v>30.520000000000003</v>
      </c>
      <c r="O103" s="11">
        <v>97</v>
      </c>
      <c r="P103" s="11">
        <v>97</v>
      </c>
      <c r="Q103" s="11">
        <v>97</v>
      </c>
      <c r="R103" s="11">
        <v>97</v>
      </c>
      <c r="S103" s="11">
        <v>28</v>
      </c>
      <c r="T103" s="11">
        <v>28</v>
      </c>
      <c r="U103" s="11">
        <v>28</v>
      </c>
      <c r="V103" s="11">
        <v>28</v>
      </c>
      <c r="W103" s="11">
        <v>28</v>
      </c>
      <c r="X103" s="11">
        <v>28</v>
      </c>
      <c r="Y103" s="11">
        <v>28</v>
      </c>
      <c r="Z103" s="11">
        <v>28</v>
      </c>
      <c r="AA103" s="11">
        <v>28</v>
      </c>
      <c r="AB103" s="11">
        <v>28</v>
      </c>
      <c r="AC103" s="11">
        <v>28</v>
      </c>
      <c r="AD103" s="11">
        <v>28</v>
      </c>
      <c r="AE103" s="11">
        <v>28</v>
      </c>
      <c r="AF103" s="11">
        <v>28</v>
      </c>
      <c r="AG103" s="11">
        <v>28</v>
      </c>
      <c r="AH103" s="11">
        <v>28</v>
      </c>
      <c r="AI103" s="11">
        <v>28</v>
      </c>
      <c r="AJ103" s="11">
        <v>28</v>
      </c>
      <c r="AK103" s="11">
        <v>28</v>
      </c>
      <c r="AL103" s="11">
        <v>28</v>
      </c>
      <c r="AM103" s="11">
        <v>28</v>
      </c>
      <c r="AN103" s="72">
        <v>28</v>
      </c>
      <c r="AO103" s="72">
        <v>28</v>
      </c>
      <c r="AP103" s="72">
        <v>28</v>
      </c>
      <c r="AQ103" s="72">
        <v>28</v>
      </c>
      <c r="AR103" s="72">
        <v>28</v>
      </c>
      <c r="AS103" s="72">
        <v>28</v>
      </c>
      <c r="AT103" s="72">
        <v>28</v>
      </c>
      <c r="AU103" s="72">
        <v>28</v>
      </c>
      <c r="AV103" s="72">
        <v>28</v>
      </c>
      <c r="AW103" s="72">
        <v>28</v>
      </c>
      <c r="AX103" s="72">
        <v>28</v>
      </c>
      <c r="AY103" s="72">
        <v>28</v>
      </c>
      <c r="AZ103" s="72">
        <v>28</v>
      </c>
      <c r="BA103" s="72">
        <v>28</v>
      </c>
      <c r="BB103" s="72">
        <v>28</v>
      </c>
      <c r="BC103" s="72">
        <v>28</v>
      </c>
      <c r="BD103" s="72">
        <v>28</v>
      </c>
      <c r="BE103" s="72">
        <v>28</v>
      </c>
      <c r="BF103" s="72">
        <v>28</v>
      </c>
      <c r="BG103" s="72">
        <v>28</v>
      </c>
      <c r="BH103" s="72">
        <v>28</v>
      </c>
      <c r="BI103" s="72">
        <v>28</v>
      </c>
      <c r="BJ103" s="72">
        <v>28</v>
      </c>
      <c r="BK103" s="72">
        <v>28</v>
      </c>
      <c r="BL103" s="72">
        <v>28</v>
      </c>
      <c r="BM103" s="72">
        <v>28</v>
      </c>
      <c r="BN103" s="72">
        <v>28</v>
      </c>
      <c r="BO103" s="72">
        <v>28</v>
      </c>
      <c r="BP103" s="72">
        <v>28</v>
      </c>
      <c r="BQ103" s="72">
        <v>28</v>
      </c>
      <c r="BR103" s="72">
        <v>28</v>
      </c>
      <c r="BS103" s="72">
        <v>28</v>
      </c>
      <c r="BT103" s="72">
        <v>28</v>
      </c>
      <c r="BU103" s="72">
        <v>28</v>
      </c>
      <c r="BV103" s="72">
        <v>28</v>
      </c>
      <c r="BW103" s="72">
        <v>28</v>
      </c>
      <c r="BX103" s="72">
        <v>28</v>
      </c>
      <c r="BY103" s="72">
        <v>28</v>
      </c>
      <c r="BZ103" s="72">
        <v>28</v>
      </c>
      <c r="CA103" s="72">
        <v>28</v>
      </c>
      <c r="CB103" s="72">
        <v>28</v>
      </c>
      <c r="CC103" s="72">
        <v>28</v>
      </c>
      <c r="CD103" s="72">
        <v>28</v>
      </c>
      <c r="CE103" s="72">
        <v>28</v>
      </c>
      <c r="CF103" s="72">
        <v>28</v>
      </c>
      <c r="CG103" s="72">
        <v>28</v>
      </c>
      <c r="CH103" s="72">
        <v>28</v>
      </c>
      <c r="CI103" s="72">
        <v>28</v>
      </c>
      <c r="CJ103" s="72">
        <v>28</v>
      </c>
      <c r="CK103" s="72">
        <v>28</v>
      </c>
      <c r="CL103" s="72">
        <v>28</v>
      </c>
      <c r="CM103" s="72">
        <v>28</v>
      </c>
      <c r="CN103" s="72">
        <v>28</v>
      </c>
      <c r="CO103" s="72">
        <v>28</v>
      </c>
      <c r="CP103" s="72">
        <v>28</v>
      </c>
      <c r="CQ103" s="72">
        <v>28</v>
      </c>
      <c r="CR103" s="72">
        <v>28</v>
      </c>
      <c r="CS103" s="72">
        <v>28</v>
      </c>
      <c r="CT103" s="72">
        <v>28</v>
      </c>
      <c r="CU103" s="72">
        <v>28</v>
      </c>
      <c r="CV103" s="72">
        <v>28</v>
      </c>
      <c r="CW103" s="72">
        <v>28</v>
      </c>
      <c r="CX103" s="72">
        <v>28</v>
      </c>
      <c r="CY103" s="72">
        <v>28</v>
      </c>
      <c r="CZ103" s="72">
        <v>28</v>
      </c>
      <c r="DA103" s="72">
        <v>28</v>
      </c>
      <c r="DB103" s="72">
        <v>28</v>
      </c>
      <c r="DC103" s="72">
        <v>28</v>
      </c>
      <c r="DD103" s="72">
        <v>28</v>
      </c>
      <c r="DE103" s="72">
        <v>28</v>
      </c>
      <c r="DF103" s="72">
        <v>28</v>
      </c>
      <c r="DG103" s="72">
        <v>28</v>
      </c>
      <c r="DH103" s="72">
        <v>28</v>
      </c>
      <c r="DI103" s="72">
        <v>28</v>
      </c>
      <c r="DJ103" s="72">
        <v>28</v>
      </c>
      <c r="DK103" s="72">
        <v>28</v>
      </c>
      <c r="DL103" s="72">
        <v>28</v>
      </c>
    </row>
    <row r="104" spans="1:116" x14ac:dyDescent="0.35">
      <c r="A104" s="7"/>
      <c r="B104" s="8" t="s">
        <v>180</v>
      </c>
      <c r="C104" s="9" t="s">
        <v>181</v>
      </c>
      <c r="D104" s="10" t="s">
        <v>161</v>
      </c>
      <c r="E104" s="8" t="s">
        <v>1209</v>
      </c>
      <c r="F104" s="10">
        <v>1101</v>
      </c>
      <c r="G104" s="10" t="s">
        <v>40</v>
      </c>
      <c r="H104" s="10" t="s">
        <v>41</v>
      </c>
      <c r="I104" s="11">
        <v>16</v>
      </c>
      <c r="J104" s="10"/>
      <c r="K104" s="10" t="s">
        <v>42</v>
      </c>
      <c r="L104" s="8" t="s">
        <v>182</v>
      </c>
      <c r="M104" s="12">
        <v>1.91</v>
      </c>
      <c r="N104" s="12">
        <f t="shared" si="1"/>
        <v>30.56</v>
      </c>
      <c r="O104" s="11">
        <v>78</v>
      </c>
      <c r="P104" s="11">
        <v>78</v>
      </c>
      <c r="Q104" s="11">
        <v>78</v>
      </c>
      <c r="R104" s="11">
        <v>78</v>
      </c>
      <c r="S104" s="11">
        <v>16</v>
      </c>
      <c r="T104" s="11">
        <v>16</v>
      </c>
      <c r="U104" s="11">
        <v>16</v>
      </c>
      <c r="V104" s="11">
        <v>16</v>
      </c>
      <c r="W104" s="11">
        <v>16</v>
      </c>
      <c r="X104" s="11">
        <v>16</v>
      </c>
      <c r="Y104" s="11">
        <v>16</v>
      </c>
      <c r="Z104" s="11">
        <v>16</v>
      </c>
      <c r="AA104" s="11">
        <v>16</v>
      </c>
      <c r="AB104" s="11">
        <v>16</v>
      </c>
      <c r="AC104" s="11">
        <v>16</v>
      </c>
      <c r="AD104" s="11">
        <v>16</v>
      </c>
      <c r="AE104" s="11">
        <v>16</v>
      </c>
      <c r="AF104" s="11">
        <v>16</v>
      </c>
      <c r="AG104" s="11">
        <v>16</v>
      </c>
      <c r="AH104" s="11">
        <v>16</v>
      </c>
      <c r="AI104" s="11">
        <v>16</v>
      </c>
      <c r="AJ104" s="11">
        <v>16</v>
      </c>
      <c r="AK104" s="11">
        <v>16</v>
      </c>
      <c r="AL104" s="11">
        <v>16</v>
      </c>
      <c r="AM104" s="11">
        <v>16</v>
      </c>
      <c r="AN104" s="72">
        <v>16</v>
      </c>
      <c r="AO104" s="72">
        <v>16</v>
      </c>
      <c r="AP104" s="72">
        <v>16</v>
      </c>
      <c r="AQ104" s="72">
        <v>16</v>
      </c>
      <c r="AR104" s="72">
        <v>16</v>
      </c>
      <c r="AS104" s="72">
        <v>16</v>
      </c>
      <c r="AT104" s="72">
        <v>16</v>
      </c>
      <c r="AU104" s="72">
        <v>16</v>
      </c>
      <c r="AV104" s="72">
        <v>16</v>
      </c>
      <c r="AW104" s="72">
        <v>16</v>
      </c>
      <c r="AX104" s="72">
        <v>16</v>
      </c>
      <c r="AY104" s="72">
        <v>16</v>
      </c>
      <c r="AZ104" s="72">
        <v>16</v>
      </c>
      <c r="BA104" s="72">
        <v>16</v>
      </c>
      <c r="BB104" s="72">
        <v>16</v>
      </c>
      <c r="BC104" s="72">
        <v>16</v>
      </c>
      <c r="BD104" s="72">
        <v>16</v>
      </c>
      <c r="BE104" s="72">
        <v>16</v>
      </c>
      <c r="BF104" s="72">
        <v>16</v>
      </c>
      <c r="BG104" s="72">
        <v>16</v>
      </c>
      <c r="BH104" s="72">
        <v>16</v>
      </c>
      <c r="BI104" s="72">
        <v>16</v>
      </c>
      <c r="BJ104" s="72">
        <v>16</v>
      </c>
      <c r="BK104" s="72">
        <v>16</v>
      </c>
      <c r="BL104" s="72">
        <v>16</v>
      </c>
      <c r="BM104" s="72">
        <v>16</v>
      </c>
      <c r="BN104" s="72">
        <v>16</v>
      </c>
      <c r="BO104" s="72">
        <v>16</v>
      </c>
      <c r="BP104" s="72">
        <v>16</v>
      </c>
      <c r="BQ104" s="72">
        <v>16</v>
      </c>
      <c r="BR104" s="72">
        <v>16</v>
      </c>
      <c r="BS104" s="72">
        <v>16</v>
      </c>
      <c r="BT104" s="72">
        <v>16</v>
      </c>
      <c r="BU104" s="72">
        <v>16</v>
      </c>
      <c r="BV104" s="72">
        <v>16</v>
      </c>
      <c r="BW104" s="72">
        <v>16</v>
      </c>
      <c r="BX104" s="72">
        <v>16</v>
      </c>
      <c r="BY104" s="72">
        <v>16</v>
      </c>
      <c r="BZ104" s="72">
        <v>16</v>
      </c>
      <c r="CA104" s="72">
        <v>16</v>
      </c>
      <c r="CB104" s="72">
        <v>16</v>
      </c>
      <c r="CC104" s="72">
        <v>16</v>
      </c>
      <c r="CD104" s="72">
        <v>16</v>
      </c>
      <c r="CE104" s="72">
        <v>16</v>
      </c>
      <c r="CF104" s="72">
        <v>16</v>
      </c>
      <c r="CG104" s="72">
        <v>16</v>
      </c>
      <c r="CH104" s="72">
        <v>16</v>
      </c>
      <c r="CI104" s="72">
        <v>16</v>
      </c>
      <c r="CJ104" s="72">
        <v>16</v>
      </c>
      <c r="CK104" s="72">
        <v>16</v>
      </c>
      <c r="CL104" s="72">
        <v>16</v>
      </c>
      <c r="CM104" s="72">
        <v>16</v>
      </c>
      <c r="CN104" s="72">
        <v>16</v>
      </c>
      <c r="CO104" s="72">
        <v>16</v>
      </c>
      <c r="CP104" s="72">
        <v>16</v>
      </c>
      <c r="CQ104" s="72">
        <v>16</v>
      </c>
      <c r="CR104" s="72">
        <v>16</v>
      </c>
      <c r="CS104" s="72">
        <v>16</v>
      </c>
      <c r="CT104" s="72">
        <v>16</v>
      </c>
      <c r="CU104" s="72">
        <v>16</v>
      </c>
      <c r="CV104" s="72">
        <v>16</v>
      </c>
      <c r="CW104" s="72">
        <v>16</v>
      </c>
      <c r="CX104" s="72">
        <v>16</v>
      </c>
      <c r="CY104" s="72">
        <v>16</v>
      </c>
      <c r="CZ104" s="72">
        <v>16</v>
      </c>
      <c r="DA104" s="72">
        <v>16</v>
      </c>
      <c r="DB104" s="72">
        <v>16</v>
      </c>
      <c r="DC104" s="72">
        <v>16</v>
      </c>
      <c r="DD104" s="72">
        <v>16</v>
      </c>
      <c r="DE104" s="72">
        <v>16</v>
      </c>
      <c r="DF104" s="72">
        <v>16</v>
      </c>
      <c r="DG104" s="72">
        <v>16</v>
      </c>
      <c r="DH104" s="72">
        <v>16</v>
      </c>
      <c r="DI104" s="72">
        <v>16</v>
      </c>
      <c r="DJ104" s="72">
        <v>16</v>
      </c>
      <c r="DK104" s="72">
        <v>16</v>
      </c>
      <c r="DL104" s="72">
        <v>16</v>
      </c>
    </row>
    <row r="105" spans="1:116" x14ac:dyDescent="0.35">
      <c r="A105" s="7"/>
      <c r="B105" s="92" t="s">
        <v>1318</v>
      </c>
      <c r="C105" s="93" t="s">
        <v>1342</v>
      </c>
      <c r="D105" s="10" t="s">
        <v>184</v>
      </c>
      <c r="E105" s="8" t="s">
        <v>183</v>
      </c>
      <c r="F105" s="10">
        <v>1101</v>
      </c>
      <c r="G105" s="10" t="s">
        <v>92</v>
      </c>
      <c r="H105" s="10" t="s">
        <v>41</v>
      </c>
      <c r="I105" s="11">
        <v>64</v>
      </c>
      <c r="J105" s="10"/>
      <c r="K105" s="10"/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64</v>
      </c>
      <c r="T105" s="11">
        <v>64</v>
      </c>
      <c r="U105" s="11">
        <v>64</v>
      </c>
      <c r="V105" s="11">
        <v>64</v>
      </c>
      <c r="W105" s="11">
        <v>64</v>
      </c>
      <c r="X105" s="11">
        <v>64</v>
      </c>
      <c r="Y105" s="11">
        <v>64</v>
      </c>
      <c r="Z105" s="11">
        <v>64</v>
      </c>
      <c r="AA105" s="11">
        <v>64</v>
      </c>
      <c r="AB105" s="11">
        <v>64</v>
      </c>
      <c r="AC105" s="11">
        <v>64</v>
      </c>
      <c r="AD105" s="11">
        <v>64</v>
      </c>
      <c r="AE105" s="11">
        <v>64</v>
      </c>
      <c r="AF105" s="11">
        <v>64</v>
      </c>
      <c r="AG105" s="11">
        <v>64</v>
      </c>
      <c r="AH105" s="11">
        <v>64</v>
      </c>
      <c r="AI105" s="11">
        <v>64</v>
      </c>
      <c r="AJ105" s="11">
        <v>64</v>
      </c>
      <c r="AK105" s="11">
        <v>64</v>
      </c>
      <c r="AL105" s="11">
        <v>64</v>
      </c>
      <c r="AM105" s="11">
        <v>64</v>
      </c>
      <c r="AN105" s="72">
        <v>64</v>
      </c>
      <c r="AO105" s="72">
        <v>64</v>
      </c>
      <c r="AP105" s="72">
        <v>64</v>
      </c>
      <c r="AQ105" s="72">
        <v>64</v>
      </c>
      <c r="AR105" s="72">
        <v>64</v>
      </c>
      <c r="AS105" s="72">
        <v>64</v>
      </c>
      <c r="AT105" s="72">
        <v>64</v>
      </c>
      <c r="AU105" s="72">
        <v>64</v>
      </c>
      <c r="AV105" s="72">
        <v>64</v>
      </c>
      <c r="AW105" s="72">
        <v>64</v>
      </c>
      <c r="AX105" s="72">
        <v>64</v>
      </c>
      <c r="AY105" s="72">
        <v>64</v>
      </c>
      <c r="AZ105" s="72">
        <v>64</v>
      </c>
      <c r="BA105" s="72">
        <v>64</v>
      </c>
      <c r="BB105" s="72">
        <v>64</v>
      </c>
      <c r="BC105" s="72">
        <v>64</v>
      </c>
      <c r="BD105" s="72">
        <v>64</v>
      </c>
      <c r="BE105" s="72">
        <v>64</v>
      </c>
      <c r="BF105" s="72">
        <v>64</v>
      </c>
      <c r="BG105" s="72">
        <v>64</v>
      </c>
      <c r="BH105" s="72">
        <v>64</v>
      </c>
      <c r="BI105" s="72">
        <v>64</v>
      </c>
      <c r="BJ105" s="72">
        <v>64</v>
      </c>
      <c r="BK105" s="72">
        <v>64</v>
      </c>
      <c r="BL105" s="72">
        <v>64</v>
      </c>
      <c r="BM105" s="72">
        <v>64</v>
      </c>
      <c r="BN105" s="72">
        <v>64</v>
      </c>
      <c r="BO105" s="72">
        <v>64</v>
      </c>
      <c r="BP105" s="72">
        <v>64</v>
      </c>
      <c r="BQ105" s="72">
        <v>64</v>
      </c>
      <c r="BR105" s="72">
        <v>64</v>
      </c>
      <c r="BS105" s="72">
        <v>64</v>
      </c>
      <c r="BT105" s="72">
        <v>64</v>
      </c>
      <c r="BU105" s="72">
        <v>64</v>
      </c>
      <c r="BV105" s="72">
        <v>64</v>
      </c>
      <c r="BW105" s="72">
        <v>64</v>
      </c>
      <c r="BX105" s="72">
        <v>64</v>
      </c>
      <c r="BY105" s="72">
        <v>64</v>
      </c>
      <c r="BZ105" s="72">
        <v>64</v>
      </c>
      <c r="CA105" s="72">
        <v>64</v>
      </c>
      <c r="CB105" s="72">
        <v>64</v>
      </c>
      <c r="CC105" s="72">
        <v>64</v>
      </c>
      <c r="CD105" s="72">
        <v>64</v>
      </c>
      <c r="CE105" s="72">
        <v>64</v>
      </c>
      <c r="CF105" s="72">
        <v>64</v>
      </c>
      <c r="CG105" s="72">
        <v>64</v>
      </c>
      <c r="CH105" s="72">
        <v>64</v>
      </c>
      <c r="CI105" s="72">
        <v>64</v>
      </c>
      <c r="CJ105" s="72">
        <v>64</v>
      </c>
      <c r="CK105" s="72">
        <v>64</v>
      </c>
      <c r="CL105" s="72">
        <v>64</v>
      </c>
      <c r="CM105" s="72">
        <v>64</v>
      </c>
      <c r="CN105" s="72">
        <v>64</v>
      </c>
      <c r="CO105" s="72">
        <v>64</v>
      </c>
      <c r="CP105" s="72">
        <v>64</v>
      </c>
      <c r="CQ105" s="72">
        <v>64</v>
      </c>
      <c r="CR105" s="72">
        <v>64</v>
      </c>
      <c r="CS105" s="72">
        <v>64</v>
      </c>
      <c r="CT105" s="72">
        <v>64</v>
      </c>
      <c r="CU105" s="72">
        <v>64</v>
      </c>
      <c r="CV105" s="72">
        <v>64</v>
      </c>
      <c r="CW105" s="72">
        <v>64</v>
      </c>
      <c r="CX105" s="72">
        <v>64</v>
      </c>
      <c r="CY105" s="72">
        <v>64</v>
      </c>
      <c r="CZ105" s="72">
        <v>64</v>
      </c>
      <c r="DA105" s="72">
        <v>64</v>
      </c>
      <c r="DB105" s="72">
        <v>64</v>
      </c>
      <c r="DC105" s="72">
        <v>64</v>
      </c>
      <c r="DD105" s="72">
        <v>64</v>
      </c>
      <c r="DE105" s="72">
        <v>64</v>
      </c>
      <c r="DF105" s="72">
        <v>64</v>
      </c>
      <c r="DG105" s="72">
        <v>64</v>
      </c>
      <c r="DH105" s="72">
        <v>64</v>
      </c>
      <c r="DI105" s="72">
        <v>64</v>
      </c>
      <c r="DJ105" s="72">
        <v>64</v>
      </c>
      <c r="DK105" s="72">
        <v>64</v>
      </c>
      <c r="DL105" s="72">
        <v>64</v>
      </c>
    </row>
    <row r="106" spans="1:116" x14ac:dyDescent="0.35">
      <c r="A106" s="7"/>
      <c r="B106" s="92" t="s">
        <v>1319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97</v>
      </c>
      <c r="J106" s="10"/>
      <c r="K106" s="10" t="s">
        <v>42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97</v>
      </c>
      <c r="T106" s="11">
        <v>97</v>
      </c>
      <c r="U106" s="11">
        <v>97</v>
      </c>
      <c r="V106" s="11">
        <v>97</v>
      </c>
      <c r="W106" s="11">
        <v>97</v>
      </c>
      <c r="X106" s="11">
        <v>97</v>
      </c>
      <c r="Y106" s="11">
        <v>97</v>
      </c>
      <c r="Z106" s="11">
        <v>97</v>
      </c>
      <c r="AA106" s="11">
        <v>97</v>
      </c>
      <c r="AB106" s="11">
        <v>97</v>
      </c>
      <c r="AC106" s="11">
        <v>97</v>
      </c>
      <c r="AD106" s="11">
        <v>97</v>
      </c>
      <c r="AE106" s="11">
        <v>97</v>
      </c>
      <c r="AF106" s="11">
        <v>97</v>
      </c>
      <c r="AG106" s="11">
        <v>97</v>
      </c>
      <c r="AH106" s="11">
        <v>97</v>
      </c>
      <c r="AI106" s="11">
        <v>97</v>
      </c>
      <c r="AJ106" s="11">
        <v>97</v>
      </c>
      <c r="AK106" s="11">
        <v>97</v>
      </c>
      <c r="AL106" s="11">
        <v>97</v>
      </c>
      <c r="AM106" s="11">
        <v>97</v>
      </c>
      <c r="AN106" s="72">
        <v>97</v>
      </c>
      <c r="AO106" s="72">
        <v>97</v>
      </c>
      <c r="AP106" s="72">
        <v>97</v>
      </c>
      <c r="AQ106" s="72">
        <v>97</v>
      </c>
      <c r="AR106" s="72">
        <v>97</v>
      </c>
      <c r="AS106" s="72">
        <v>97</v>
      </c>
      <c r="AT106" s="72">
        <v>97</v>
      </c>
      <c r="AU106" s="72">
        <v>97</v>
      </c>
      <c r="AV106" s="72">
        <v>97</v>
      </c>
      <c r="AW106" s="72">
        <v>97</v>
      </c>
      <c r="AX106" s="72">
        <v>97</v>
      </c>
      <c r="AY106" s="72">
        <v>97</v>
      </c>
      <c r="AZ106" s="72">
        <v>97</v>
      </c>
      <c r="BA106" s="72">
        <v>97</v>
      </c>
      <c r="BB106" s="72">
        <v>97</v>
      </c>
      <c r="BC106" s="72">
        <v>97</v>
      </c>
      <c r="BD106" s="72">
        <v>97</v>
      </c>
      <c r="BE106" s="72">
        <v>97</v>
      </c>
      <c r="BF106" s="72">
        <v>97</v>
      </c>
      <c r="BG106" s="72">
        <v>97</v>
      </c>
      <c r="BH106" s="72">
        <v>97</v>
      </c>
      <c r="BI106" s="72">
        <v>97</v>
      </c>
      <c r="BJ106" s="72">
        <v>97</v>
      </c>
      <c r="BK106" s="72">
        <v>97</v>
      </c>
      <c r="BL106" s="72">
        <v>97</v>
      </c>
      <c r="BM106" s="72">
        <v>97</v>
      </c>
      <c r="BN106" s="72">
        <v>97</v>
      </c>
      <c r="BO106" s="72">
        <v>97</v>
      </c>
      <c r="BP106" s="72">
        <v>97</v>
      </c>
      <c r="BQ106" s="72">
        <v>97</v>
      </c>
      <c r="BR106" s="72">
        <v>97</v>
      </c>
      <c r="BS106" s="72">
        <v>97</v>
      </c>
      <c r="BT106" s="72">
        <v>97</v>
      </c>
      <c r="BU106" s="72">
        <v>97</v>
      </c>
      <c r="BV106" s="72">
        <v>97</v>
      </c>
      <c r="BW106" s="72">
        <v>97</v>
      </c>
      <c r="BX106" s="72">
        <v>97</v>
      </c>
      <c r="BY106" s="72">
        <v>97</v>
      </c>
      <c r="BZ106" s="72">
        <v>97</v>
      </c>
      <c r="CA106" s="72">
        <v>97</v>
      </c>
      <c r="CB106" s="72">
        <v>97</v>
      </c>
      <c r="CC106" s="72">
        <v>97</v>
      </c>
      <c r="CD106" s="72">
        <v>97</v>
      </c>
      <c r="CE106" s="72">
        <v>97</v>
      </c>
      <c r="CF106" s="72">
        <v>97</v>
      </c>
      <c r="CG106" s="72">
        <v>97</v>
      </c>
      <c r="CH106" s="72">
        <v>97</v>
      </c>
      <c r="CI106" s="72">
        <v>97</v>
      </c>
      <c r="CJ106" s="72">
        <v>97</v>
      </c>
      <c r="CK106" s="72">
        <v>97</v>
      </c>
      <c r="CL106" s="72">
        <v>97</v>
      </c>
      <c r="CM106" s="72">
        <v>97</v>
      </c>
      <c r="CN106" s="72">
        <v>97</v>
      </c>
      <c r="CO106" s="72">
        <v>97</v>
      </c>
      <c r="CP106" s="72">
        <v>97</v>
      </c>
      <c r="CQ106" s="72">
        <v>97</v>
      </c>
      <c r="CR106" s="72">
        <v>97</v>
      </c>
      <c r="CS106" s="72">
        <v>97</v>
      </c>
      <c r="CT106" s="72">
        <v>97</v>
      </c>
      <c r="CU106" s="72">
        <v>97</v>
      </c>
      <c r="CV106" s="72">
        <v>97</v>
      </c>
      <c r="CW106" s="72">
        <v>97</v>
      </c>
      <c r="CX106" s="72">
        <v>97</v>
      </c>
      <c r="CY106" s="72">
        <v>97</v>
      </c>
      <c r="CZ106" s="72">
        <v>97</v>
      </c>
      <c r="DA106" s="72">
        <v>97</v>
      </c>
      <c r="DB106" s="72">
        <v>97</v>
      </c>
      <c r="DC106" s="72">
        <v>97</v>
      </c>
      <c r="DD106" s="72">
        <v>97</v>
      </c>
      <c r="DE106" s="72">
        <v>97</v>
      </c>
      <c r="DF106" s="72">
        <v>97</v>
      </c>
      <c r="DG106" s="72">
        <v>97</v>
      </c>
      <c r="DH106" s="72">
        <v>97</v>
      </c>
      <c r="DI106" s="72">
        <v>97</v>
      </c>
      <c r="DJ106" s="72">
        <v>97</v>
      </c>
      <c r="DK106" s="72">
        <v>97</v>
      </c>
      <c r="DL106" s="72">
        <v>97</v>
      </c>
    </row>
    <row r="107" spans="1:116" x14ac:dyDescent="0.35">
      <c r="A107" s="7"/>
      <c r="B107" s="92" t="s">
        <v>1320</v>
      </c>
      <c r="C107" s="9" t="s">
        <v>185</v>
      </c>
      <c r="D107" s="10" t="s">
        <v>184</v>
      </c>
      <c r="E107" s="8" t="s">
        <v>1205</v>
      </c>
      <c r="F107" s="10">
        <v>1104</v>
      </c>
      <c r="G107" s="10" t="s">
        <v>40</v>
      </c>
      <c r="H107" s="10" t="s">
        <v>41</v>
      </c>
      <c r="I107" s="11">
        <v>78</v>
      </c>
      <c r="J107" s="10"/>
      <c r="K107" s="10" t="s">
        <v>135</v>
      </c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78</v>
      </c>
      <c r="T107" s="11">
        <v>78</v>
      </c>
      <c r="U107" s="11">
        <v>78</v>
      </c>
      <c r="V107" s="11">
        <v>78</v>
      </c>
      <c r="W107" s="11">
        <v>78</v>
      </c>
      <c r="X107" s="11">
        <v>78</v>
      </c>
      <c r="Y107" s="11">
        <v>78</v>
      </c>
      <c r="Z107" s="11">
        <v>78</v>
      </c>
      <c r="AA107" s="11">
        <v>78</v>
      </c>
      <c r="AB107" s="11">
        <v>78</v>
      </c>
      <c r="AC107" s="11">
        <v>78</v>
      </c>
      <c r="AD107" s="11">
        <v>78</v>
      </c>
      <c r="AE107" s="11">
        <v>78</v>
      </c>
      <c r="AF107" s="11">
        <v>78</v>
      </c>
      <c r="AG107" s="11">
        <v>78</v>
      </c>
      <c r="AH107" s="11">
        <v>78</v>
      </c>
      <c r="AI107" s="11">
        <v>78</v>
      </c>
      <c r="AJ107" s="11">
        <v>78</v>
      </c>
      <c r="AK107" s="11">
        <v>78</v>
      </c>
      <c r="AL107" s="11">
        <v>78</v>
      </c>
      <c r="AM107" s="11">
        <v>78</v>
      </c>
      <c r="AN107" s="72">
        <v>78</v>
      </c>
      <c r="AO107" s="72">
        <v>78</v>
      </c>
      <c r="AP107" s="72">
        <v>78</v>
      </c>
      <c r="AQ107" s="72">
        <v>78</v>
      </c>
      <c r="AR107" s="72">
        <v>78</v>
      </c>
      <c r="AS107" s="72">
        <v>78</v>
      </c>
      <c r="AT107" s="72">
        <v>78</v>
      </c>
      <c r="AU107" s="72">
        <v>78</v>
      </c>
      <c r="AV107" s="72">
        <v>78</v>
      </c>
      <c r="AW107" s="72">
        <v>78</v>
      </c>
      <c r="AX107" s="72">
        <v>78</v>
      </c>
      <c r="AY107" s="72">
        <v>78</v>
      </c>
      <c r="AZ107" s="72">
        <v>78</v>
      </c>
      <c r="BA107" s="72">
        <v>78</v>
      </c>
      <c r="BB107" s="72">
        <v>78</v>
      </c>
      <c r="BC107" s="72">
        <v>78</v>
      </c>
      <c r="BD107" s="72">
        <v>78</v>
      </c>
      <c r="BE107" s="72">
        <v>78</v>
      </c>
      <c r="BF107" s="72">
        <v>78</v>
      </c>
      <c r="BG107" s="72">
        <v>78</v>
      </c>
      <c r="BH107" s="72">
        <v>78</v>
      </c>
      <c r="BI107" s="72">
        <v>78</v>
      </c>
      <c r="BJ107" s="72">
        <v>78</v>
      </c>
      <c r="BK107" s="72">
        <v>78</v>
      </c>
      <c r="BL107" s="72">
        <v>78</v>
      </c>
      <c r="BM107" s="72">
        <v>78</v>
      </c>
      <c r="BN107" s="72">
        <v>78</v>
      </c>
      <c r="BO107" s="72">
        <v>78</v>
      </c>
      <c r="BP107" s="72">
        <v>78</v>
      </c>
      <c r="BQ107" s="72">
        <v>78</v>
      </c>
      <c r="BR107" s="72">
        <v>78</v>
      </c>
      <c r="BS107" s="72">
        <v>78</v>
      </c>
      <c r="BT107" s="72">
        <v>78</v>
      </c>
      <c r="BU107" s="72">
        <v>78</v>
      </c>
      <c r="BV107" s="72">
        <v>78</v>
      </c>
      <c r="BW107" s="72">
        <v>78</v>
      </c>
      <c r="BX107" s="72">
        <v>78</v>
      </c>
      <c r="BY107" s="72">
        <v>78</v>
      </c>
      <c r="BZ107" s="72">
        <v>78</v>
      </c>
      <c r="CA107" s="72">
        <v>78</v>
      </c>
      <c r="CB107" s="72">
        <v>78</v>
      </c>
      <c r="CC107" s="72">
        <v>78</v>
      </c>
      <c r="CD107" s="72">
        <v>78</v>
      </c>
      <c r="CE107" s="72">
        <v>78</v>
      </c>
      <c r="CF107" s="72">
        <v>78</v>
      </c>
      <c r="CG107" s="72">
        <v>78</v>
      </c>
      <c r="CH107" s="72">
        <v>78</v>
      </c>
      <c r="CI107" s="72">
        <v>78</v>
      </c>
      <c r="CJ107" s="72">
        <v>78</v>
      </c>
      <c r="CK107" s="72">
        <v>78</v>
      </c>
      <c r="CL107" s="72">
        <v>78</v>
      </c>
      <c r="CM107" s="72">
        <v>78</v>
      </c>
      <c r="CN107" s="72">
        <v>78</v>
      </c>
      <c r="CO107" s="72">
        <v>78</v>
      </c>
      <c r="CP107" s="72">
        <v>78</v>
      </c>
      <c r="CQ107" s="72">
        <v>78</v>
      </c>
      <c r="CR107" s="72">
        <v>78</v>
      </c>
      <c r="CS107" s="72">
        <v>78</v>
      </c>
      <c r="CT107" s="72">
        <v>78</v>
      </c>
      <c r="CU107" s="72">
        <v>78</v>
      </c>
      <c r="CV107" s="72">
        <v>78</v>
      </c>
      <c r="CW107" s="72">
        <v>78</v>
      </c>
      <c r="CX107" s="72">
        <v>78</v>
      </c>
      <c r="CY107" s="72">
        <v>78</v>
      </c>
      <c r="CZ107" s="72">
        <v>78</v>
      </c>
      <c r="DA107" s="72">
        <v>78</v>
      </c>
      <c r="DB107" s="72">
        <v>78</v>
      </c>
      <c r="DC107" s="72">
        <v>78</v>
      </c>
      <c r="DD107" s="72">
        <v>78</v>
      </c>
      <c r="DE107" s="72">
        <v>78</v>
      </c>
      <c r="DF107" s="72">
        <v>78</v>
      </c>
      <c r="DG107" s="72">
        <v>78</v>
      </c>
      <c r="DH107" s="72">
        <v>78</v>
      </c>
      <c r="DI107" s="72">
        <v>78</v>
      </c>
      <c r="DJ107" s="72">
        <v>78</v>
      </c>
      <c r="DK107" s="72">
        <v>78</v>
      </c>
      <c r="DL107" s="72">
        <v>78</v>
      </c>
    </row>
    <row r="108" spans="1:116" x14ac:dyDescent="0.35">
      <c r="A108" s="7"/>
      <c r="B108" s="8" t="s">
        <v>186</v>
      </c>
      <c r="C108" s="9" t="s">
        <v>187</v>
      </c>
      <c r="D108" s="10" t="s">
        <v>188</v>
      </c>
      <c r="E108" s="8" t="s">
        <v>1216</v>
      </c>
      <c r="F108" s="10">
        <v>1105</v>
      </c>
      <c r="G108" s="10" t="s">
        <v>40</v>
      </c>
      <c r="H108" s="10" t="s">
        <v>95</v>
      </c>
      <c r="I108" s="11">
        <v>500</v>
      </c>
      <c r="J108" s="10"/>
      <c r="K108" s="10" t="s">
        <v>42</v>
      </c>
      <c r="L108" s="8" t="s">
        <v>189</v>
      </c>
      <c r="M108" s="12"/>
      <c r="N108" s="12">
        <f t="shared" si="1"/>
        <v>0</v>
      </c>
      <c r="O108" s="11">
        <v>500</v>
      </c>
      <c r="P108" s="11">
        <v>500</v>
      </c>
      <c r="Q108" s="11">
        <v>500</v>
      </c>
      <c r="R108" s="11">
        <v>500</v>
      </c>
      <c r="S108" s="11">
        <v>500</v>
      </c>
      <c r="T108" s="11">
        <v>500</v>
      </c>
      <c r="U108" s="11">
        <v>500</v>
      </c>
      <c r="V108" s="11">
        <v>500</v>
      </c>
      <c r="W108" s="11">
        <v>500</v>
      </c>
      <c r="X108" s="11">
        <v>500</v>
      </c>
      <c r="Y108" s="11">
        <v>500</v>
      </c>
      <c r="Z108" s="11">
        <v>500</v>
      </c>
      <c r="AA108" s="11">
        <v>500</v>
      </c>
      <c r="AB108" s="11">
        <v>500</v>
      </c>
      <c r="AC108" s="11">
        <v>500</v>
      </c>
      <c r="AD108" s="11">
        <v>500</v>
      </c>
      <c r="AE108" s="11">
        <v>500</v>
      </c>
      <c r="AF108" s="11">
        <v>500</v>
      </c>
      <c r="AG108" s="11">
        <v>500</v>
      </c>
      <c r="AH108" s="11">
        <v>500</v>
      </c>
      <c r="AI108" s="11">
        <v>500</v>
      </c>
      <c r="AJ108" s="11">
        <v>500</v>
      </c>
      <c r="AK108" s="11">
        <v>500</v>
      </c>
      <c r="AL108" s="11">
        <v>500</v>
      </c>
      <c r="AM108" s="11">
        <v>500</v>
      </c>
      <c r="AN108" s="72">
        <v>500</v>
      </c>
      <c r="AO108" s="72">
        <v>500</v>
      </c>
      <c r="AP108" s="72">
        <v>500</v>
      </c>
      <c r="AQ108" s="72">
        <v>500</v>
      </c>
      <c r="AR108" s="72">
        <v>500</v>
      </c>
      <c r="AS108" s="72">
        <v>500</v>
      </c>
      <c r="AT108" s="72">
        <v>500</v>
      </c>
      <c r="AU108" s="72">
        <v>500</v>
      </c>
      <c r="AV108" s="72">
        <v>500</v>
      </c>
      <c r="AW108" s="72">
        <v>500</v>
      </c>
      <c r="AX108" s="72">
        <v>500</v>
      </c>
      <c r="AY108" s="72">
        <v>500</v>
      </c>
      <c r="AZ108" s="72">
        <v>500</v>
      </c>
      <c r="BA108" s="72">
        <v>500</v>
      </c>
      <c r="BB108" s="72">
        <v>500</v>
      </c>
      <c r="BC108" s="72">
        <v>500</v>
      </c>
      <c r="BD108" s="72">
        <v>500</v>
      </c>
      <c r="BE108" s="72">
        <v>500</v>
      </c>
      <c r="BF108" s="72">
        <v>500</v>
      </c>
      <c r="BG108" s="72">
        <v>500</v>
      </c>
      <c r="BH108" s="72">
        <v>500</v>
      </c>
      <c r="BI108" s="72">
        <v>500</v>
      </c>
      <c r="BJ108" s="72">
        <v>500</v>
      </c>
      <c r="BK108" s="72">
        <v>500</v>
      </c>
      <c r="BL108" s="72">
        <v>500</v>
      </c>
      <c r="BM108" s="72">
        <v>500</v>
      </c>
      <c r="BN108" s="72">
        <v>500</v>
      </c>
      <c r="BO108" s="72">
        <v>500</v>
      </c>
      <c r="BP108" s="72">
        <v>500</v>
      </c>
      <c r="BQ108" s="72">
        <v>500</v>
      </c>
      <c r="BR108" s="72">
        <v>500</v>
      </c>
      <c r="BS108" s="72">
        <v>500</v>
      </c>
      <c r="BT108" s="72">
        <v>500</v>
      </c>
      <c r="BU108" s="72">
        <v>500</v>
      </c>
      <c r="BV108" s="72">
        <v>500</v>
      </c>
      <c r="BW108" s="72">
        <v>500</v>
      </c>
      <c r="BX108" s="72">
        <v>500</v>
      </c>
      <c r="BY108" s="72">
        <v>500</v>
      </c>
      <c r="BZ108" s="72">
        <v>500</v>
      </c>
      <c r="CA108" s="72">
        <v>500</v>
      </c>
      <c r="CB108" s="72">
        <v>500</v>
      </c>
      <c r="CC108" s="72">
        <v>500</v>
      </c>
      <c r="CD108" s="72">
        <v>500</v>
      </c>
      <c r="CE108" s="72">
        <v>500</v>
      </c>
      <c r="CF108" s="72">
        <v>500</v>
      </c>
      <c r="CG108" s="72">
        <v>500</v>
      </c>
      <c r="CH108" s="72">
        <v>500</v>
      </c>
      <c r="CI108" s="72">
        <v>500</v>
      </c>
      <c r="CJ108" s="72">
        <v>500</v>
      </c>
      <c r="CK108" s="72">
        <v>500</v>
      </c>
      <c r="CL108" s="72">
        <v>500</v>
      </c>
      <c r="CM108" s="72">
        <v>500</v>
      </c>
      <c r="CN108" s="72">
        <v>500</v>
      </c>
      <c r="CO108" s="72">
        <v>500</v>
      </c>
      <c r="CP108" s="72">
        <v>500</v>
      </c>
      <c r="CQ108" s="72">
        <v>500</v>
      </c>
      <c r="CR108" s="72">
        <v>500</v>
      </c>
      <c r="CS108" s="72">
        <v>500</v>
      </c>
      <c r="CT108" s="72">
        <v>500</v>
      </c>
      <c r="CU108" s="72">
        <v>500</v>
      </c>
      <c r="CV108" s="72">
        <v>500</v>
      </c>
      <c r="CW108" s="72">
        <v>500</v>
      </c>
      <c r="CX108" s="72">
        <v>500</v>
      </c>
      <c r="CY108" s="72">
        <v>500</v>
      </c>
      <c r="CZ108" s="72">
        <v>500</v>
      </c>
      <c r="DA108" s="72">
        <v>500</v>
      </c>
      <c r="DB108" s="72">
        <v>500</v>
      </c>
      <c r="DC108" s="72">
        <v>500</v>
      </c>
      <c r="DD108" s="72">
        <v>500</v>
      </c>
      <c r="DE108" s="72">
        <v>500</v>
      </c>
      <c r="DF108" s="72">
        <v>500</v>
      </c>
      <c r="DG108" s="72">
        <v>500</v>
      </c>
      <c r="DH108" s="72">
        <v>500</v>
      </c>
      <c r="DI108" s="72">
        <v>500</v>
      </c>
      <c r="DJ108" s="72">
        <v>500</v>
      </c>
      <c r="DK108" s="72">
        <v>500</v>
      </c>
      <c r="DL108" s="72">
        <v>500</v>
      </c>
    </row>
    <row r="109" spans="1:116" x14ac:dyDescent="0.35">
      <c r="A109" s="7"/>
      <c r="B109" s="8" t="s">
        <v>190</v>
      </c>
      <c r="C109" s="9" t="s">
        <v>191</v>
      </c>
      <c r="D109" s="10" t="s">
        <v>188</v>
      </c>
      <c r="E109" s="8" t="s">
        <v>1217</v>
      </c>
      <c r="F109" s="10"/>
      <c r="G109" s="10" t="s">
        <v>40</v>
      </c>
      <c r="H109" s="10" t="s">
        <v>95</v>
      </c>
      <c r="I109" s="11"/>
      <c r="J109" s="10"/>
      <c r="K109" s="10" t="s">
        <v>42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>
        <v>1200</v>
      </c>
      <c r="AI109" s="11">
        <v>400</v>
      </c>
      <c r="AJ109" s="11">
        <v>400</v>
      </c>
      <c r="AK109" s="11">
        <v>400</v>
      </c>
      <c r="AL109" s="11">
        <v>400</v>
      </c>
      <c r="AM109" s="11">
        <v>400</v>
      </c>
      <c r="AN109" s="11">
        <v>400</v>
      </c>
      <c r="AO109" s="11">
        <v>400</v>
      </c>
      <c r="AP109" s="11">
        <v>400</v>
      </c>
      <c r="AQ109" s="72">
        <v>400</v>
      </c>
      <c r="AR109" s="72">
        <v>400</v>
      </c>
      <c r="AS109" s="72">
        <v>400</v>
      </c>
      <c r="AT109" s="72">
        <v>400</v>
      </c>
      <c r="AU109" s="72">
        <v>400</v>
      </c>
      <c r="AV109" s="72">
        <v>400</v>
      </c>
      <c r="AW109" s="72">
        <v>400</v>
      </c>
      <c r="AX109" s="72">
        <v>400</v>
      </c>
      <c r="AY109" s="72">
        <v>400</v>
      </c>
      <c r="AZ109" s="72">
        <v>400</v>
      </c>
      <c r="BA109" s="72">
        <v>400</v>
      </c>
      <c r="BB109" s="72">
        <v>400</v>
      </c>
      <c r="BC109" s="72">
        <v>400</v>
      </c>
      <c r="BD109" s="72">
        <v>400</v>
      </c>
      <c r="BE109" s="72">
        <v>400</v>
      </c>
      <c r="BF109" s="72">
        <v>400</v>
      </c>
      <c r="BG109" s="72">
        <v>400</v>
      </c>
      <c r="BH109" s="72">
        <v>400</v>
      </c>
      <c r="BI109" s="72">
        <v>400</v>
      </c>
      <c r="BJ109" s="72">
        <v>400</v>
      </c>
      <c r="BK109" s="72">
        <v>400</v>
      </c>
      <c r="BL109" s="72">
        <v>400</v>
      </c>
      <c r="BM109" s="72">
        <v>400</v>
      </c>
      <c r="BN109" s="72">
        <v>400</v>
      </c>
      <c r="BO109" s="72">
        <v>400</v>
      </c>
      <c r="BP109" s="72">
        <v>400</v>
      </c>
      <c r="BQ109" s="72">
        <v>400</v>
      </c>
      <c r="BR109" s="72">
        <v>400</v>
      </c>
      <c r="BS109" s="72">
        <v>400</v>
      </c>
      <c r="BT109" s="72">
        <v>400</v>
      </c>
      <c r="BU109" s="72">
        <v>400</v>
      </c>
      <c r="BV109" s="72">
        <v>400</v>
      </c>
      <c r="BW109" s="72">
        <v>400</v>
      </c>
      <c r="BX109" s="72">
        <v>400</v>
      </c>
      <c r="BY109" s="72">
        <v>400</v>
      </c>
      <c r="BZ109" s="72">
        <v>400</v>
      </c>
      <c r="CA109" s="72">
        <v>400</v>
      </c>
      <c r="CB109" s="72">
        <v>400</v>
      </c>
      <c r="CC109" s="72">
        <v>400</v>
      </c>
      <c r="CD109" s="72">
        <v>400</v>
      </c>
      <c r="CE109" s="72">
        <v>400</v>
      </c>
      <c r="CF109" s="72">
        <v>400</v>
      </c>
      <c r="CG109" s="72">
        <v>400</v>
      </c>
      <c r="CH109" s="72">
        <v>400</v>
      </c>
      <c r="CI109" s="72">
        <v>400</v>
      </c>
      <c r="CJ109" s="72">
        <v>400</v>
      </c>
      <c r="CK109" s="72">
        <v>400</v>
      </c>
      <c r="CL109" s="72">
        <v>400</v>
      </c>
      <c r="CM109" s="72">
        <v>400</v>
      </c>
      <c r="CN109" s="72">
        <v>400</v>
      </c>
      <c r="CO109" s="72">
        <v>400</v>
      </c>
      <c r="CP109" s="72">
        <v>400</v>
      </c>
      <c r="CQ109" s="72">
        <v>400</v>
      </c>
      <c r="CR109" s="72">
        <v>400</v>
      </c>
      <c r="CS109" s="72">
        <v>400</v>
      </c>
      <c r="CT109" s="72">
        <v>400</v>
      </c>
      <c r="CU109" s="72">
        <v>400</v>
      </c>
      <c r="CV109" s="72">
        <v>400</v>
      </c>
      <c r="CW109" s="72">
        <v>400</v>
      </c>
      <c r="CX109" s="72">
        <v>400</v>
      </c>
      <c r="CY109" s="72">
        <v>400</v>
      </c>
      <c r="CZ109" s="72">
        <v>400</v>
      </c>
      <c r="DA109" s="72">
        <v>400</v>
      </c>
      <c r="DB109" s="72">
        <v>400</v>
      </c>
      <c r="DC109" s="72">
        <v>400</v>
      </c>
      <c r="DD109" s="72">
        <v>400</v>
      </c>
      <c r="DE109" s="72">
        <v>400</v>
      </c>
      <c r="DF109" s="72">
        <v>400</v>
      </c>
      <c r="DG109" s="72">
        <v>400</v>
      </c>
      <c r="DH109" s="72">
        <v>400</v>
      </c>
      <c r="DI109" s="72">
        <v>400</v>
      </c>
      <c r="DJ109" s="72">
        <v>400</v>
      </c>
      <c r="DK109" s="72">
        <v>400</v>
      </c>
      <c r="DL109" s="72">
        <v>400</v>
      </c>
    </row>
    <row r="110" spans="1:116" x14ac:dyDescent="0.35">
      <c r="A110" s="7"/>
      <c r="B110" s="26" t="s">
        <v>192</v>
      </c>
      <c r="C110" s="27" t="s">
        <v>193</v>
      </c>
      <c r="D110" s="28" t="s">
        <v>92</v>
      </c>
      <c r="E110" s="26" t="s">
        <v>1211</v>
      </c>
      <c r="F110" s="10">
        <v>1101</v>
      </c>
      <c r="G110" s="28" t="s">
        <v>92</v>
      </c>
      <c r="H110" s="28" t="s">
        <v>95</v>
      </c>
      <c r="I110" s="29">
        <v>0</v>
      </c>
      <c r="J110" s="28">
        <v>305</v>
      </c>
      <c r="K110" s="10" t="s">
        <v>42</v>
      </c>
      <c r="L110" s="14" t="s">
        <v>194</v>
      </c>
      <c r="M110" s="12">
        <v>0.31900000000000001</v>
      </c>
      <c r="N110" s="12">
        <f t="shared" si="1"/>
        <v>0</v>
      </c>
      <c r="O110" s="29">
        <v>30195</v>
      </c>
      <c r="P110" s="29">
        <v>30195</v>
      </c>
      <c r="Q110" s="29">
        <v>30195</v>
      </c>
      <c r="R110" s="29">
        <v>30195</v>
      </c>
      <c r="S110" s="29">
        <v>29890</v>
      </c>
      <c r="T110" s="29">
        <v>29585</v>
      </c>
      <c r="U110" s="29">
        <v>29585</v>
      </c>
      <c r="V110" s="29">
        <v>20435</v>
      </c>
      <c r="W110" s="29">
        <v>20435</v>
      </c>
      <c r="X110" s="29">
        <v>20435</v>
      </c>
      <c r="Y110" s="29">
        <v>20435</v>
      </c>
      <c r="Z110" s="29">
        <v>19215</v>
      </c>
      <c r="AA110" s="29">
        <v>19215</v>
      </c>
      <c r="AB110" s="29">
        <v>7015</v>
      </c>
      <c r="AC110" s="29">
        <v>6405</v>
      </c>
      <c r="AD110" s="29">
        <v>6405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75">
        <v>0</v>
      </c>
      <c r="AO110" s="75">
        <v>0</v>
      </c>
      <c r="AP110" s="75">
        <v>0</v>
      </c>
      <c r="AQ110" s="75">
        <v>0</v>
      </c>
      <c r="AR110" s="75">
        <v>0</v>
      </c>
      <c r="AS110" s="75">
        <v>0</v>
      </c>
      <c r="AT110" s="75">
        <v>0</v>
      </c>
      <c r="AU110" s="75">
        <v>0</v>
      </c>
      <c r="AV110" s="75">
        <v>0</v>
      </c>
      <c r="AW110" s="75">
        <v>0</v>
      </c>
      <c r="AX110" s="75">
        <v>0</v>
      </c>
      <c r="AY110" s="75">
        <v>0</v>
      </c>
      <c r="AZ110" s="75">
        <v>0</v>
      </c>
      <c r="BA110" s="75">
        <v>0</v>
      </c>
      <c r="BB110" s="75">
        <v>0</v>
      </c>
      <c r="BC110" s="75">
        <v>0</v>
      </c>
      <c r="BD110" s="75">
        <v>0</v>
      </c>
      <c r="BE110" s="75">
        <v>0</v>
      </c>
      <c r="BF110" s="75">
        <v>0</v>
      </c>
      <c r="BG110" s="75">
        <v>0</v>
      </c>
      <c r="BH110" s="75">
        <v>0</v>
      </c>
      <c r="BI110" s="75">
        <v>0</v>
      </c>
      <c r="BJ110" s="75">
        <v>0</v>
      </c>
      <c r="BK110" s="75">
        <v>0</v>
      </c>
      <c r="BL110" s="75">
        <v>0</v>
      </c>
      <c r="BM110" s="75">
        <v>0</v>
      </c>
      <c r="BN110" s="75">
        <v>0</v>
      </c>
      <c r="BO110" s="75">
        <v>0</v>
      </c>
      <c r="BP110" s="75">
        <v>0</v>
      </c>
      <c r="BQ110" s="75">
        <v>0</v>
      </c>
      <c r="BR110" s="75">
        <v>0</v>
      </c>
      <c r="BS110" s="75">
        <v>0</v>
      </c>
      <c r="BT110" s="75">
        <v>0</v>
      </c>
      <c r="BU110" s="75">
        <v>0</v>
      </c>
      <c r="BV110" s="75">
        <v>0</v>
      </c>
      <c r="BW110" s="75">
        <v>0</v>
      </c>
      <c r="BX110" s="75">
        <v>0</v>
      </c>
      <c r="BY110" s="75">
        <v>0</v>
      </c>
      <c r="BZ110" s="75">
        <v>0</v>
      </c>
      <c r="CA110" s="75">
        <v>0</v>
      </c>
      <c r="CB110" s="75">
        <v>0</v>
      </c>
      <c r="CC110" s="75">
        <v>0</v>
      </c>
      <c r="CD110" s="75">
        <v>0</v>
      </c>
      <c r="CE110" s="75">
        <v>0</v>
      </c>
      <c r="CF110" s="75">
        <v>0</v>
      </c>
      <c r="CG110" s="75">
        <v>0</v>
      </c>
      <c r="CH110" s="75">
        <v>0</v>
      </c>
      <c r="CI110" s="75">
        <v>0</v>
      </c>
      <c r="CJ110" s="75">
        <v>0</v>
      </c>
      <c r="CK110" s="75">
        <v>0</v>
      </c>
      <c r="CL110" s="75">
        <v>0</v>
      </c>
      <c r="CM110" s="75">
        <v>0</v>
      </c>
      <c r="CN110" s="75">
        <v>0</v>
      </c>
      <c r="CO110" s="75">
        <v>0</v>
      </c>
      <c r="CP110" s="75">
        <v>0</v>
      </c>
      <c r="CQ110" s="75">
        <v>0</v>
      </c>
      <c r="CR110" s="75">
        <v>0</v>
      </c>
      <c r="CS110" s="75">
        <v>0</v>
      </c>
      <c r="CT110" s="75">
        <v>0</v>
      </c>
      <c r="CU110" s="75">
        <v>0</v>
      </c>
      <c r="CV110" s="75">
        <v>0</v>
      </c>
      <c r="CW110" s="75">
        <v>0</v>
      </c>
      <c r="CX110" s="75">
        <v>0</v>
      </c>
      <c r="CY110" s="75">
        <v>0</v>
      </c>
      <c r="CZ110" s="75">
        <v>0</v>
      </c>
      <c r="DA110" s="75">
        <v>0</v>
      </c>
      <c r="DB110" s="75">
        <v>0</v>
      </c>
      <c r="DC110" s="75">
        <v>0</v>
      </c>
      <c r="DD110" s="75">
        <v>0</v>
      </c>
      <c r="DE110" s="75">
        <v>0</v>
      </c>
      <c r="DF110" s="75">
        <v>0</v>
      </c>
      <c r="DG110" s="75">
        <v>0</v>
      </c>
      <c r="DH110" s="75">
        <v>0</v>
      </c>
      <c r="DI110" s="75">
        <v>0</v>
      </c>
      <c r="DJ110" s="75">
        <v>0</v>
      </c>
      <c r="DK110" s="75">
        <v>0</v>
      </c>
      <c r="DL110" s="75">
        <v>0</v>
      </c>
    </row>
    <row r="111" spans="1:116" x14ac:dyDescent="0.35">
      <c r="A111" s="7"/>
      <c r="B111" s="92" t="s">
        <v>1321</v>
      </c>
      <c r="C111" s="9" t="s">
        <v>193</v>
      </c>
      <c r="D111" s="10" t="s">
        <v>92</v>
      </c>
      <c r="E111" s="8" t="s">
        <v>1211</v>
      </c>
      <c r="F111" s="10">
        <v>1101</v>
      </c>
      <c r="G111" s="10" t="s">
        <v>92</v>
      </c>
      <c r="H111" s="10" t="s">
        <v>95</v>
      </c>
      <c r="I111" s="11">
        <v>234</v>
      </c>
      <c r="J111" s="10">
        <v>150</v>
      </c>
      <c r="K111" s="10" t="s">
        <v>195</v>
      </c>
      <c r="L111" s="14" t="s">
        <v>196</v>
      </c>
      <c r="M111" s="12">
        <v>0.31900000000000001</v>
      </c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>
        <v>1300</v>
      </c>
      <c r="AC111" s="11">
        <v>1300</v>
      </c>
      <c r="AD111" s="11">
        <v>1300</v>
      </c>
      <c r="AE111" s="11">
        <v>1300</v>
      </c>
      <c r="AF111" s="11">
        <v>234</v>
      </c>
      <c r="AG111" s="11">
        <v>234</v>
      </c>
      <c r="AH111" s="11">
        <v>234</v>
      </c>
      <c r="AI111" s="11">
        <v>234</v>
      </c>
      <c r="AJ111" s="11">
        <v>234</v>
      </c>
      <c r="AK111" s="11">
        <v>234</v>
      </c>
      <c r="AL111" s="11">
        <v>233</v>
      </c>
      <c r="AM111" s="11">
        <v>233</v>
      </c>
      <c r="AN111" s="72">
        <v>233</v>
      </c>
      <c r="AO111" s="72">
        <v>233</v>
      </c>
      <c r="AP111" s="72">
        <v>233</v>
      </c>
      <c r="AQ111" s="72">
        <v>233</v>
      </c>
      <c r="AR111" s="72">
        <v>233</v>
      </c>
      <c r="AS111" s="72">
        <v>233</v>
      </c>
      <c r="AT111" s="72">
        <v>233</v>
      </c>
      <c r="AU111" s="72">
        <v>233</v>
      </c>
      <c r="AV111" s="72">
        <v>233</v>
      </c>
      <c r="AW111" s="72">
        <v>233</v>
      </c>
      <c r="AX111" s="72">
        <v>233</v>
      </c>
      <c r="AY111" s="72">
        <v>233</v>
      </c>
      <c r="AZ111" s="72">
        <v>233</v>
      </c>
      <c r="BA111" s="72">
        <v>233</v>
      </c>
      <c r="BB111" s="72">
        <v>233</v>
      </c>
      <c r="BC111" s="72">
        <v>233</v>
      </c>
      <c r="BD111" s="72">
        <v>233</v>
      </c>
      <c r="BE111" s="72">
        <v>233</v>
      </c>
      <c r="BF111" s="72">
        <v>233</v>
      </c>
      <c r="BG111" s="72">
        <v>233</v>
      </c>
      <c r="BH111" s="72">
        <v>233</v>
      </c>
      <c r="BI111" s="72">
        <v>233</v>
      </c>
      <c r="BJ111" s="72">
        <v>233</v>
      </c>
      <c r="BK111" s="72">
        <v>233</v>
      </c>
      <c r="BL111" s="72">
        <v>233</v>
      </c>
      <c r="BM111" s="72">
        <v>233</v>
      </c>
      <c r="BN111" s="72">
        <v>233</v>
      </c>
      <c r="BO111" s="72">
        <v>233</v>
      </c>
      <c r="BP111" s="72">
        <v>233</v>
      </c>
      <c r="BQ111" s="72">
        <v>233</v>
      </c>
      <c r="BR111" s="72">
        <v>233</v>
      </c>
      <c r="BS111" s="72">
        <v>233</v>
      </c>
      <c r="BT111" s="72">
        <v>233</v>
      </c>
      <c r="BU111" s="72">
        <v>233</v>
      </c>
      <c r="BV111" s="72">
        <v>233</v>
      </c>
      <c r="BW111" s="72">
        <v>233</v>
      </c>
      <c r="BX111" s="72">
        <v>233</v>
      </c>
      <c r="BY111" s="72">
        <v>0</v>
      </c>
      <c r="BZ111" s="72">
        <v>0</v>
      </c>
      <c r="CA111" s="72">
        <v>0</v>
      </c>
      <c r="CB111" s="72">
        <v>0</v>
      </c>
      <c r="CC111" s="72">
        <v>0</v>
      </c>
      <c r="CD111" s="72">
        <v>0</v>
      </c>
      <c r="CE111" s="72">
        <v>0</v>
      </c>
      <c r="CF111" s="72">
        <v>0</v>
      </c>
      <c r="CG111" s="72">
        <v>0</v>
      </c>
      <c r="CH111" s="72">
        <v>0</v>
      </c>
      <c r="CI111" s="72">
        <v>0</v>
      </c>
      <c r="CJ111" s="72">
        <v>0</v>
      </c>
      <c r="CK111" s="72">
        <v>0</v>
      </c>
      <c r="CL111" s="72">
        <v>0</v>
      </c>
      <c r="CM111" s="72">
        <v>0</v>
      </c>
      <c r="CN111" s="72">
        <v>0</v>
      </c>
      <c r="CO111" s="72">
        <v>0</v>
      </c>
      <c r="CP111" s="72">
        <v>0</v>
      </c>
      <c r="CQ111" s="72">
        <v>0</v>
      </c>
      <c r="CR111" s="72">
        <v>0</v>
      </c>
      <c r="CS111" s="72">
        <v>0</v>
      </c>
      <c r="CT111" s="72">
        <v>0</v>
      </c>
      <c r="CU111" s="72">
        <v>0</v>
      </c>
      <c r="CV111" s="72">
        <v>0</v>
      </c>
      <c r="CW111" s="72">
        <v>0</v>
      </c>
      <c r="CX111" s="72">
        <v>0</v>
      </c>
      <c r="CY111" s="72">
        <v>0</v>
      </c>
      <c r="CZ111" s="72">
        <v>0</v>
      </c>
      <c r="DA111" s="72">
        <v>0</v>
      </c>
      <c r="DB111" s="72">
        <v>0</v>
      </c>
      <c r="DC111" s="72">
        <v>0</v>
      </c>
      <c r="DD111" s="72">
        <v>0</v>
      </c>
      <c r="DE111" s="72">
        <v>0</v>
      </c>
      <c r="DF111" s="72">
        <v>0</v>
      </c>
      <c r="DG111" s="72">
        <v>0</v>
      </c>
      <c r="DH111" s="72">
        <v>0</v>
      </c>
      <c r="DI111" s="72">
        <v>0</v>
      </c>
      <c r="DJ111" s="72">
        <v>0</v>
      </c>
      <c r="DK111" s="72">
        <v>0</v>
      </c>
      <c r="DL111" s="72">
        <v>0</v>
      </c>
    </row>
    <row r="112" spans="1:116" ht="26.55" x14ac:dyDescent="0.35">
      <c r="A112" s="7"/>
      <c r="B112" s="26" t="s">
        <v>197</v>
      </c>
      <c r="C112" s="27" t="s">
        <v>198</v>
      </c>
      <c r="D112" s="28" t="s">
        <v>92</v>
      </c>
      <c r="E112" s="26" t="s">
        <v>1213</v>
      </c>
      <c r="F112" s="10">
        <v>1101</v>
      </c>
      <c r="G112" s="28" t="s">
        <v>92</v>
      </c>
      <c r="H112" s="28" t="s">
        <v>41</v>
      </c>
      <c r="I112" s="29">
        <v>1</v>
      </c>
      <c r="J112" s="28">
        <v>3</v>
      </c>
      <c r="K112" s="10" t="s">
        <v>42</v>
      </c>
      <c r="L112" s="14" t="s">
        <v>199</v>
      </c>
      <c r="M112" s="12">
        <v>5.6280000000000001</v>
      </c>
      <c r="N112" s="12">
        <f t="shared" si="1"/>
        <v>0</v>
      </c>
      <c r="O112" s="29">
        <v>31</v>
      </c>
      <c r="P112" s="29">
        <v>31</v>
      </c>
      <c r="Q112" s="29">
        <v>31</v>
      </c>
      <c r="R112" s="29">
        <v>29</v>
      </c>
      <c r="S112" s="29">
        <v>29</v>
      </c>
      <c r="T112" s="29">
        <v>24</v>
      </c>
      <c r="U112" s="29">
        <v>16</v>
      </c>
      <c r="V112" s="29">
        <v>8</v>
      </c>
      <c r="W112" s="29">
        <v>8</v>
      </c>
      <c r="X112" s="29">
        <v>8</v>
      </c>
      <c r="Y112" s="29">
        <v>8</v>
      </c>
      <c r="Z112" s="29">
        <v>6</v>
      </c>
      <c r="AA112" s="29">
        <v>6</v>
      </c>
      <c r="AB112" s="29">
        <v>6</v>
      </c>
      <c r="AC112" s="29">
        <v>2</v>
      </c>
      <c r="AD112" s="29">
        <v>2</v>
      </c>
      <c r="AE112" s="29">
        <v>2</v>
      </c>
      <c r="AF112" s="29">
        <v>1</v>
      </c>
      <c r="AG112" s="29">
        <v>1</v>
      </c>
      <c r="AH112" s="29">
        <v>1</v>
      </c>
      <c r="AI112" s="29">
        <v>1</v>
      </c>
      <c r="AJ112" s="29">
        <v>1</v>
      </c>
      <c r="AK112" s="29">
        <v>1</v>
      </c>
      <c r="AL112" s="29">
        <v>0</v>
      </c>
      <c r="AM112" s="29">
        <v>0</v>
      </c>
      <c r="AN112" s="75">
        <v>0</v>
      </c>
      <c r="AO112" s="75">
        <v>1</v>
      </c>
      <c r="AP112" s="75">
        <v>1</v>
      </c>
      <c r="AQ112" s="75">
        <v>1</v>
      </c>
      <c r="AR112" s="75">
        <v>1</v>
      </c>
      <c r="AS112" s="75">
        <v>1</v>
      </c>
      <c r="AT112" s="75">
        <v>1</v>
      </c>
      <c r="AU112" s="75">
        <v>1</v>
      </c>
      <c r="AV112" s="75">
        <v>1</v>
      </c>
      <c r="AW112" s="75">
        <v>1</v>
      </c>
      <c r="AX112" s="75">
        <v>1</v>
      </c>
      <c r="AY112" s="75">
        <v>1</v>
      </c>
      <c r="AZ112" s="75">
        <v>1</v>
      </c>
      <c r="BA112" s="75">
        <v>1</v>
      </c>
      <c r="BB112" s="75">
        <v>1</v>
      </c>
      <c r="BC112" s="75">
        <v>1</v>
      </c>
      <c r="BD112" s="75">
        <v>1</v>
      </c>
      <c r="BE112" s="75">
        <v>1</v>
      </c>
      <c r="BF112" s="75">
        <v>1</v>
      </c>
      <c r="BG112" s="75">
        <v>1</v>
      </c>
      <c r="BH112" s="75">
        <v>1</v>
      </c>
      <c r="BI112" s="75">
        <v>1</v>
      </c>
      <c r="BJ112" s="75">
        <v>1</v>
      </c>
      <c r="BK112" s="75">
        <v>1</v>
      </c>
      <c r="BL112" s="75">
        <v>1</v>
      </c>
      <c r="BM112" s="75">
        <v>1</v>
      </c>
      <c r="BN112" s="75">
        <v>1</v>
      </c>
      <c r="BO112" s="75">
        <v>1</v>
      </c>
      <c r="BP112" s="75">
        <v>1</v>
      </c>
      <c r="BQ112" s="75">
        <v>1</v>
      </c>
      <c r="BR112" s="75">
        <v>1</v>
      </c>
      <c r="BS112" s="75">
        <v>1</v>
      </c>
      <c r="BT112" s="75">
        <v>1</v>
      </c>
      <c r="BU112" s="75">
        <v>1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</row>
    <row r="113" spans="1:116" x14ac:dyDescent="0.35">
      <c r="A113" s="7"/>
      <c r="B113" s="26" t="s">
        <v>1397</v>
      </c>
      <c r="C113" s="27" t="s">
        <v>198</v>
      </c>
      <c r="D113" s="28" t="s">
        <v>92</v>
      </c>
      <c r="E113" s="26" t="s">
        <v>1213</v>
      </c>
      <c r="F113" s="10"/>
      <c r="G113" s="28"/>
      <c r="H113" s="28" t="s">
        <v>41</v>
      </c>
      <c r="I113" s="29"/>
      <c r="J113" s="28"/>
      <c r="K113" s="10"/>
      <c r="L113" s="14"/>
      <c r="M113" s="12">
        <v>5.6280000000000001</v>
      </c>
      <c r="N113" s="12">
        <f t="shared" si="1"/>
        <v>11.256</v>
      </c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>
        <v>2</v>
      </c>
      <c r="BY113" s="75">
        <v>0</v>
      </c>
      <c r="BZ113" s="75">
        <v>0</v>
      </c>
      <c r="CA113" s="75">
        <v>0</v>
      </c>
      <c r="CB113" s="75">
        <v>0</v>
      </c>
      <c r="CC113" s="75">
        <v>2</v>
      </c>
      <c r="CD113" s="75">
        <v>2</v>
      </c>
      <c r="CE113" s="75">
        <v>2</v>
      </c>
      <c r="CF113" s="75">
        <v>2</v>
      </c>
      <c r="CG113" s="75">
        <v>2</v>
      </c>
      <c r="CH113" s="75">
        <v>2</v>
      </c>
      <c r="CI113" s="75">
        <v>2</v>
      </c>
      <c r="CJ113" s="75">
        <v>2</v>
      </c>
      <c r="CK113" s="75">
        <v>2</v>
      </c>
      <c r="CL113" s="75">
        <v>2</v>
      </c>
      <c r="CM113" s="75">
        <v>2</v>
      </c>
      <c r="CN113" s="75">
        <v>2</v>
      </c>
      <c r="CO113" s="75">
        <v>2</v>
      </c>
      <c r="CP113" s="75">
        <v>2</v>
      </c>
      <c r="CQ113" s="75">
        <v>2</v>
      </c>
      <c r="CR113" s="75">
        <v>2</v>
      </c>
      <c r="CS113" s="75">
        <v>2</v>
      </c>
      <c r="CT113" s="75">
        <v>2</v>
      </c>
      <c r="CU113" s="75">
        <v>2</v>
      </c>
      <c r="CV113" s="75">
        <v>2</v>
      </c>
      <c r="CW113" s="75">
        <v>2</v>
      </c>
      <c r="CX113" s="75">
        <v>2</v>
      </c>
      <c r="CY113" s="75">
        <v>2</v>
      </c>
      <c r="CZ113" s="75">
        <v>2</v>
      </c>
      <c r="DA113" s="75">
        <v>2</v>
      </c>
      <c r="DB113" s="75">
        <v>2</v>
      </c>
      <c r="DC113" s="75">
        <v>2</v>
      </c>
      <c r="DD113" s="75">
        <v>2</v>
      </c>
      <c r="DE113" s="75">
        <v>2</v>
      </c>
      <c r="DF113" s="75">
        <v>2</v>
      </c>
      <c r="DG113" s="75">
        <v>2</v>
      </c>
      <c r="DH113" s="75">
        <v>2</v>
      </c>
      <c r="DI113" s="75">
        <v>2</v>
      </c>
      <c r="DJ113" s="75">
        <v>2</v>
      </c>
      <c r="DK113" s="75">
        <v>2</v>
      </c>
      <c r="DL113" s="75">
        <v>2</v>
      </c>
    </row>
    <row r="114" spans="1:116" x14ac:dyDescent="0.35">
      <c r="A114" s="7"/>
      <c r="B114" s="8" t="s">
        <v>200</v>
      </c>
      <c r="C114" s="9" t="s">
        <v>201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0</v>
      </c>
      <c r="J114" s="10"/>
      <c r="K114" s="10" t="s">
        <v>42</v>
      </c>
      <c r="L114" s="8"/>
      <c r="M114" s="12">
        <v>7.02</v>
      </c>
      <c r="N114" s="12">
        <f t="shared" si="1"/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  <c r="T114" s="11">
        <v>0</v>
      </c>
      <c r="U114" s="11">
        <v>0</v>
      </c>
      <c r="V114" s="11">
        <v>0</v>
      </c>
      <c r="W114" s="11">
        <v>0</v>
      </c>
      <c r="X114" s="11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0</v>
      </c>
      <c r="AG114" s="11">
        <v>0</v>
      </c>
      <c r="AH114" s="11">
        <v>0</v>
      </c>
      <c r="AI114" s="11">
        <v>0</v>
      </c>
      <c r="AJ114" s="11">
        <v>0</v>
      </c>
      <c r="AK114" s="11">
        <v>0</v>
      </c>
      <c r="AL114" s="11">
        <v>0</v>
      </c>
      <c r="AM114" s="11">
        <v>0</v>
      </c>
      <c r="AN114" s="72">
        <v>0</v>
      </c>
      <c r="AO114" s="72">
        <v>0</v>
      </c>
      <c r="AP114" s="72">
        <v>0</v>
      </c>
      <c r="AQ114" s="72">
        <v>0</v>
      </c>
      <c r="AR114" s="72">
        <v>0</v>
      </c>
      <c r="AS114" s="72">
        <v>0</v>
      </c>
      <c r="AT114" s="72">
        <v>0</v>
      </c>
      <c r="AU114" s="72">
        <v>0</v>
      </c>
      <c r="AV114" s="72">
        <v>0</v>
      </c>
      <c r="AW114" s="72">
        <v>0</v>
      </c>
      <c r="AX114" s="72">
        <v>0</v>
      </c>
      <c r="AY114" s="72">
        <v>0</v>
      </c>
      <c r="AZ114" s="72">
        <v>0</v>
      </c>
      <c r="BA114" s="72">
        <v>0</v>
      </c>
      <c r="BB114" s="72">
        <v>0</v>
      </c>
      <c r="BC114" s="72">
        <v>0</v>
      </c>
      <c r="BD114" s="72">
        <v>0</v>
      </c>
      <c r="BE114" s="72">
        <v>0</v>
      </c>
      <c r="BF114" s="72">
        <v>0</v>
      </c>
      <c r="BG114" s="72">
        <v>0</v>
      </c>
      <c r="BH114" s="72">
        <v>0</v>
      </c>
      <c r="BI114" s="72">
        <v>0</v>
      </c>
      <c r="BJ114" s="72">
        <v>0</v>
      </c>
      <c r="BK114" s="72">
        <v>0</v>
      </c>
      <c r="BL114" s="72">
        <v>0</v>
      </c>
      <c r="BM114" s="72">
        <v>0</v>
      </c>
      <c r="BN114" s="72">
        <v>0</v>
      </c>
      <c r="BO114" s="72">
        <v>0</v>
      </c>
      <c r="BP114" s="72">
        <v>0</v>
      </c>
      <c r="BQ114" s="72">
        <v>0</v>
      </c>
      <c r="BR114" s="72">
        <v>0</v>
      </c>
      <c r="BS114" s="72">
        <v>0</v>
      </c>
      <c r="BT114" s="72">
        <v>0</v>
      </c>
      <c r="BU114" s="72">
        <v>0</v>
      </c>
      <c r="BV114" s="72">
        <v>0</v>
      </c>
      <c r="BW114" s="72">
        <v>0</v>
      </c>
      <c r="BX114" s="72">
        <v>0</v>
      </c>
      <c r="BY114" s="72">
        <v>0</v>
      </c>
      <c r="BZ114" s="72">
        <v>0</v>
      </c>
      <c r="CA114" s="72">
        <v>0</v>
      </c>
      <c r="CB114" s="72">
        <v>0</v>
      </c>
      <c r="CC114" s="72">
        <v>0</v>
      </c>
      <c r="CD114" s="72">
        <v>0</v>
      </c>
      <c r="CE114" s="72">
        <v>0</v>
      </c>
      <c r="CF114" s="72">
        <v>0</v>
      </c>
      <c r="CG114" s="72">
        <v>0</v>
      </c>
      <c r="CH114" s="72">
        <v>0</v>
      </c>
      <c r="CI114" s="72">
        <v>0</v>
      </c>
      <c r="CJ114" s="72">
        <v>0</v>
      </c>
      <c r="CK114" s="72">
        <v>0</v>
      </c>
      <c r="CL114" s="72">
        <v>0</v>
      </c>
      <c r="CM114" s="72">
        <v>0</v>
      </c>
      <c r="CN114" s="72">
        <v>0</v>
      </c>
      <c r="CO114" s="72">
        <v>0</v>
      </c>
      <c r="CP114" s="72">
        <v>0</v>
      </c>
      <c r="CQ114" s="72">
        <v>0</v>
      </c>
      <c r="CR114" s="72">
        <v>0</v>
      </c>
      <c r="CS114" s="72">
        <v>0</v>
      </c>
      <c r="CT114" s="72">
        <v>0</v>
      </c>
      <c r="CU114" s="72">
        <v>0</v>
      </c>
      <c r="CV114" s="72">
        <v>0</v>
      </c>
      <c r="CW114" s="72">
        <v>0</v>
      </c>
      <c r="CX114" s="72">
        <v>0</v>
      </c>
      <c r="CY114" s="72">
        <v>0</v>
      </c>
      <c r="CZ114" s="72">
        <v>0</v>
      </c>
      <c r="DA114" s="72">
        <v>0</v>
      </c>
      <c r="DB114" s="72">
        <v>0</v>
      </c>
      <c r="DC114" s="72">
        <v>0</v>
      </c>
      <c r="DD114" s="72">
        <v>0</v>
      </c>
      <c r="DE114" s="72">
        <v>0</v>
      </c>
      <c r="DF114" s="72">
        <v>0</v>
      </c>
      <c r="DG114" s="72">
        <v>0</v>
      </c>
      <c r="DH114" s="72">
        <v>0</v>
      </c>
      <c r="DI114" s="72">
        <v>0</v>
      </c>
      <c r="DJ114" s="72">
        <v>0</v>
      </c>
      <c r="DK114" s="72">
        <v>0</v>
      </c>
      <c r="DL114" s="72">
        <v>0</v>
      </c>
    </row>
    <row r="115" spans="1:116" x14ac:dyDescent="0.35">
      <c r="A115" s="7"/>
      <c r="B115" s="8" t="s">
        <v>202</v>
      </c>
      <c r="C115" s="9" t="s">
        <v>203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289</v>
      </c>
      <c r="J115" s="10"/>
      <c r="K115" s="10" t="s">
        <v>42</v>
      </c>
      <c r="L115" s="8"/>
      <c r="M115" s="12">
        <v>11.88</v>
      </c>
      <c r="N115" s="12">
        <f t="shared" si="1"/>
        <v>3421.44</v>
      </c>
      <c r="O115" s="11">
        <v>289</v>
      </c>
      <c r="P115" s="11">
        <v>289</v>
      </c>
      <c r="Q115" s="11">
        <v>289</v>
      </c>
      <c r="R115" s="11">
        <v>289</v>
      </c>
      <c r="S115" s="11">
        <v>289</v>
      </c>
      <c r="T115" s="11">
        <v>289</v>
      </c>
      <c r="U115" s="11">
        <v>289</v>
      </c>
      <c r="V115" s="11">
        <v>289</v>
      </c>
      <c r="W115" s="11">
        <v>289</v>
      </c>
      <c r="X115" s="11">
        <v>289</v>
      </c>
      <c r="Y115" s="11">
        <v>289</v>
      </c>
      <c r="Z115" s="11">
        <v>289</v>
      </c>
      <c r="AA115" s="11">
        <v>289</v>
      </c>
      <c r="AB115" s="11">
        <v>289</v>
      </c>
      <c r="AC115" s="11">
        <v>289</v>
      </c>
      <c r="AD115" s="11">
        <v>289</v>
      </c>
      <c r="AE115" s="11">
        <v>289</v>
      </c>
      <c r="AF115" s="11">
        <v>289</v>
      </c>
      <c r="AG115" s="11">
        <v>289</v>
      </c>
      <c r="AH115" s="11">
        <v>289</v>
      </c>
      <c r="AI115" s="11">
        <v>289</v>
      </c>
      <c r="AJ115" s="11">
        <v>289</v>
      </c>
      <c r="AK115" s="11">
        <v>289</v>
      </c>
      <c r="AL115" s="11">
        <v>289</v>
      </c>
      <c r="AM115" s="11">
        <v>289</v>
      </c>
      <c r="AN115" s="72">
        <v>289</v>
      </c>
      <c r="AO115" s="72">
        <v>289</v>
      </c>
      <c r="AP115" s="72">
        <v>289</v>
      </c>
      <c r="AQ115" s="72">
        <v>289</v>
      </c>
      <c r="AR115" s="72">
        <v>289</v>
      </c>
      <c r="AS115" s="72">
        <v>289</v>
      </c>
      <c r="AT115" s="72">
        <v>289</v>
      </c>
      <c r="AU115" s="72">
        <v>289</v>
      </c>
      <c r="AV115" s="72">
        <v>289</v>
      </c>
      <c r="AW115" s="72">
        <v>289</v>
      </c>
      <c r="AX115" s="72">
        <v>289</v>
      </c>
      <c r="AY115" s="72">
        <v>289</v>
      </c>
      <c r="AZ115" s="72">
        <v>289</v>
      </c>
      <c r="BA115" s="72">
        <v>289</v>
      </c>
      <c r="BB115" s="72">
        <v>289</v>
      </c>
      <c r="BC115" s="72">
        <v>289</v>
      </c>
      <c r="BD115" s="72">
        <v>289</v>
      </c>
      <c r="BE115" s="72">
        <v>289</v>
      </c>
      <c r="BF115" s="72">
        <v>289</v>
      </c>
      <c r="BG115" s="72">
        <v>289</v>
      </c>
      <c r="BH115" s="72">
        <v>289</v>
      </c>
      <c r="BI115" s="72">
        <v>289</v>
      </c>
      <c r="BJ115" s="72">
        <v>289</v>
      </c>
      <c r="BK115" s="72">
        <v>289</v>
      </c>
      <c r="BL115" s="72">
        <v>289</v>
      </c>
      <c r="BM115" s="72">
        <v>289</v>
      </c>
      <c r="BN115" s="72">
        <v>289</v>
      </c>
      <c r="BO115" s="72">
        <v>289</v>
      </c>
      <c r="BP115" s="72">
        <v>289</v>
      </c>
      <c r="BQ115" s="72">
        <v>289</v>
      </c>
      <c r="BR115" s="72">
        <v>289</v>
      </c>
      <c r="BS115" s="72">
        <v>289</v>
      </c>
      <c r="BT115" s="72">
        <v>289</v>
      </c>
      <c r="BU115" s="72">
        <v>289</v>
      </c>
      <c r="BV115" s="72">
        <v>288</v>
      </c>
      <c r="BW115" s="72">
        <v>288</v>
      </c>
      <c r="BX115" s="72">
        <v>288</v>
      </c>
      <c r="BY115" s="72">
        <v>288</v>
      </c>
      <c r="BZ115" s="72">
        <v>288</v>
      </c>
      <c r="CA115" s="72">
        <v>288</v>
      </c>
      <c r="CB115" s="72">
        <v>288</v>
      </c>
      <c r="CC115" s="72">
        <v>288</v>
      </c>
      <c r="CD115" s="72">
        <v>288</v>
      </c>
      <c r="CE115" s="72">
        <v>288</v>
      </c>
      <c r="CF115" s="72">
        <v>289</v>
      </c>
      <c r="CG115" s="72">
        <v>289</v>
      </c>
      <c r="CH115" s="72">
        <v>289</v>
      </c>
      <c r="CI115" s="72">
        <v>289</v>
      </c>
      <c r="CJ115" s="72">
        <v>289</v>
      </c>
      <c r="CK115" s="72">
        <v>289</v>
      </c>
      <c r="CL115" s="72">
        <v>289</v>
      </c>
      <c r="CM115" s="72">
        <v>289</v>
      </c>
      <c r="CN115" s="72">
        <v>289</v>
      </c>
      <c r="CO115" s="72">
        <v>289</v>
      </c>
      <c r="CP115" s="72">
        <v>289</v>
      </c>
      <c r="CQ115" s="72">
        <v>289</v>
      </c>
      <c r="CR115" s="72">
        <v>289</v>
      </c>
      <c r="CS115" s="72">
        <v>289</v>
      </c>
      <c r="CT115" s="72">
        <v>289</v>
      </c>
      <c r="CU115" s="72">
        <v>289</v>
      </c>
      <c r="CV115" s="72">
        <v>289</v>
      </c>
      <c r="CW115" s="72">
        <v>289</v>
      </c>
      <c r="CX115" s="72">
        <v>289</v>
      </c>
      <c r="CY115" s="72">
        <v>289</v>
      </c>
      <c r="CZ115" s="72">
        <v>289</v>
      </c>
      <c r="DA115" s="72">
        <v>289</v>
      </c>
      <c r="DB115" s="72">
        <v>289</v>
      </c>
      <c r="DC115" s="72">
        <v>289</v>
      </c>
      <c r="DD115" s="72">
        <v>289</v>
      </c>
      <c r="DE115" s="72">
        <v>289</v>
      </c>
      <c r="DF115" s="72">
        <v>289</v>
      </c>
      <c r="DG115" s="72">
        <v>289</v>
      </c>
      <c r="DH115" s="72">
        <v>289</v>
      </c>
      <c r="DI115" s="72">
        <v>289</v>
      </c>
      <c r="DJ115" s="72">
        <v>288</v>
      </c>
      <c r="DK115" s="72">
        <v>288</v>
      </c>
      <c r="DL115" s="72">
        <v>288</v>
      </c>
    </row>
    <row r="116" spans="1:116" x14ac:dyDescent="0.35">
      <c r="A116" s="7"/>
      <c r="B116" s="8" t="s">
        <v>204</v>
      </c>
      <c r="C116" s="9" t="s">
        <v>205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75</v>
      </c>
      <c r="J116" s="10">
        <v>2</v>
      </c>
      <c r="K116" s="10" t="s">
        <v>42</v>
      </c>
      <c r="L116" s="8" t="s">
        <v>206</v>
      </c>
      <c r="M116" s="12">
        <v>10.199999999999999</v>
      </c>
      <c r="N116" s="12">
        <f t="shared" si="1"/>
        <v>663</v>
      </c>
      <c r="O116" s="11">
        <v>77</v>
      </c>
      <c r="P116" s="11">
        <v>77</v>
      </c>
      <c r="Q116" s="11">
        <v>77</v>
      </c>
      <c r="R116" s="11">
        <v>75</v>
      </c>
      <c r="S116" s="11">
        <v>75</v>
      </c>
      <c r="T116" s="11">
        <v>75</v>
      </c>
      <c r="U116" s="11">
        <v>75</v>
      </c>
      <c r="V116" s="11">
        <v>75</v>
      </c>
      <c r="W116" s="11">
        <v>75</v>
      </c>
      <c r="X116" s="11">
        <v>75</v>
      </c>
      <c r="Y116" s="11">
        <v>75</v>
      </c>
      <c r="Z116" s="11">
        <v>75</v>
      </c>
      <c r="AA116" s="11">
        <v>75</v>
      </c>
      <c r="AB116" s="11">
        <v>75</v>
      </c>
      <c r="AC116" s="11">
        <v>75</v>
      </c>
      <c r="AD116" s="11">
        <v>75</v>
      </c>
      <c r="AE116" s="11">
        <v>75</v>
      </c>
      <c r="AF116" s="11">
        <v>75</v>
      </c>
      <c r="AG116" s="11">
        <v>75</v>
      </c>
      <c r="AH116" s="11">
        <v>75</v>
      </c>
      <c r="AI116" s="11">
        <v>75</v>
      </c>
      <c r="AJ116" s="11">
        <v>75</v>
      </c>
      <c r="AK116" s="11">
        <v>75</v>
      </c>
      <c r="AL116" s="11">
        <v>74</v>
      </c>
      <c r="AM116" s="11">
        <v>74</v>
      </c>
      <c r="AN116" s="72">
        <v>74</v>
      </c>
      <c r="AO116" s="72">
        <v>74</v>
      </c>
      <c r="AP116" s="72">
        <v>74</v>
      </c>
      <c r="AQ116" s="72">
        <v>74</v>
      </c>
      <c r="AR116" s="72">
        <v>74</v>
      </c>
      <c r="AS116" s="72">
        <v>74</v>
      </c>
      <c r="AT116" s="72">
        <v>74</v>
      </c>
      <c r="AU116" s="72">
        <v>73</v>
      </c>
      <c r="AV116" s="72">
        <v>73</v>
      </c>
      <c r="AW116" s="72">
        <v>72</v>
      </c>
      <c r="AX116" s="72">
        <v>72</v>
      </c>
      <c r="AY116" s="72">
        <v>72</v>
      </c>
      <c r="AZ116" s="72">
        <v>72</v>
      </c>
      <c r="BA116" s="72">
        <v>72</v>
      </c>
      <c r="BB116" s="72">
        <v>72</v>
      </c>
      <c r="BC116" s="72">
        <v>72</v>
      </c>
      <c r="BD116" s="72">
        <v>72</v>
      </c>
      <c r="BE116" s="72">
        <v>72</v>
      </c>
      <c r="BF116" s="72">
        <v>72</v>
      </c>
      <c r="BG116" s="72">
        <v>72</v>
      </c>
      <c r="BH116" s="72">
        <v>46</v>
      </c>
      <c r="BI116" s="72">
        <v>46</v>
      </c>
      <c r="BJ116" s="72">
        <v>46</v>
      </c>
      <c r="BK116" s="72">
        <v>46</v>
      </c>
      <c r="BL116" s="72">
        <v>46</v>
      </c>
      <c r="BM116" s="72">
        <v>46</v>
      </c>
      <c r="BN116" s="72">
        <v>41</v>
      </c>
      <c r="BO116" s="72">
        <v>41</v>
      </c>
      <c r="BP116" s="72">
        <v>45</v>
      </c>
      <c r="BQ116" s="72">
        <v>62</v>
      </c>
      <c r="BR116" s="72">
        <v>62</v>
      </c>
      <c r="BS116" s="72">
        <v>62</v>
      </c>
      <c r="BT116" s="72">
        <v>62</v>
      </c>
      <c r="BU116" s="72">
        <v>62</v>
      </c>
      <c r="BV116" s="72">
        <v>59</v>
      </c>
      <c r="BW116" s="72">
        <v>59</v>
      </c>
      <c r="BX116" s="72">
        <v>59</v>
      </c>
      <c r="BY116" s="72">
        <v>59</v>
      </c>
      <c r="BZ116" s="72">
        <v>59</v>
      </c>
      <c r="CA116" s="72">
        <v>59</v>
      </c>
      <c r="CB116" s="72">
        <v>59</v>
      </c>
      <c r="CC116" s="72">
        <v>59</v>
      </c>
      <c r="CD116" s="72">
        <v>59</v>
      </c>
      <c r="CE116" s="72">
        <v>59</v>
      </c>
      <c r="CF116" s="72">
        <v>65</v>
      </c>
      <c r="CG116" s="72">
        <v>65</v>
      </c>
      <c r="CH116" s="72">
        <v>65</v>
      </c>
      <c r="CI116" s="72">
        <v>65</v>
      </c>
      <c r="CJ116" s="72">
        <v>65</v>
      </c>
      <c r="CK116" s="72">
        <v>65</v>
      </c>
      <c r="CL116" s="72">
        <v>65</v>
      </c>
      <c r="CM116" s="72">
        <v>65</v>
      </c>
      <c r="CN116" s="72">
        <v>65</v>
      </c>
      <c r="CO116" s="72">
        <v>65</v>
      </c>
      <c r="CP116" s="72">
        <v>65</v>
      </c>
      <c r="CQ116" s="72">
        <v>65</v>
      </c>
      <c r="CR116" s="72">
        <v>65</v>
      </c>
      <c r="CS116" s="72">
        <v>65</v>
      </c>
      <c r="CT116" s="72">
        <v>65</v>
      </c>
      <c r="CU116" s="72">
        <v>65</v>
      </c>
      <c r="CV116" s="72">
        <v>65</v>
      </c>
      <c r="CW116" s="72">
        <v>65</v>
      </c>
      <c r="CX116" s="72">
        <v>65</v>
      </c>
      <c r="CY116" s="72">
        <v>65</v>
      </c>
      <c r="CZ116" s="72">
        <v>65</v>
      </c>
      <c r="DA116" s="72">
        <v>65</v>
      </c>
      <c r="DB116" s="72">
        <v>65</v>
      </c>
      <c r="DC116" s="72">
        <v>65</v>
      </c>
      <c r="DD116" s="72">
        <v>65</v>
      </c>
      <c r="DE116" s="72">
        <v>65</v>
      </c>
      <c r="DF116" s="72">
        <v>65</v>
      </c>
      <c r="DG116" s="72">
        <v>65</v>
      </c>
      <c r="DH116" s="72">
        <v>65</v>
      </c>
      <c r="DI116" s="72">
        <v>65</v>
      </c>
      <c r="DJ116" s="72">
        <v>65</v>
      </c>
      <c r="DK116" s="72">
        <v>65</v>
      </c>
      <c r="DL116" s="72">
        <v>65</v>
      </c>
    </row>
    <row r="117" spans="1:116" x14ac:dyDescent="0.35">
      <c r="A117" s="7"/>
      <c r="B117" s="8" t="s">
        <v>207</v>
      </c>
      <c r="C117" s="9" t="s">
        <v>208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79</v>
      </c>
      <c r="J117" s="10">
        <v>2</v>
      </c>
      <c r="K117" s="10" t="s">
        <v>42</v>
      </c>
      <c r="L117" s="8" t="s">
        <v>206</v>
      </c>
      <c r="M117" s="12">
        <v>13.8</v>
      </c>
      <c r="N117" s="12">
        <f t="shared" si="1"/>
        <v>1104</v>
      </c>
      <c r="O117" s="11">
        <v>81</v>
      </c>
      <c r="P117" s="11">
        <v>81</v>
      </c>
      <c r="Q117" s="11">
        <v>81</v>
      </c>
      <c r="R117" s="11">
        <v>79</v>
      </c>
      <c r="S117" s="11">
        <v>79</v>
      </c>
      <c r="T117" s="11">
        <v>79</v>
      </c>
      <c r="U117" s="11">
        <v>79</v>
      </c>
      <c r="V117" s="11">
        <v>79</v>
      </c>
      <c r="W117" s="11">
        <v>79</v>
      </c>
      <c r="X117" s="11">
        <v>79</v>
      </c>
      <c r="Y117" s="11">
        <v>79</v>
      </c>
      <c r="Z117" s="11">
        <v>79</v>
      </c>
      <c r="AA117" s="11">
        <v>79</v>
      </c>
      <c r="AB117" s="11">
        <v>79</v>
      </c>
      <c r="AC117" s="11">
        <v>79</v>
      </c>
      <c r="AD117" s="11">
        <v>79</v>
      </c>
      <c r="AE117" s="11">
        <v>79</v>
      </c>
      <c r="AF117" s="11">
        <v>79</v>
      </c>
      <c r="AG117" s="11">
        <v>79</v>
      </c>
      <c r="AH117" s="11">
        <v>79</v>
      </c>
      <c r="AI117" s="11">
        <v>79</v>
      </c>
      <c r="AJ117" s="11">
        <v>79</v>
      </c>
      <c r="AK117" s="11">
        <v>79</v>
      </c>
      <c r="AL117" s="11">
        <v>78</v>
      </c>
      <c r="AM117" s="11">
        <v>78</v>
      </c>
      <c r="AN117" s="72">
        <v>78</v>
      </c>
      <c r="AO117" s="72">
        <v>78</v>
      </c>
      <c r="AP117" s="72">
        <v>78</v>
      </c>
      <c r="AQ117" s="72">
        <v>78</v>
      </c>
      <c r="AR117" s="72">
        <v>78</v>
      </c>
      <c r="AS117" s="72">
        <v>78</v>
      </c>
      <c r="AT117" s="72">
        <v>78</v>
      </c>
      <c r="AU117" s="72">
        <v>78</v>
      </c>
      <c r="AV117" s="72">
        <v>78</v>
      </c>
      <c r="AW117" s="72">
        <v>78</v>
      </c>
      <c r="AX117" s="72">
        <v>78</v>
      </c>
      <c r="AY117" s="72">
        <v>78</v>
      </c>
      <c r="AZ117" s="72">
        <v>78</v>
      </c>
      <c r="BA117" s="72">
        <v>78</v>
      </c>
      <c r="BB117" s="72">
        <v>78</v>
      </c>
      <c r="BC117" s="72">
        <v>78</v>
      </c>
      <c r="BD117" s="72">
        <v>78</v>
      </c>
      <c r="BE117" s="72">
        <v>78</v>
      </c>
      <c r="BF117" s="72">
        <v>78</v>
      </c>
      <c r="BG117" s="72">
        <v>78</v>
      </c>
      <c r="BH117" s="72">
        <v>78</v>
      </c>
      <c r="BI117" s="72">
        <v>78</v>
      </c>
      <c r="BJ117" s="72">
        <v>78</v>
      </c>
      <c r="BK117" s="72">
        <v>78</v>
      </c>
      <c r="BL117" s="72">
        <v>78</v>
      </c>
      <c r="BM117" s="72">
        <v>78</v>
      </c>
      <c r="BN117" s="72">
        <v>78</v>
      </c>
      <c r="BO117" s="72">
        <v>78</v>
      </c>
      <c r="BP117" s="72">
        <v>78</v>
      </c>
      <c r="BQ117" s="72">
        <v>78</v>
      </c>
      <c r="BR117" s="72">
        <v>78</v>
      </c>
      <c r="BS117" s="72">
        <v>78</v>
      </c>
      <c r="BT117" s="72">
        <v>78</v>
      </c>
      <c r="BU117" s="72">
        <v>78</v>
      </c>
      <c r="BV117" s="72">
        <v>78</v>
      </c>
      <c r="BW117" s="72">
        <v>78</v>
      </c>
      <c r="BX117" s="72">
        <v>78</v>
      </c>
      <c r="BY117" s="72">
        <v>78</v>
      </c>
      <c r="BZ117" s="72">
        <v>78</v>
      </c>
      <c r="CA117" s="72">
        <v>78</v>
      </c>
      <c r="CB117" s="72">
        <v>78</v>
      </c>
      <c r="CC117" s="72">
        <v>78</v>
      </c>
      <c r="CD117" s="72">
        <v>78</v>
      </c>
      <c r="CE117" s="72">
        <v>78</v>
      </c>
      <c r="CF117" s="72">
        <v>80</v>
      </c>
      <c r="CG117" s="72">
        <v>80</v>
      </c>
      <c r="CH117" s="72">
        <v>80</v>
      </c>
      <c r="CI117" s="72">
        <v>80</v>
      </c>
      <c r="CJ117" s="72">
        <v>80</v>
      </c>
      <c r="CK117" s="72">
        <v>80</v>
      </c>
      <c r="CL117" s="72">
        <v>80</v>
      </c>
      <c r="CM117" s="72">
        <v>80</v>
      </c>
      <c r="CN117" s="72">
        <v>80</v>
      </c>
      <c r="CO117" s="72">
        <v>80</v>
      </c>
      <c r="CP117" s="72">
        <v>80</v>
      </c>
      <c r="CQ117" s="72">
        <v>80</v>
      </c>
      <c r="CR117" s="72">
        <v>80</v>
      </c>
      <c r="CS117" s="72">
        <v>80</v>
      </c>
      <c r="CT117" s="72">
        <v>80</v>
      </c>
      <c r="CU117" s="72">
        <v>80</v>
      </c>
      <c r="CV117" s="72">
        <v>80</v>
      </c>
      <c r="CW117" s="72">
        <v>80</v>
      </c>
      <c r="CX117" s="72">
        <v>80</v>
      </c>
      <c r="CY117" s="72">
        <v>80</v>
      </c>
      <c r="CZ117" s="72">
        <v>80</v>
      </c>
      <c r="DA117" s="72">
        <v>80</v>
      </c>
      <c r="DB117" s="72">
        <v>80</v>
      </c>
      <c r="DC117" s="72">
        <v>80</v>
      </c>
      <c r="DD117" s="72">
        <v>80</v>
      </c>
      <c r="DE117" s="72">
        <v>80</v>
      </c>
      <c r="DF117" s="72">
        <v>80</v>
      </c>
      <c r="DG117" s="72">
        <v>80</v>
      </c>
      <c r="DH117" s="72">
        <v>80</v>
      </c>
      <c r="DI117" s="72">
        <v>80</v>
      </c>
      <c r="DJ117" s="72">
        <v>80</v>
      </c>
      <c r="DK117" s="72">
        <v>80</v>
      </c>
      <c r="DL117" s="72">
        <v>80</v>
      </c>
    </row>
    <row r="118" spans="1:116" ht="26.55" x14ac:dyDescent="0.35">
      <c r="A118" s="7"/>
      <c r="B118" s="8" t="s">
        <v>209</v>
      </c>
      <c r="C118" s="9" t="s">
        <v>210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68</v>
      </c>
      <c r="J118" s="10">
        <v>2</v>
      </c>
      <c r="K118" s="10" t="s">
        <v>42</v>
      </c>
      <c r="L118" s="14" t="s">
        <v>211</v>
      </c>
      <c r="M118" s="12">
        <v>6.66</v>
      </c>
      <c r="N118" s="12">
        <f t="shared" si="1"/>
        <v>0</v>
      </c>
      <c r="O118" s="11">
        <v>74</v>
      </c>
      <c r="P118" s="11">
        <v>74</v>
      </c>
      <c r="Q118" s="11">
        <v>74</v>
      </c>
      <c r="R118" s="11">
        <v>68</v>
      </c>
      <c r="S118" s="11">
        <v>68</v>
      </c>
      <c r="T118" s="11">
        <v>68</v>
      </c>
      <c r="U118" s="11">
        <v>68</v>
      </c>
      <c r="V118" s="11">
        <v>68</v>
      </c>
      <c r="W118" s="11">
        <v>68</v>
      </c>
      <c r="X118" s="11">
        <v>68</v>
      </c>
      <c r="Y118" s="11">
        <v>68</v>
      </c>
      <c r="Z118" s="11">
        <v>68</v>
      </c>
      <c r="AA118" s="11">
        <v>68</v>
      </c>
      <c r="AB118" s="11">
        <v>68</v>
      </c>
      <c r="AC118" s="11">
        <v>68</v>
      </c>
      <c r="AD118" s="11">
        <v>68</v>
      </c>
      <c r="AE118" s="11">
        <v>68</v>
      </c>
      <c r="AF118" s="11">
        <v>68</v>
      </c>
      <c r="AG118" s="11">
        <v>68</v>
      </c>
      <c r="AH118" s="11">
        <v>68</v>
      </c>
      <c r="AI118" s="11">
        <v>68</v>
      </c>
      <c r="AJ118" s="11">
        <v>68</v>
      </c>
      <c r="AK118" s="11">
        <v>68</v>
      </c>
      <c r="AL118" s="11">
        <v>68</v>
      </c>
      <c r="AM118" s="11">
        <v>68</v>
      </c>
      <c r="AN118" s="72">
        <v>68</v>
      </c>
      <c r="AO118" s="72">
        <v>68</v>
      </c>
      <c r="AP118" s="72">
        <v>68</v>
      </c>
      <c r="AQ118" s="72">
        <v>66</v>
      </c>
      <c r="AR118" s="72">
        <v>58</v>
      </c>
      <c r="AS118" s="72">
        <v>36</v>
      </c>
      <c r="AT118" s="72">
        <v>36</v>
      </c>
      <c r="AU118" s="72">
        <v>36</v>
      </c>
      <c r="AV118" s="72">
        <v>36</v>
      </c>
      <c r="AW118" s="72">
        <v>36</v>
      </c>
      <c r="AX118" s="72">
        <v>36</v>
      </c>
      <c r="AY118" s="72">
        <v>36</v>
      </c>
      <c r="AZ118" s="72">
        <v>36</v>
      </c>
      <c r="BA118" s="72">
        <v>31</v>
      </c>
      <c r="BB118" s="72">
        <v>31</v>
      </c>
      <c r="BC118" s="72">
        <v>31</v>
      </c>
      <c r="BD118" s="72">
        <v>31</v>
      </c>
      <c r="BE118" s="72">
        <v>31</v>
      </c>
      <c r="BF118" s="72">
        <v>31</v>
      </c>
      <c r="BG118" s="72">
        <v>31</v>
      </c>
      <c r="BH118" s="72">
        <v>31</v>
      </c>
      <c r="BI118" s="72">
        <v>15</v>
      </c>
      <c r="BJ118" s="72">
        <v>12</v>
      </c>
      <c r="BK118" s="72">
        <v>6</v>
      </c>
      <c r="BL118" s="72">
        <v>6</v>
      </c>
      <c r="BM118" s="72">
        <v>6</v>
      </c>
      <c r="BN118" s="72">
        <v>4</v>
      </c>
      <c r="BO118" s="72">
        <v>2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  <c r="DJ118" s="72">
        <v>0</v>
      </c>
      <c r="DK118" s="72">
        <v>0</v>
      </c>
      <c r="DL118" s="72">
        <v>0</v>
      </c>
    </row>
    <row r="119" spans="1:116" x14ac:dyDescent="0.35">
      <c r="A119" s="7"/>
      <c r="B119" s="8" t="s">
        <v>212</v>
      </c>
      <c r="C119" s="9" t="s">
        <v>213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0</v>
      </c>
      <c r="J119" s="10"/>
      <c r="K119" s="10" t="s">
        <v>42</v>
      </c>
      <c r="L119" s="8"/>
      <c r="M119" s="12">
        <v>14.4</v>
      </c>
      <c r="N119" s="12">
        <f t="shared" si="1"/>
        <v>0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  <c r="T119" s="11">
        <v>0</v>
      </c>
      <c r="U119" s="11">
        <v>0</v>
      </c>
      <c r="V119" s="11">
        <v>0</v>
      </c>
      <c r="W119" s="11">
        <v>0</v>
      </c>
      <c r="X119" s="11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0</v>
      </c>
      <c r="AE119" s="11">
        <v>0</v>
      </c>
      <c r="AF119" s="11">
        <v>0</v>
      </c>
      <c r="AG119" s="11">
        <v>0</v>
      </c>
      <c r="AH119" s="11">
        <v>0</v>
      </c>
      <c r="AI119" s="11">
        <v>0</v>
      </c>
      <c r="AJ119" s="11">
        <v>0</v>
      </c>
      <c r="AK119" s="11">
        <v>0</v>
      </c>
      <c r="AL119" s="11">
        <v>0</v>
      </c>
      <c r="AM119" s="11">
        <v>0</v>
      </c>
      <c r="AN119" s="72">
        <v>0</v>
      </c>
      <c r="AO119" s="72">
        <v>0</v>
      </c>
      <c r="AP119" s="72">
        <v>0</v>
      </c>
      <c r="AQ119" s="72">
        <v>0</v>
      </c>
      <c r="AR119" s="72">
        <v>0</v>
      </c>
      <c r="AS119" s="72">
        <v>0</v>
      </c>
      <c r="AT119" s="72">
        <v>0</v>
      </c>
      <c r="AU119" s="72">
        <v>0</v>
      </c>
      <c r="AV119" s="72">
        <v>0</v>
      </c>
      <c r="AW119" s="72">
        <v>0</v>
      </c>
      <c r="AX119" s="72">
        <v>0</v>
      </c>
      <c r="AY119" s="72">
        <v>0</v>
      </c>
      <c r="AZ119" s="72">
        <v>0</v>
      </c>
      <c r="BA119" s="72">
        <v>0</v>
      </c>
      <c r="BB119" s="72">
        <v>0</v>
      </c>
      <c r="BC119" s="72">
        <v>0</v>
      </c>
      <c r="BD119" s="72">
        <v>0</v>
      </c>
      <c r="BE119" s="72">
        <v>0</v>
      </c>
      <c r="BF119" s="72">
        <v>0</v>
      </c>
      <c r="BG119" s="72">
        <v>0</v>
      </c>
      <c r="BH119" s="72">
        <v>0</v>
      </c>
      <c r="BI119" s="72">
        <v>0</v>
      </c>
      <c r="BJ119" s="72">
        <v>0</v>
      </c>
      <c r="BK119" s="72">
        <v>0</v>
      </c>
      <c r="BL119" s="72">
        <v>0</v>
      </c>
      <c r="BM119" s="72">
        <v>0</v>
      </c>
      <c r="BN119" s="72">
        <v>0</v>
      </c>
      <c r="BO119" s="72">
        <v>0</v>
      </c>
      <c r="BP119" s="72">
        <v>0</v>
      </c>
      <c r="BQ119" s="72">
        <v>0</v>
      </c>
      <c r="BR119" s="72">
        <v>0</v>
      </c>
      <c r="BS119" s="72">
        <v>0</v>
      </c>
      <c r="BT119" s="72">
        <v>0</v>
      </c>
      <c r="BU119" s="72">
        <v>0</v>
      </c>
      <c r="BV119" s="72">
        <v>0</v>
      </c>
      <c r="BW119" s="72">
        <v>0</v>
      </c>
      <c r="BX119" s="72">
        <v>0</v>
      </c>
      <c r="BY119" s="72">
        <v>0</v>
      </c>
      <c r="BZ119" s="72">
        <v>0</v>
      </c>
      <c r="CA119" s="72">
        <v>0</v>
      </c>
      <c r="CB119" s="72">
        <v>0</v>
      </c>
      <c r="CC119" s="72">
        <v>0</v>
      </c>
      <c r="CD119" s="72">
        <v>0</v>
      </c>
      <c r="CE119" s="72">
        <v>0</v>
      </c>
      <c r="CF119" s="72">
        <v>0</v>
      </c>
      <c r="CG119" s="72">
        <v>0</v>
      </c>
      <c r="CH119" s="72">
        <v>0</v>
      </c>
      <c r="CI119" s="72">
        <v>0</v>
      </c>
      <c r="CJ119" s="72">
        <v>0</v>
      </c>
      <c r="CK119" s="72">
        <v>0</v>
      </c>
      <c r="CL119" s="72">
        <v>0</v>
      </c>
      <c r="CM119" s="72">
        <v>0</v>
      </c>
      <c r="CN119" s="72">
        <v>0</v>
      </c>
      <c r="CO119" s="72">
        <v>0</v>
      </c>
      <c r="CP119" s="72">
        <v>0</v>
      </c>
      <c r="CQ119" s="72">
        <v>0</v>
      </c>
      <c r="CR119" s="72">
        <v>0</v>
      </c>
      <c r="CS119" s="72">
        <v>0</v>
      </c>
      <c r="CT119" s="72">
        <v>0</v>
      </c>
      <c r="CU119" s="72">
        <v>0</v>
      </c>
      <c r="CV119" s="72">
        <v>0</v>
      </c>
      <c r="CW119" s="72">
        <v>0</v>
      </c>
      <c r="CX119" s="72">
        <v>0</v>
      </c>
      <c r="CY119" s="72">
        <v>0</v>
      </c>
      <c r="CZ119" s="72">
        <v>0</v>
      </c>
      <c r="DA119" s="72">
        <v>0</v>
      </c>
      <c r="DB119" s="72">
        <v>0</v>
      </c>
      <c r="DC119" s="72">
        <v>0</v>
      </c>
      <c r="DD119" s="72">
        <v>0</v>
      </c>
      <c r="DE119" s="72">
        <v>0</v>
      </c>
      <c r="DF119" s="72">
        <v>0</v>
      </c>
      <c r="DG119" s="72">
        <v>0</v>
      </c>
      <c r="DH119" s="72">
        <v>0</v>
      </c>
      <c r="DI119" s="72">
        <v>0</v>
      </c>
      <c r="DJ119" s="72">
        <v>0</v>
      </c>
      <c r="DK119" s="72">
        <v>0</v>
      </c>
      <c r="DL119" s="72">
        <v>0</v>
      </c>
    </row>
    <row r="120" spans="1:116" x14ac:dyDescent="0.35">
      <c r="A120" s="7"/>
      <c r="B120" s="8" t="s">
        <v>214</v>
      </c>
      <c r="C120" s="9" t="s">
        <v>215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1890</v>
      </c>
      <c r="J120" s="10"/>
      <c r="K120" s="10"/>
      <c r="L120" s="8"/>
      <c r="M120" s="12">
        <v>0.504</v>
      </c>
      <c r="N120" s="12">
        <f t="shared" si="1"/>
        <v>102.816</v>
      </c>
      <c r="O120" s="11">
        <v>1988</v>
      </c>
      <c r="P120" s="11">
        <v>1988</v>
      </c>
      <c r="Q120" s="11">
        <v>1988</v>
      </c>
      <c r="R120" s="11">
        <v>1988</v>
      </c>
      <c r="S120" s="11">
        <v>1987</v>
      </c>
      <c r="T120" s="11">
        <v>1987</v>
      </c>
      <c r="U120" s="11">
        <v>1935</v>
      </c>
      <c r="V120" s="11">
        <v>1935</v>
      </c>
      <c r="W120" s="11">
        <v>1935</v>
      </c>
      <c r="X120" s="11">
        <v>1935</v>
      </c>
      <c r="Y120" s="11">
        <v>1935</v>
      </c>
      <c r="Z120" s="11">
        <v>1915</v>
      </c>
      <c r="AA120" s="11">
        <v>1915</v>
      </c>
      <c r="AB120" s="11">
        <v>1915</v>
      </c>
      <c r="AC120" s="11">
        <v>1915</v>
      </c>
      <c r="AD120" s="11">
        <v>1915</v>
      </c>
      <c r="AE120" s="11">
        <v>1915</v>
      </c>
      <c r="AF120" s="11">
        <v>1890</v>
      </c>
      <c r="AG120" s="11">
        <v>1890</v>
      </c>
      <c r="AH120" s="11">
        <v>1890</v>
      </c>
      <c r="AI120" s="11">
        <v>1890</v>
      </c>
      <c r="AJ120" s="11">
        <v>1890</v>
      </c>
      <c r="AK120" s="11">
        <v>1890</v>
      </c>
      <c r="AL120" s="11">
        <v>1890</v>
      </c>
      <c r="AM120" s="11">
        <v>1890</v>
      </c>
      <c r="AN120" s="72">
        <v>1890</v>
      </c>
      <c r="AO120" s="72">
        <v>1890</v>
      </c>
      <c r="AP120" s="72">
        <v>1890</v>
      </c>
      <c r="AQ120" s="72">
        <v>1890</v>
      </c>
      <c r="AR120" s="72">
        <v>1890</v>
      </c>
      <c r="AS120" s="72">
        <v>1890</v>
      </c>
      <c r="AT120" s="72">
        <v>1890</v>
      </c>
      <c r="AU120" s="72">
        <v>1890</v>
      </c>
      <c r="AV120" s="72">
        <v>1590</v>
      </c>
      <c r="AW120" s="72">
        <v>1574</v>
      </c>
      <c r="AX120" s="72">
        <v>1574</v>
      </c>
      <c r="AY120" s="72">
        <v>1574</v>
      </c>
      <c r="AZ120" s="72">
        <v>1574</v>
      </c>
      <c r="BA120" s="72">
        <v>1574</v>
      </c>
      <c r="BB120" s="72">
        <v>1574</v>
      </c>
      <c r="BC120" s="72">
        <v>1574</v>
      </c>
      <c r="BD120" s="72">
        <v>1574</v>
      </c>
      <c r="BE120" s="72">
        <v>1574</v>
      </c>
      <c r="BF120" s="72">
        <v>1574</v>
      </c>
      <c r="BG120" s="72">
        <v>1574</v>
      </c>
      <c r="BH120" s="72">
        <v>1574</v>
      </c>
      <c r="BI120" s="72">
        <v>1574</v>
      </c>
      <c r="BJ120" s="72">
        <v>1574</v>
      </c>
      <c r="BK120" s="72">
        <v>1544</v>
      </c>
      <c r="BL120" s="72">
        <v>1544</v>
      </c>
      <c r="BM120" s="72">
        <v>1544</v>
      </c>
      <c r="BN120" s="72">
        <v>1544</v>
      </c>
      <c r="BO120" s="72">
        <v>1545</v>
      </c>
      <c r="BP120" s="72">
        <v>1545</v>
      </c>
      <c r="BQ120" s="72">
        <v>1045</v>
      </c>
      <c r="BR120" s="72">
        <v>995</v>
      </c>
      <c r="BS120" s="72">
        <v>995</v>
      </c>
      <c r="BT120" s="72">
        <v>995</v>
      </c>
      <c r="BU120" s="72">
        <v>875</v>
      </c>
      <c r="BV120" s="72">
        <v>575</v>
      </c>
      <c r="BW120" s="72">
        <v>575</v>
      </c>
      <c r="BX120" s="72">
        <v>575</v>
      </c>
      <c r="BY120" s="72">
        <v>575</v>
      </c>
      <c r="BZ120" s="72">
        <v>290</v>
      </c>
      <c r="CA120" s="72">
        <v>290</v>
      </c>
      <c r="CB120" s="72">
        <v>290</v>
      </c>
      <c r="CC120" s="72">
        <v>290</v>
      </c>
      <c r="CD120" s="72">
        <v>205</v>
      </c>
      <c r="CE120" s="72">
        <v>205</v>
      </c>
      <c r="CF120" s="72">
        <v>204</v>
      </c>
      <c r="CG120" s="72">
        <v>204</v>
      </c>
      <c r="CH120" s="72">
        <v>204</v>
      </c>
      <c r="CI120" s="72">
        <v>204</v>
      </c>
      <c r="CJ120" s="72">
        <v>204</v>
      </c>
      <c r="CK120" s="72">
        <v>204</v>
      </c>
      <c r="CL120" s="72">
        <v>204</v>
      </c>
      <c r="CM120" s="72">
        <v>204</v>
      </c>
      <c r="CN120" s="72">
        <v>204</v>
      </c>
      <c r="CO120" s="72">
        <v>204</v>
      </c>
      <c r="CP120" s="72">
        <v>204</v>
      </c>
      <c r="CQ120" s="72">
        <v>204</v>
      </c>
      <c r="CR120" s="72">
        <v>204</v>
      </c>
      <c r="CS120" s="72">
        <v>204</v>
      </c>
      <c r="CT120" s="72">
        <v>204</v>
      </c>
      <c r="CU120" s="72">
        <v>204</v>
      </c>
      <c r="CV120" s="72">
        <v>204</v>
      </c>
      <c r="CW120" s="72">
        <v>204</v>
      </c>
      <c r="CX120" s="72">
        <v>204</v>
      </c>
      <c r="CY120" s="72">
        <v>204</v>
      </c>
      <c r="CZ120" s="72">
        <v>204</v>
      </c>
      <c r="DA120" s="72">
        <v>204</v>
      </c>
      <c r="DB120" s="72">
        <v>204</v>
      </c>
      <c r="DC120" s="72">
        <v>204</v>
      </c>
      <c r="DD120" s="72">
        <v>204</v>
      </c>
      <c r="DE120" s="72">
        <v>204</v>
      </c>
      <c r="DF120" s="72">
        <v>204</v>
      </c>
      <c r="DG120" s="72">
        <v>204</v>
      </c>
      <c r="DH120" s="72">
        <v>204</v>
      </c>
      <c r="DI120" s="72">
        <v>204</v>
      </c>
      <c r="DJ120" s="72">
        <v>204</v>
      </c>
      <c r="DK120" s="72">
        <v>204</v>
      </c>
      <c r="DL120" s="72">
        <v>204</v>
      </c>
    </row>
    <row r="121" spans="1:116" x14ac:dyDescent="0.35">
      <c r="A121" s="7"/>
      <c r="B121" s="8" t="s">
        <v>216</v>
      </c>
      <c r="C121" s="9" t="s">
        <v>217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1512</v>
      </c>
      <c r="J121" s="10">
        <v>1</v>
      </c>
      <c r="K121" s="10" t="s">
        <v>42</v>
      </c>
      <c r="L121" s="8" t="s">
        <v>206</v>
      </c>
      <c r="M121" s="12">
        <v>0.53878423999999969</v>
      </c>
      <c r="N121" s="12">
        <f t="shared" si="1"/>
        <v>285.01686295999986</v>
      </c>
      <c r="O121" s="11">
        <v>1550</v>
      </c>
      <c r="P121" s="11">
        <v>1550</v>
      </c>
      <c r="Q121" s="11">
        <v>1550</v>
      </c>
      <c r="R121" s="11">
        <v>1549</v>
      </c>
      <c r="S121" s="11">
        <v>1549</v>
      </c>
      <c r="T121" s="11">
        <v>1549</v>
      </c>
      <c r="U121" s="11">
        <v>1549</v>
      </c>
      <c r="V121" s="11">
        <v>1549</v>
      </c>
      <c r="W121" s="11">
        <v>1549</v>
      </c>
      <c r="X121" s="11">
        <v>1549</v>
      </c>
      <c r="Y121" s="11">
        <v>1549</v>
      </c>
      <c r="Z121" s="11">
        <v>1549</v>
      </c>
      <c r="AA121" s="11">
        <v>1549</v>
      </c>
      <c r="AB121" s="11">
        <v>1549</v>
      </c>
      <c r="AC121" s="11">
        <v>1512</v>
      </c>
      <c r="AD121" s="11">
        <v>1512</v>
      </c>
      <c r="AE121" s="11">
        <v>1512</v>
      </c>
      <c r="AF121" s="11">
        <v>1512</v>
      </c>
      <c r="AG121" s="11">
        <v>1512</v>
      </c>
      <c r="AH121" s="11">
        <v>1512</v>
      </c>
      <c r="AI121" s="11">
        <v>1512</v>
      </c>
      <c r="AJ121" s="11">
        <v>1512</v>
      </c>
      <c r="AK121" s="11">
        <v>1512</v>
      </c>
      <c r="AL121" s="11">
        <v>1511</v>
      </c>
      <c r="AM121" s="11">
        <v>1311</v>
      </c>
      <c r="AN121" s="72">
        <v>1311</v>
      </c>
      <c r="AO121" s="72">
        <v>1311</v>
      </c>
      <c r="AP121" s="72">
        <v>1311</v>
      </c>
      <c r="AQ121" s="72">
        <v>1311</v>
      </c>
      <c r="AR121" s="72">
        <v>1311</v>
      </c>
      <c r="AS121" s="72">
        <v>1311</v>
      </c>
      <c r="AT121" s="72">
        <v>1311</v>
      </c>
      <c r="AU121" s="72">
        <v>1311</v>
      </c>
      <c r="AV121" s="72">
        <v>1311</v>
      </c>
      <c r="AW121" s="72">
        <v>1311</v>
      </c>
      <c r="AX121" s="72">
        <v>1311</v>
      </c>
      <c r="AY121" s="72">
        <v>1311</v>
      </c>
      <c r="AZ121" s="72">
        <v>1311</v>
      </c>
      <c r="BA121" s="72">
        <v>1311</v>
      </c>
      <c r="BB121" s="72">
        <v>1311</v>
      </c>
      <c r="BC121" s="72">
        <v>1311</v>
      </c>
      <c r="BD121" s="72">
        <v>1111</v>
      </c>
      <c r="BE121" s="72">
        <v>1111</v>
      </c>
      <c r="BF121" s="72">
        <v>1111</v>
      </c>
      <c r="BG121" s="72">
        <v>1111</v>
      </c>
      <c r="BH121" s="72">
        <v>1111</v>
      </c>
      <c r="BI121" s="72">
        <v>1111</v>
      </c>
      <c r="BJ121" s="72">
        <v>1111</v>
      </c>
      <c r="BK121" s="72">
        <v>1081</v>
      </c>
      <c r="BL121" s="72">
        <v>1081</v>
      </c>
      <c r="BM121" s="72">
        <v>1081</v>
      </c>
      <c r="BN121" s="72">
        <v>1081</v>
      </c>
      <c r="BO121" s="72">
        <v>1081</v>
      </c>
      <c r="BP121" s="72">
        <v>1081</v>
      </c>
      <c r="BQ121" s="72">
        <v>1018</v>
      </c>
      <c r="BR121" s="72">
        <v>988</v>
      </c>
      <c r="BS121" s="72">
        <v>988</v>
      </c>
      <c r="BT121" s="72">
        <v>988</v>
      </c>
      <c r="BU121" s="72">
        <v>988</v>
      </c>
      <c r="BV121" s="72">
        <v>982</v>
      </c>
      <c r="BW121" s="72">
        <v>982</v>
      </c>
      <c r="BX121" s="72">
        <v>982</v>
      </c>
      <c r="BY121" s="72">
        <v>982</v>
      </c>
      <c r="BZ121" s="72">
        <v>682</v>
      </c>
      <c r="CA121" s="72">
        <v>682</v>
      </c>
      <c r="CB121" s="72">
        <v>682</v>
      </c>
      <c r="CC121" s="72">
        <v>682</v>
      </c>
      <c r="CD121" s="72">
        <v>682</v>
      </c>
      <c r="CE121" s="72">
        <v>682</v>
      </c>
      <c r="CF121" s="72">
        <v>614</v>
      </c>
      <c r="CG121" s="72">
        <v>614</v>
      </c>
      <c r="CH121" s="72">
        <v>614</v>
      </c>
      <c r="CI121" s="72">
        <v>614</v>
      </c>
      <c r="CJ121" s="72">
        <v>614</v>
      </c>
      <c r="CK121" s="72">
        <v>614</v>
      </c>
      <c r="CL121" s="72">
        <v>614</v>
      </c>
      <c r="CM121" s="72">
        <v>614</v>
      </c>
      <c r="CN121" s="72">
        <v>614</v>
      </c>
      <c r="CO121" s="72">
        <v>614</v>
      </c>
      <c r="CP121" s="72">
        <v>614</v>
      </c>
      <c r="CQ121" s="72">
        <v>614</v>
      </c>
      <c r="CR121" s="72">
        <v>614</v>
      </c>
      <c r="CS121" s="72">
        <v>614</v>
      </c>
      <c r="CT121" s="72">
        <v>614</v>
      </c>
      <c r="CU121" s="72">
        <v>614</v>
      </c>
      <c r="CV121" s="72">
        <v>614</v>
      </c>
      <c r="CW121" s="72">
        <v>614</v>
      </c>
      <c r="CX121" s="72">
        <v>614</v>
      </c>
      <c r="CY121" s="72">
        <v>614</v>
      </c>
      <c r="CZ121" s="72">
        <v>614</v>
      </c>
      <c r="DA121" s="72">
        <v>614</v>
      </c>
      <c r="DB121" s="72">
        <v>614</v>
      </c>
      <c r="DC121" s="72">
        <v>614</v>
      </c>
      <c r="DD121" s="72">
        <v>614</v>
      </c>
      <c r="DE121" s="72">
        <v>614</v>
      </c>
      <c r="DF121" s="72">
        <v>614</v>
      </c>
      <c r="DG121" s="72">
        <v>614</v>
      </c>
      <c r="DH121" s="72">
        <v>614</v>
      </c>
      <c r="DI121" s="72">
        <v>614</v>
      </c>
      <c r="DJ121" s="72">
        <v>614</v>
      </c>
      <c r="DK121" s="72">
        <v>614</v>
      </c>
      <c r="DL121" s="72">
        <v>529</v>
      </c>
    </row>
    <row r="122" spans="1:116" x14ac:dyDescent="0.35">
      <c r="A122" s="7"/>
      <c r="B122" s="8" t="s">
        <v>218</v>
      </c>
      <c r="C122" s="9" t="s">
        <v>219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730</v>
      </c>
      <c r="J122" s="10">
        <v>1</v>
      </c>
      <c r="K122" s="10" t="s">
        <v>42</v>
      </c>
      <c r="L122" s="8" t="s">
        <v>206</v>
      </c>
      <c r="M122" s="12">
        <v>0.67247999999999997</v>
      </c>
      <c r="N122" s="12">
        <f t="shared" si="1"/>
        <v>268.31952000000001</v>
      </c>
      <c r="O122" s="11">
        <v>995</v>
      </c>
      <c r="P122" s="11">
        <v>995</v>
      </c>
      <c r="Q122" s="11">
        <v>995</v>
      </c>
      <c r="R122" s="11">
        <v>964</v>
      </c>
      <c r="S122" s="11">
        <v>964</v>
      </c>
      <c r="T122" s="11">
        <v>964</v>
      </c>
      <c r="U122" s="11">
        <v>964</v>
      </c>
      <c r="V122" s="11">
        <v>838</v>
      </c>
      <c r="W122" s="11">
        <v>838</v>
      </c>
      <c r="X122" s="11">
        <v>838</v>
      </c>
      <c r="Y122" s="11">
        <v>838</v>
      </c>
      <c r="Z122" s="11">
        <v>810</v>
      </c>
      <c r="AA122" s="11">
        <v>810</v>
      </c>
      <c r="AB122" s="11">
        <v>810</v>
      </c>
      <c r="AC122" s="11">
        <v>780</v>
      </c>
      <c r="AD122" s="11">
        <v>730</v>
      </c>
      <c r="AE122" s="11">
        <v>730</v>
      </c>
      <c r="AF122" s="11">
        <v>730</v>
      </c>
      <c r="AG122" s="11">
        <v>730</v>
      </c>
      <c r="AH122" s="11">
        <v>730</v>
      </c>
      <c r="AI122" s="11">
        <v>730</v>
      </c>
      <c r="AJ122" s="11">
        <v>730</v>
      </c>
      <c r="AK122" s="11">
        <v>730</v>
      </c>
      <c r="AL122" s="11">
        <v>730</v>
      </c>
      <c r="AM122" s="11">
        <v>730</v>
      </c>
      <c r="AN122" s="72">
        <v>730</v>
      </c>
      <c r="AO122" s="72">
        <v>730</v>
      </c>
      <c r="AP122" s="72">
        <v>730</v>
      </c>
      <c r="AQ122" s="72">
        <v>730</v>
      </c>
      <c r="AR122" s="72">
        <v>730</v>
      </c>
      <c r="AS122" s="72">
        <v>730</v>
      </c>
      <c r="AT122" s="72">
        <v>730</v>
      </c>
      <c r="AU122" s="72">
        <v>730</v>
      </c>
      <c r="AV122" s="72">
        <v>730</v>
      </c>
      <c r="AW122" s="72">
        <v>730</v>
      </c>
      <c r="AX122" s="72">
        <v>730</v>
      </c>
      <c r="AY122" s="72">
        <v>730</v>
      </c>
      <c r="AZ122" s="72">
        <v>730</v>
      </c>
      <c r="BA122" s="72">
        <v>730</v>
      </c>
      <c r="BB122" s="72">
        <v>730</v>
      </c>
      <c r="BC122" s="72">
        <v>730</v>
      </c>
      <c r="BD122" s="72">
        <v>730</v>
      </c>
      <c r="BE122" s="72">
        <v>730</v>
      </c>
      <c r="BF122" s="72">
        <v>730</v>
      </c>
      <c r="BG122" s="72">
        <v>730</v>
      </c>
      <c r="BH122" s="72">
        <v>642</v>
      </c>
      <c r="BI122" s="72">
        <v>642</v>
      </c>
      <c r="BJ122" s="72">
        <v>642</v>
      </c>
      <c r="BK122" s="72">
        <v>424</v>
      </c>
      <c r="BL122" s="72">
        <v>424</v>
      </c>
      <c r="BM122" s="72">
        <v>424</v>
      </c>
      <c r="BN122" s="72">
        <v>565</v>
      </c>
      <c r="BO122" s="72">
        <v>416</v>
      </c>
      <c r="BP122" s="72">
        <v>386</v>
      </c>
      <c r="BQ122" s="72">
        <v>427</v>
      </c>
      <c r="BR122" s="72">
        <v>371</v>
      </c>
      <c r="BS122" s="72">
        <v>371</v>
      </c>
      <c r="BT122" s="72">
        <v>371</v>
      </c>
      <c r="BU122" s="72">
        <v>354</v>
      </c>
      <c r="BV122" s="72">
        <v>348</v>
      </c>
      <c r="BW122" s="72">
        <v>338</v>
      </c>
      <c r="BX122" s="72">
        <v>339</v>
      </c>
      <c r="BY122" s="72">
        <v>339</v>
      </c>
      <c r="BZ122" s="72">
        <v>339</v>
      </c>
      <c r="CA122" s="72">
        <v>339</v>
      </c>
      <c r="CB122" s="72">
        <v>339</v>
      </c>
      <c r="CC122" s="72">
        <v>339</v>
      </c>
      <c r="CD122" s="72">
        <v>334</v>
      </c>
      <c r="CE122" s="72">
        <v>334</v>
      </c>
      <c r="CF122" s="72">
        <v>419</v>
      </c>
      <c r="CG122" s="72">
        <v>419</v>
      </c>
      <c r="CH122" s="72">
        <v>419</v>
      </c>
      <c r="CI122" s="72">
        <v>419</v>
      </c>
      <c r="CJ122" s="72">
        <v>419</v>
      </c>
      <c r="CK122" s="72">
        <v>419</v>
      </c>
      <c r="CL122" s="72">
        <v>419</v>
      </c>
      <c r="CM122" s="72">
        <v>419</v>
      </c>
      <c r="CN122" s="72">
        <v>419</v>
      </c>
      <c r="CO122" s="72">
        <v>419</v>
      </c>
      <c r="CP122" s="72">
        <v>419</v>
      </c>
      <c r="CQ122" s="72">
        <v>419</v>
      </c>
      <c r="CR122" s="72">
        <v>419</v>
      </c>
      <c r="CS122" s="72">
        <v>419</v>
      </c>
      <c r="CT122" s="72">
        <v>419</v>
      </c>
      <c r="CU122" s="72">
        <v>419</v>
      </c>
      <c r="CV122" s="72">
        <v>419</v>
      </c>
      <c r="CW122" s="72">
        <v>419</v>
      </c>
      <c r="CX122" s="72">
        <v>419</v>
      </c>
      <c r="CY122" s="72">
        <v>419</v>
      </c>
      <c r="CZ122" s="72">
        <v>419</v>
      </c>
      <c r="DA122" s="72">
        <v>419</v>
      </c>
      <c r="DB122" s="72">
        <v>419</v>
      </c>
      <c r="DC122" s="72">
        <v>419</v>
      </c>
      <c r="DD122" s="72">
        <v>419</v>
      </c>
      <c r="DE122" s="72">
        <v>419</v>
      </c>
      <c r="DF122" s="72">
        <v>419</v>
      </c>
      <c r="DG122" s="72">
        <v>419</v>
      </c>
      <c r="DH122" s="72">
        <v>419</v>
      </c>
      <c r="DI122" s="72">
        <v>419</v>
      </c>
      <c r="DJ122" s="72">
        <v>419</v>
      </c>
      <c r="DK122" s="72">
        <v>419</v>
      </c>
      <c r="DL122" s="72">
        <v>399</v>
      </c>
    </row>
    <row r="123" spans="1:116" x14ac:dyDescent="0.35">
      <c r="A123" s="7"/>
      <c r="B123" s="8" t="s">
        <v>220</v>
      </c>
      <c r="C123" s="9" t="s">
        <v>221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17</v>
      </c>
      <c r="J123" s="10">
        <v>1</v>
      </c>
      <c r="K123" s="10" t="s">
        <v>42</v>
      </c>
      <c r="L123" s="8" t="s">
        <v>206</v>
      </c>
      <c r="M123" s="12">
        <v>0.82379999999999998</v>
      </c>
      <c r="N123" s="12">
        <f t="shared" si="1"/>
        <v>0</v>
      </c>
      <c r="O123" s="11">
        <v>285</v>
      </c>
      <c r="P123" s="11">
        <v>285</v>
      </c>
      <c r="Q123" s="11">
        <v>285</v>
      </c>
      <c r="R123" s="11">
        <v>264</v>
      </c>
      <c r="S123" s="11">
        <v>264</v>
      </c>
      <c r="T123" s="11">
        <v>264</v>
      </c>
      <c r="U123" s="11">
        <v>264</v>
      </c>
      <c r="V123" s="11">
        <v>264</v>
      </c>
      <c r="W123" s="11">
        <v>214</v>
      </c>
      <c r="X123" s="11">
        <v>214</v>
      </c>
      <c r="Y123" s="11">
        <v>214</v>
      </c>
      <c r="Z123" s="11">
        <v>214</v>
      </c>
      <c r="AA123" s="11">
        <v>214</v>
      </c>
      <c r="AB123" s="11">
        <v>214</v>
      </c>
      <c r="AC123" s="11">
        <v>212</v>
      </c>
      <c r="AD123" s="11">
        <v>112</v>
      </c>
      <c r="AE123" s="11">
        <v>97</v>
      </c>
      <c r="AF123" s="11">
        <v>97</v>
      </c>
      <c r="AG123" s="11">
        <v>97</v>
      </c>
      <c r="AH123" s="11">
        <v>67</v>
      </c>
      <c r="AI123" s="11">
        <v>67</v>
      </c>
      <c r="AJ123" s="11">
        <v>17</v>
      </c>
      <c r="AK123" s="11">
        <v>17</v>
      </c>
      <c r="AL123" s="11">
        <v>17</v>
      </c>
      <c r="AM123" s="11">
        <v>17</v>
      </c>
      <c r="AN123" s="72">
        <v>17</v>
      </c>
      <c r="AO123" s="72">
        <v>17</v>
      </c>
      <c r="AP123" s="72">
        <v>17</v>
      </c>
      <c r="AQ123" s="72">
        <v>17</v>
      </c>
      <c r="AR123" s="72">
        <v>17</v>
      </c>
      <c r="AS123" s="72">
        <v>17</v>
      </c>
      <c r="AT123" s="72">
        <v>17</v>
      </c>
      <c r="AU123" s="72">
        <v>2</v>
      </c>
      <c r="AV123" s="72">
        <v>5</v>
      </c>
      <c r="AW123" s="72">
        <v>5</v>
      </c>
      <c r="AX123" s="72">
        <v>5</v>
      </c>
      <c r="AY123" s="72">
        <v>5</v>
      </c>
      <c r="AZ123" s="72">
        <v>5</v>
      </c>
      <c r="BA123" s="72">
        <v>5</v>
      </c>
      <c r="BB123" s="72">
        <v>5</v>
      </c>
      <c r="BC123" s="72">
        <v>5</v>
      </c>
      <c r="BD123" s="72">
        <v>5</v>
      </c>
      <c r="BE123" s="72">
        <v>5</v>
      </c>
      <c r="BF123" s="72">
        <v>5</v>
      </c>
      <c r="BG123" s="72">
        <v>5</v>
      </c>
      <c r="BH123" s="72">
        <v>5</v>
      </c>
      <c r="BI123" s="72">
        <v>5</v>
      </c>
      <c r="BJ123" s="72">
        <v>5</v>
      </c>
      <c r="BK123" s="72">
        <v>5</v>
      </c>
      <c r="BL123" s="72">
        <v>5</v>
      </c>
      <c r="BM123" s="72">
        <v>5</v>
      </c>
      <c r="BN123" s="72">
        <v>5</v>
      </c>
      <c r="BO123" s="72">
        <v>5</v>
      </c>
      <c r="BP123" s="72">
        <v>5</v>
      </c>
      <c r="BQ123" s="72">
        <v>5</v>
      </c>
      <c r="BR123" s="72">
        <v>5</v>
      </c>
      <c r="BS123" s="72">
        <v>5</v>
      </c>
      <c r="BT123" s="72">
        <v>5</v>
      </c>
      <c r="BU123" s="72">
        <v>3</v>
      </c>
      <c r="BV123" s="72">
        <v>0</v>
      </c>
      <c r="BW123" s="72">
        <v>0</v>
      </c>
      <c r="BX123" s="72">
        <v>0</v>
      </c>
      <c r="BY123" s="72">
        <v>0</v>
      </c>
      <c r="BZ123" s="72">
        <v>0</v>
      </c>
      <c r="CA123" s="72">
        <v>0</v>
      </c>
      <c r="CB123" s="72">
        <v>0</v>
      </c>
      <c r="CC123" s="72">
        <v>0</v>
      </c>
      <c r="CD123" s="72">
        <v>0</v>
      </c>
      <c r="CE123" s="72">
        <v>0</v>
      </c>
      <c r="CF123" s="72">
        <v>0</v>
      </c>
      <c r="CG123" s="72">
        <v>0</v>
      </c>
      <c r="CH123" s="72">
        <v>0</v>
      </c>
      <c r="CI123" s="72">
        <v>0</v>
      </c>
      <c r="CJ123" s="72">
        <v>0</v>
      </c>
      <c r="CK123" s="72">
        <v>0</v>
      </c>
      <c r="CL123" s="72">
        <v>0</v>
      </c>
      <c r="CM123" s="72">
        <v>0</v>
      </c>
      <c r="CN123" s="72">
        <v>0</v>
      </c>
      <c r="CO123" s="72">
        <v>0</v>
      </c>
      <c r="CP123" s="72">
        <v>0</v>
      </c>
      <c r="CQ123" s="72">
        <v>0</v>
      </c>
      <c r="CR123" s="72">
        <v>0</v>
      </c>
      <c r="CS123" s="72">
        <v>0</v>
      </c>
      <c r="CT123" s="72">
        <v>0</v>
      </c>
      <c r="CU123" s="72">
        <v>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  <c r="DJ123" s="72">
        <v>0</v>
      </c>
      <c r="DK123" s="72">
        <v>0</v>
      </c>
      <c r="DL123" s="72">
        <v>0</v>
      </c>
    </row>
    <row r="124" spans="1:116" x14ac:dyDescent="0.35">
      <c r="A124" s="7"/>
      <c r="B124" s="8" t="s">
        <v>222</v>
      </c>
      <c r="C124" s="9" t="s">
        <v>223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195</v>
      </c>
      <c r="J124" s="10">
        <v>1</v>
      </c>
      <c r="K124" s="10" t="s">
        <v>42</v>
      </c>
      <c r="L124" s="8" t="s">
        <v>206</v>
      </c>
      <c r="M124" s="12">
        <v>1.2661199999999999</v>
      </c>
      <c r="N124" s="12">
        <f t="shared" si="1"/>
        <v>0</v>
      </c>
      <c r="O124" s="11">
        <v>312</v>
      </c>
      <c r="P124" s="11">
        <v>312</v>
      </c>
      <c r="Q124" s="11">
        <v>312</v>
      </c>
      <c r="R124" s="11">
        <v>311</v>
      </c>
      <c r="S124" s="11">
        <v>311</v>
      </c>
      <c r="T124" s="11">
        <v>311</v>
      </c>
      <c r="U124" s="11">
        <v>311</v>
      </c>
      <c r="V124" s="11">
        <v>311</v>
      </c>
      <c r="W124" s="11">
        <v>311</v>
      </c>
      <c r="X124" s="11">
        <v>310</v>
      </c>
      <c r="Y124" s="11">
        <v>310</v>
      </c>
      <c r="Z124" s="11">
        <v>310</v>
      </c>
      <c r="AA124" s="11">
        <v>310</v>
      </c>
      <c r="AB124" s="11">
        <v>310</v>
      </c>
      <c r="AC124" s="11">
        <v>310</v>
      </c>
      <c r="AD124" s="11">
        <v>310</v>
      </c>
      <c r="AE124" s="11">
        <v>295</v>
      </c>
      <c r="AF124" s="11">
        <v>295</v>
      </c>
      <c r="AG124" s="11">
        <v>295</v>
      </c>
      <c r="AH124" s="11">
        <v>195</v>
      </c>
      <c r="AI124" s="11">
        <v>195</v>
      </c>
      <c r="AJ124" s="11">
        <v>195</v>
      </c>
      <c r="AK124" s="11">
        <v>195</v>
      </c>
      <c r="AL124" s="11">
        <v>195</v>
      </c>
      <c r="AM124" s="11">
        <v>145</v>
      </c>
      <c r="AN124" s="72">
        <v>145</v>
      </c>
      <c r="AO124" s="72">
        <v>145</v>
      </c>
      <c r="AP124" s="72">
        <v>145</v>
      </c>
      <c r="AQ124" s="72">
        <v>145</v>
      </c>
      <c r="AR124" s="72">
        <v>145</v>
      </c>
      <c r="AS124" s="72">
        <v>145</v>
      </c>
      <c r="AT124" s="72">
        <v>145</v>
      </c>
      <c r="AU124" s="72">
        <v>145</v>
      </c>
      <c r="AV124" s="72">
        <v>145</v>
      </c>
      <c r="AW124" s="72">
        <v>145</v>
      </c>
      <c r="AX124" s="72">
        <v>145</v>
      </c>
      <c r="AY124" s="72">
        <v>145</v>
      </c>
      <c r="AZ124" s="72">
        <v>145</v>
      </c>
      <c r="BA124" s="72">
        <v>145</v>
      </c>
      <c r="BB124" s="72">
        <v>145</v>
      </c>
      <c r="BC124" s="72">
        <v>145</v>
      </c>
      <c r="BD124" s="72">
        <v>145</v>
      </c>
      <c r="BE124" s="72">
        <v>145</v>
      </c>
      <c r="BF124" s="72">
        <v>145</v>
      </c>
      <c r="BG124" s="72">
        <v>145</v>
      </c>
      <c r="BH124" s="72">
        <v>130</v>
      </c>
      <c r="BI124" s="72">
        <v>130</v>
      </c>
      <c r="BJ124" s="72">
        <v>130</v>
      </c>
      <c r="BK124" s="72">
        <v>80</v>
      </c>
      <c r="BL124" s="72">
        <v>30</v>
      </c>
      <c r="BM124" s="72">
        <v>30</v>
      </c>
      <c r="BN124" s="72">
        <v>76</v>
      </c>
      <c r="BO124" s="72">
        <v>77</v>
      </c>
      <c r="BP124" s="72">
        <v>77</v>
      </c>
      <c r="BQ124" s="72">
        <v>67</v>
      </c>
      <c r="BR124" s="72">
        <v>9</v>
      </c>
      <c r="BS124" s="72">
        <v>9</v>
      </c>
      <c r="BT124" s="72">
        <v>9</v>
      </c>
      <c r="BU124" s="72">
        <v>9</v>
      </c>
      <c r="BV124" s="72">
        <v>6</v>
      </c>
      <c r="BW124" s="72">
        <v>6</v>
      </c>
      <c r="BX124" s="72">
        <v>6</v>
      </c>
      <c r="BY124" s="72">
        <v>6</v>
      </c>
      <c r="BZ124" s="72">
        <v>6</v>
      </c>
      <c r="CA124" s="72">
        <v>6</v>
      </c>
      <c r="CB124" s="72">
        <v>6</v>
      </c>
      <c r="CC124" s="72">
        <v>6</v>
      </c>
      <c r="CD124" s="72">
        <v>6</v>
      </c>
      <c r="CE124" s="72">
        <v>6</v>
      </c>
      <c r="CF124" s="72">
        <v>20</v>
      </c>
      <c r="CG124" s="72">
        <v>20</v>
      </c>
      <c r="CH124" s="72">
        <v>20</v>
      </c>
      <c r="CI124" s="72">
        <v>20</v>
      </c>
      <c r="CJ124" s="72">
        <v>20</v>
      </c>
      <c r="CK124" s="72">
        <v>20</v>
      </c>
      <c r="CL124" s="72">
        <v>20</v>
      </c>
      <c r="CM124" s="72">
        <v>20</v>
      </c>
      <c r="CN124" s="72">
        <v>20</v>
      </c>
      <c r="CO124" s="72">
        <v>20</v>
      </c>
      <c r="CP124" s="72">
        <v>20</v>
      </c>
      <c r="CQ124" s="72">
        <v>20</v>
      </c>
      <c r="CR124" s="72">
        <v>20</v>
      </c>
      <c r="CS124" s="72">
        <v>20</v>
      </c>
      <c r="CT124" s="72">
        <v>20</v>
      </c>
      <c r="CU124" s="72">
        <v>20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  <c r="DK124" s="72">
        <v>0</v>
      </c>
      <c r="DL124" s="72">
        <v>0</v>
      </c>
    </row>
    <row r="125" spans="1:116" x14ac:dyDescent="0.35">
      <c r="A125" s="7"/>
      <c r="B125" s="8" t="s">
        <v>224</v>
      </c>
      <c r="C125" s="9" t="s">
        <v>225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358</v>
      </c>
      <c r="J125" s="10">
        <v>1</v>
      </c>
      <c r="K125" s="10" t="s">
        <v>42</v>
      </c>
      <c r="L125" s="8" t="s">
        <v>206</v>
      </c>
      <c r="M125" s="12">
        <v>1.6967999999999999</v>
      </c>
      <c r="N125" s="12">
        <f t="shared" si="1"/>
        <v>110.29199999999999</v>
      </c>
      <c r="O125" s="11">
        <v>399</v>
      </c>
      <c r="P125" s="11">
        <v>399</v>
      </c>
      <c r="Q125" s="11">
        <v>399</v>
      </c>
      <c r="R125" s="11">
        <v>398</v>
      </c>
      <c r="S125" s="11">
        <v>398</v>
      </c>
      <c r="T125" s="11">
        <v>398</v>
      </c>
      <c r="U125" s="11">
        <v>398</v>
      </c>
      <c r="V125" s="11">
        <v>398</v>
      </c>
      <c r="W125" s="11">
        <v>398</v>
      </c>
      <c r="X125" s="11">
        <v>398</v>
      </c>
      <c r="Y125" s="11">
        <v>398</v>
      </c>
      <c r="Z125" s="11">
        <v>398</v>
      </c>
      <c r="AA125" s="11">
        <v>398</v>
      </c>
      <c r="AB125" s="11">
        <v>398</v>
      </c>
      <c r="AC125" s="11">
        <v>373</v>
      </c>
      <c r="AD125" s="11">
        <v>373</v>
      </c>
      <c r="AE125" s="11">
        <v>358</v>
      </c>
      <c r="AF125" s="11">
        <v>358</v>
      </c>
      <c r="AG125" s="11">
        <v>358</v>
      </c>
      <c r="AH125" s="11">
        <v>358</v>
      </c>
      <c r="AI125" s="11">
        <v>358</v>
      </c>
      <c r="AJ125" s="11">
        <v>358</v>
      </c>
      <c r="AK125" s="11">
        <v>358</v>
      </c>
      <c r="AL125" s="11">
        <v>358</v>
      </c>
      <c r="AM125" s="11">
        <v>258</v>
      </c>
      <c r="AN125" s="72">
        <v>258</v>
      </c>
      <c r="AO125" s="72">
        <v>258</v>
      </c>
      <c r="AP125" s="72">
        <v>258</v>
      </c>
      <c r="AQ125" s="72">
        <v>258</v>
      </c>
      <c r="AR125" s="72">
        <v>258</v>
      </c>
      <c r="AS125" s="72">
        <v>258</v>
      </c>
      <c r="AT125" s="72">
        <v>258</v>
      </c>
      <c r="AU125" s="72">
        <v>258</v>
      </c>
      <c r="AV125" s="72">
        <v>258</v>
      </c>
      <c r="AW125" s="72">
        <v>258</v>
      </c>
      <c r="AX125" s="72">
        <v>258</v>
      </c>
      <c r="AY125" s="72">
        <v>258</v>
      </c>
      <c r="AZ125" s="72">
        <v>258</v>
      </c>
      <c r="BA125" s="72">
        <v>258</v>
      </c>
      <c r="BB125" s="72">
        <v>258</v>
      </c>
      <c r="BC125" s="72">
        <v>258</v>
      </c>
      <c r="BD125" s="72">
        <v>258</v>
      </c>
      <c r="BE125" s="72">
        <v>258</v>
      </c>
      <c r="BF125" s="72">
        <v>258</v>
      </c>
      <c r="BG125" s="72">
        <v>258</v>
      </c>
      <c r="BH125" s="72">
        <v>258</v>
      </c>
      <c r="BI125" s="72">
        <v>258</v>
      </c>
      <c r="BJ125" s="72">
        <v>258</v>
      </c>
      <c r="BK125" s="72">
        <v>178</v>
      </c>
      <c r="BL125" s="72">
        <v>128</v>
      </c>
      <c r="BM125" s="72">
        <v>128</v>
      </c>
      <c r="BN125" s="72">
        <v>128</v>
      </c>
      <c r="BO125" s="72">
        <v>128</v>
      </c>
      <c r="BP125" s="72">
        <v>128</v>
      </c>
      <c r="BQ125" s="72">
        <v>128</v>
      </c>
      <c r="BR125" s="72">
        <v>126</v>
      </c>
      <c r="BS125" s="72">
        <v>126</v>
      </c>
      <c r="BT125" s="72">
        <v>126</v>
      </c>
      <c r="BU125" s="72">
        <v>126</v>
      </c>
      <c r="BV125" s="72">
        <v>126</v>
      </c>
      <c r="BW125" s="72">
        <v>126</v>
      </c>
      <c r="BX125" s="72">
        <v>126</v>
      </c>
      <c r="BY125" s="72">
        <v>126</v>
      </c>
      <c r="BZ125" s="72">
        <v>126</v>
      </c>
      <c r="CA125" s="72">
        <v>126</v>
      </c>
      <c r="CB125" s="72">
        <v>126</v>
      </c>
      <c r="CC125" s="72">
        <v>126</v>
      </c>
      <c r="CD125" s="72">
        <v>126</v>
      </c>
      <c r="CE125" s="72">
        <v>126</v>
      </c>
      <c r="CF125" s="72">
        <v>67</v>
      </c>
      <c r="CG125" s="72">
        <v>67</v>
      </c>
      <c r="CH125" s="72">
        <v>67</v>
      </c>
      <c r="CI125" s="72">
        <v>67</v>
      </c>
      <c r="CJ125" s="72">
        <v>67</v>
      </c>
      <c r="CK125" s="72">
        <v>67</v>
      </c>
      <c r="CL125" s="72">
        <v>67</v>
      </c>
      <c r="CM125" s="72">
        <v>67</v>
      </c>
      <c r="CN125" s="72">
        <v>65</v>
      </c>
      <c r="CO125" s="72">
        <v>65</v>
      </c>
      <c r="CP125" s="72">
        <v>65</v>
      </c>
      <c r="CQ125" s="72">
        <v>65</v>
      </c>
      <c r="CR125" s="72">
        <v>65</v>
      </c>
      <c r="CS125" s="72">
        <v>65</v>
      </c>
      <c r="CT125" s="72">
        <v>65</v>
      </c>
      <c r="CU125" s="72">
        <v>65</v>
      </c>
      <c r="CV125" s="72">
        <v>65</v>
      </c>
      <c r="CW125" s="72">
        <v>65</v>
      </c>
      <c r="CX125" s="72">
        <v>65</v>
      </c>
      <c r="CY125" s="72">
        <v>65</v>
      </c>
      <c r="CZ125" s="72">
        <v>65</v>
      </c>
      <c r="DA125" s="72">
        <v>65</v>
      </c>
      <c r="DB125" s="72">
        <v>65</v>
      </c>
      <c r="DC125" s="72">
        <v>65</v>
      </c>
      <c r="DD125" s="72">
        <v>65</v>
      </c>
      <c r="DE125" s="72">
        <v>65</v>
      </c>
      <c r="DF125" s="72">
        <v>65</v>
      </c>
      <c r="DG125" s="72">
        <v>65</v>
      </c>
      <c r="DH125" s="72">
        <v>65</v>
      </c>
      <c r="DI125" s="72">
        <v>65</v>
      </c>
      <c r="DJ125" s="72">
        <v>65</v>
      </c>
      <c r="DK125" s="72">
        <v>65</v>
      </c>
      <c r="DL125" s="72">
        <v>65</v>
      </c>
    </row>
    <row r="126" spans="1:116" x14ac:dyDescent="0.35">
      <c r="A126" s="7"/>
      <c r="B126" s="8" t="s">
        <v>226</v>
      </c>
      <c r="C126" s="9" t="s">
        <v>227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35</v>
      </c>
      <c r="J126" s="10">
        <v>1</v>
      </c>
      <c r="K126" s="10"/>
      <c r="L126" s="8" t="s">
        <v>206</v>
      </c>
      <c r="M126" s="12">
        <v>2.5930799999999996</v>
      </c>
      <c r="N126" s="12">
        <f t="shared" si="1"/>
        <v>49.268519999999995</v>
      </c>
      <c r="O126" s="11">
        <v>38</v>
      </c>
      <c r="P126" s="11">
        <v>38</v>
      </c>
      <c r="Q126" s="11">
        <v>38</v>
      </c>
      <c r="R126" s="11">
        <v>37</v>
      </c>
      <c r="S126" s="11">
        <v>37</v>
      </c>
      <c r="T126" s="11">
        <v>37</v>
      </c>
      <c r="U126" s="11">
        <v>37</v>
      </c>
      <c r="V126" s="11">
        <v>37</v>
      </c>
      <c r="W126" s="11">
        <v>37</v>
      </c>
      <c r="X126" s="11">
        <v>37</v>
      </c>
      <c r="Y126" s="11">
        <v>37</v>
      </c>
      <c r="Z126" s="11">
        <v>37</v>
      </c>
      <c r="AA126" s="11">
        <v>37</v>
      </c>
      <c r="AB126" s="11">
        <v>37</v>
      </c>
      <c r="AC126" s="11">
        <v>35</v>
      </c>
      <c r="AD126" s="11">
        <v>35</v>
      </c>
      <c r="AE126" s="11">
        <v>35</v>
      </c>
      <c r="AF126" s="11">
        <v>35</v>
      </c>
      <c r="AG126" s="11">
        <v>35</v>
      </c>
      <c r="AH126" s="11">
        <v>35</v>
      </c>
      <c r="AI126" s="11">
        <v>35</v>
      </c>
      <c r="AJ126" s="11">
        <v>35</v>
      </c>
      <c r="AK126" s="11">
        <v>35</v>
      </c>
      <c r="AL126" s="11">
        <v>35</v>
      </c>
      <c r="AM126" s="11">
        <v>35</v>
      </c>
      <c r="AN126" s="72">
        <v>35</v>
      </c>
      <c r="AO126" s="72">
        <v>35</v>
      </c>
      <c r="AP126" s="72">
        <v>35</v>
      </c>
      <c r="AQ126" s="72">
        <v>35</v>
      </c>
      <c r="AR126" s="72">
        <v>30</v>
      </c>
      <c r="AS126" s="72">
        <v>30</v>
      </c>
      <c r="AT126" s="72">
        <v>30</v>
      </c>
      <c r="AU126" s="72">
        <v>30</v>
      </c>
      <c r="AV126" s="72">
        <v>30</v>
      </c>
      <c r="AW126" s="72">
        <v>30</v>
      </c>
      <c r="AX126" s="72">
        <v>30</v>
      </c>
      <c r="AY126" s="72">
        <v>30</v>
      </c>
      <c r="AZ126" s="72">
        <v>30</v>
      </c>
      <c r="BA126" s="72">
        <v>30</v>
      </c>
      <c r="BB126" s="72">
        <v>30</v>
      </c>
      <c r="BC126" s="72">
        <v>30</v>
      </c>
      <c r="BD126" s="72">
        <v>30</v>
      </c>
      <c r="BE126" s="72">
        <v>30</v>
      </c>
      <c r="BF126" s="72">
        <v>30</v>
      </c>
      <c r="BG126" s="72">
        <v>30</v>
      </c>
      <c r="BH126" s="72">
        <v>30</v>
      </c>
      <c r="BI126" s="72">
        <v>30</v>
      </c>
      <c r="BJ126" s="72">
        <v>30</v>
      </c>
      <c r="BK126" s="72">
        <v>30</v>
      </c>
      <c r="BL126" s="72">
        <v>30</v>
      </c>
      <c r="BM126" s="72">
        <v>30</v>
      </c>
      <c r="BN126" s="72">
        <v>30</v>
      </c>
      <c r="BO126" s="72">
        <v>30</v>
      </c>
      <c r="BP126" s="72">
        <v>30</v>
      </c>
      <c r="BQ126" s="72">
        <v>18</v>
      </c>
      <c r="BR126" s="72">
        <v>18</v>
      </c>
      <c r="BS126" s="72">
        <v>18</v>
      </c>
      <c r="BT126" s="72">
        <v>18</v>
      </c>
      <c r="BU126" s="72">
        <v>18</v>
      </c>
      <c r="BV126" s="72">
        <v>18</v>
      </c>
      <c r="BW126" s="72">
        <v>18</v>
      </c>
      <c r="BX126" s="72">
        <v>18</v>
      </c>
      <c r="BY126" s="72">
        <v>18</v>
      </c>
      <c r="BZ126" s="72">
        <v>18</v>
      </c>
      <c r="CA126" s="72">
        <v>18</v>
      </c>
      <c r="CB126" s="72">
        <v>18</v>
      </c>
      <c r="CC126" s="72">
        <v>18</v>
      </c>
      <c r="CD126" s="72">
        <v>18</v>
      </c>
      <c r="CE126" s="72">
        <v>18</v>
      </c>
      <c r="CF126" s="72">
        <v>19</v>
      </c>
      <c r="CG126" s="72">
        <v>19</v>
      </c>
      <c r="CH126" s="72">
        <v>19</v>
      </c>
      <c r="CI126" s="72">
        <v>19</v>
      </c>
      <c r="CJ126" s="72">
        <v>19</v>
      </c>
      <c r="CK126" s="72">
        <v>19</v>
      </c>
      <c r="CL126" s="72">
        <v>19</v>
      </c>
      <c r="CM126" s="72">
        <v>19</v>
      </c>
      <c r="CN126" s="72">
        <v>19</v>
      </c>
      <c r="CO126" s="72">
        <v>19</v>
      </c>
      <c r="CP126" s="72">
        <v>19</v>
      </c>
      <c r="CQ126" s="72">
        <v>19</v>
      </c>
      <c r="CR126" s="72">
        <v>19</v>
      </c>
      <c r="CS126" s="72">
        <v>19</v>
      </c>
      <c r="CT126" s="72">
        <v>19</v>
      </c>
      <c r="CU126" s="72">
        <v>19</v>
      </c>
      <c r="CV126" s="72">
        <v>19</v>
      </c>
      <c r="CW126" s="72">
        <v>19</v>
      </c>
      <c r="CX126" s="72">
        <v>19</v>
      </c>
      <c r="CY126" s="72">
        <v>19</v>
      </c>
      <c r="CZ126" s="72">
        <v>19</v>
      </c>
      <c r="DA126" s="72">
        <v>19</v>
      </c>
      <c r="DB126" s="72">
        <v>19</v>
      </c>
      <c r="DC126" s="72">
        <v>19</v>
      </c>
      <c r="DD126" s="72">
        <v>19</v>
      </c>
      <c r="DE126" s="72">
        <v>19</v>
      </c>
      <c r="DF126" s="72">
        <v>19</v>
      </c>
      <c r="DG126" s="72">
        <v>19</v>
      </c>
      <c r="DH126" s="72">
        <v>19</v>
      </c>
      <c r="DI126" s="72">
        <v>19</v>
      </c>
      <c r="DJ126" s="72">
        <v>19</v>
      </c>
      <c r="DK126" s="72">
        <v>19</v>
      </c>
      <c r="DL126" s="72">
        <v>19</v>
      </c>
    </row>
    <row r="127" spans="1:116" x14ac:dyDescent="0.35">
      <c r="A127" s="7"/>
      <c r="B127" s="8" t="s">
        <v>228</v>
      </c>
      <c r="C127" s="9" t="s">
        <v>229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47</v>
      </c>
      <c r="J127" s="10">
        <v>1</v>
      </c>
      <c r="K127" s="10"/>
      <c r="L127" s="8" t="s">
        <v>206</v>
      </c>
      <c r="M127" s="12">
        <v>3.48936</v>
      </c>
      <c r="N127" s="12">
        <f t="shared" si="1"/>
        <v>167.48928000000001</v>
      </c>
      <c r="O127" s="11">
        <v>48</v>
      </c>
      <c r="P127" s="11">
        <v>48</v>
      </c>
      <c r="Q127" s="11">
        <v>48</v>
      </c>
      <c r="R127" s="11">
        <v>47</v>
      </c>
      <c r="S127" s="11">
        <v>47</v>
      </c>
      <c r="T127" s="11">
        <v>47</v>
      </c>
      <c r="U127" s="11">
        <v>47</v>
      </c>
      <c r="V127" s="11">
        <v>47</v>
      </c>
      <c r="W127" s="11">
        <v>47</v>
      </c>
      <c r="X127" s="11">
        <v>47</v>
      </c>
      <c r="Y127" s="11">
        <v>47</v>
      </c>
      <c r="Z127" s="11">
        <v>47</v>
      </c>
      <c r="AA127" s="11">
        <v>47</v>
      </c>
      <c r="AB127" s="11">
        <v>47</v>
      </c>
      <c r="AC127" s="11">
        <v>47</v>
      </c>
      <c r="AD127" s="11">
        <v>47</v>
      </c>
      <c r="AE127" s="11">
        <v>47</v>
      </c>
      <c r="AF127" s="11">
        <v>47</v>
      </c>
      <c r="AG127" s="11">
        <v>47</v>
      </c>
      <c r="AH127" s="11">
        <v>47</v>
      </c>
      <c r="AI127" s="11">
        <v>47</v>
      </c>
      <c r="AJ127" s="11">
        <v>47</v>
      </c>
      <c r="AK127" s="11">
        <v>47</v>
      </c>
      <c r="AL127" s="11">
        <v>47</v>
      </c>
      <c r="AM127" s="11">
        <v>47</v>
      </c>
      <c r="AN127" s="72">
        <v>47</v>
      </c>
      <c r="AO127" s="72">
        <v>47</v>
      </c>
      <c r="AP127" s="72">
        <v>47</v>
      </c>
      <c r="AQ127" s="72">
        <v>47</v>
      </c>
      <c r="AR127" s="72">
        <v>47</v>
      </c>
      <c r="AS127" s="72">
        <v>47</v>
      </c>
      <c r="AT127" s="72">
        <v>47</v>
      </c>
      <c r="AU127" s="72">
        <v>47</v>
      </c>
      <c r="AV127" s="72">
        <v>47</v>
      </c>
      <c r="AW127" s="72">
        <v>47</v>
      </c>
      <c r="AX127" s="72">
        <v>47</v>
      </c>
      <c r="AY127" s="72">
        <v>47</v>
      </c>
      <c r="AZ127" s="72">
        <v>47</v>
      </c>
      <c r="BA127" s="72">
        <v>47</v>
      </c>
      <c r="BB127" s="72">
        <v>47</v>
      </c>
      <c r="BC127" s="72">
        <v>47</v>
      </c>
      <c r="BD127" s="72">
        <v>47</v>
      </c>
      <c r="BE127" s="72">
        <v>47</v>
      </c>
      <c r="BF127" s="72">
        <v>47</v>
      </c>
      <c r="BG127" s="72">
        <v>47</v>
      </c>
      <c r="BH127" s="72">
        <v>47</v>
      </c>
      <c r="BI127" s="72">
        <v>47</v>
      </c>
      <c r="BJ127" s="72">
        <v>47</v>
      </c>
      <c r="BK127" s="72">
        <v>47</v>
      </c>
      <c r="BL127" s="72">
        <v>47</v>
      </c>
      <c r="BM127" s="72">
        <v>47</v>
      </c>
      <c r="BN127" s="72">
        <v>47</v>
      </c>
      <c r="BO127" s="72">
        <v>47</v>
      </c>
      <c r="BP127" s="72">
        <v>47</v>
      </c>
      <c r="BQ127" s="72">
        <v>47</v>
      </c>
      <c r="BR127" s="72">
        <v>47</v>
      </c>
      <c r="BS127" s="72">
        <v>47</v>
      </c>
      <c r="BT127" s="72">
        <v>47</v>
      </c>
      <c r="BU127" s="72">
        <v>47</v>
      </c>
      <c r="BV127" s="72">
        <v>47</v>
      </c>
      <c r="BW127" s="72">
        <v>47</v>
      </c>
      <c r="BX127" s="72">
        <v>47</v>
      </c>
      <c r="BY127" s="72">
        <v>47</v>
      </c>
      <c r="BZ127" s="72">
        <v>47</v>
      </c>
      <c r="CA127" s="72">
        <v>47</v>
      </c>
      <c r="CB127" s="72">
        <v>47</v>
      </c>
      <c r="CC127" s="72">
        <v>47</v>
      </c>
      <c r="CD127" s="72">
        <v>47</v>
      </c>
      <c r="CE127" s="72">
        <v>47</v>
      </c>
      <c r="CF127" s="72">
        <v>48</v>
      </c>
      <c r="CG127" s="72">
        <v>48</v>
      </c>
      <c r="CH127" s="72">
        <v>48</v>
      </c>
      <c r="CI127" s="72">
        <v>48</v>
      </c>
      <c r="CJ127" s="72">
        <v>48</v>
      </c>
      <c r="CK127" s="72">
        <v>48</v>
      </c>
      <c r="CL127" s="72">
        <v>48</v>
      </c>
      <c r="CM127" s="72">
        <v>48</v>
      </c>
      <c r="CN127" s="72">
        <v>48</v>
      </c>
      <c r="CO127" s="72">
        <v>48</v>
      </c>
      <c r="CP127" s="72">
        <v>48</v>
      </c>
      <c r="CQ127" s="72">
        <v>48</v>
      </c>
      <c r="CR127" s="72">
        <v>48</v>
      </c>
      <c r="CS127" s="72">
        <v>48</v>
      </c>
      <c r="CT127" s="72">
        <v>48</v>
      </c>
      <c r="CU127" s="72">
        <v>48</v>
      </c>
      <c r="CV127" s="72">
        <v>48</v>
      </c>
      <c r="CW127" s="72">
        <v>48</v>
      </c>
      <c r="CX127" s="72">
        <v>48</v>
      </c>
      <c r="CY127" s="72">
        <v>48</v>
      </c>
      <c r="CZ127" s="72">
        <v>48</v>
      </c>
      <c r="DA127" s="72">
        <v>48</v>
      </c>
      <c r="DB127" s="72">
        <v>48</v>
      </c>
      <c r="DC127" s="72">
        <v>48</v>
      </c>
      <c r="DD127" s="72">
        <v>48</v>
      </c>
      <c r="DE127" s="72">
        <v>48</v>
      </c>
      <c r="DF127" s="72">
        <v>48</v>
      </c>
      <c r="DG127" s="72">
        <v>48</v>
      </c>
      <c r="DH127" s="72">
        <v>48</v>
      </c>
      <c r="DI127" s="72">
        <v>48</v>
      </c>
      <c r="DJ127" s="72">
        <v>48</v>
      </c>
      <c r="DK127" s="72">
        <v>48</v>
      </c>
      <c r="DL127" s="72">
        <v>48</v>
      </c>
    </row>
    <row r="128" spans="1:116" x14ac:dyDescent="0.35">
      <c r="A128" s="7"/>
      <c r="B128" s="8" t="s">
        <v>230</v>
      </c>
      <c r="C128" s="9" t="s">
        <v>231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28</v>
      </c>
      <c r="J128" s="10">
        <v>1</v>
      </c>
      <c r="K128" s="10"/>
      <c r="L128" s="8" t="s">
        <v>206</v>
      </c>
      <c r="M128" s="12">
        <v>4.82796</v>
      </c>
      <c r="N128" s="12">
        <f t="shared" si="1"/>
        <v>140.01084</v>
      </c>
      <c r="O128" s="11">
        <v>29</v>
      </c>
      <c r="P128" s="11">
        <v>29</v>
      </c>
      <c r="Q128" s="11">
        <v>29</v>
      </c>
      <c r="R128" s="11">
        <v>28</v>
      </c>
      <c r="S128" s="11">
        <v>28</v>
      </c>
      <c r="T128" s="11">
        <v>28</v>
      </c>
      <c r="U128" s="11">
        <v>28</v>
      </c>
      <c r="V128" s="11">
        <v>28</v>
      </c>
      <c r="W128" s="11">
        <v>28</v>
      </c>
      <c r="X128" s="11">
        <v>28</v>
      </c>
      <c r="Y128" s="11">
        <v>28</v>
      </c>
      <c r="Z128" s="11">
        <v>28</v>
      </c>
      <c r="AA128" s="11">
        <v>28</v>
      </c>
      <c r="AB128" s="11">
        <v>28</v>
      </c>
      <c r="AC128" s="11">
        <v>28</v>
      </c>
      <c r="AD128" s="11">
        <v>28</v>
      </c>
      <c r="AE128" s="11">
        <v>28</v>
      </c>
      <c r="AF128" s="11">
        <v>28</v>
      </c>
      <c r="AG128" s="11">
        <v>28</v>
      </c>
      <c r="AH128" s="11">
        <v>28</v>
      </c>
      <c r="AI128" s="11">
        <v>28</v>
      </c>
      <c r="AJ128" s="11">
        <v>28</v>
      </c>
      <c r="AK128" s="11">
        <v>28</v>
      </c>
      <c r="AL128" s="11">
        <v>28</v>
      </c>
      <c r="AM128" s="11">
        <v>28</v>
      </c>
      <c r="AN128" s="72">
        <v>28</v>
      </c>
      <c r="AO128" s="72">
        <v>28</v>
      </c>
      <c r="AP128" s="72">
        <v>28</v>
      </c>
      <c r="AQ128" s="72">
        <v>28</v>
      </c>
      <c r="AR128" s="72">
        <v>28</v>
      </c>
      <c r="AS128" s="72">
        <v>28</v>
      </c>
      <c r="AT128" s="72">
        <v>28</v>
      </c>
      <c r="AU128" s="72">
        <v>28</v>
      </c>
      <c r="AV128" s="72">
        <v>28</v>
      </c>
      <c r="AW128" s="72">
        <v>28</v>
      </c>
      <c r="AX128" s="72">
        <v>28</v>
      </c>
      <c r="AY128" s="72">
        <v>28</v>
      </c>
      <c r="AZ128" s="72">
        <v>26</v>
      </c>
      <c r="BA128" s="72">
        <v>26</v>
      </c>
      <c r="BB128" s="72">
        <v>28</v>
      </c>
      <c r="BC128" s="72">
        <v>28</v>
      </c>
      <c r="BD128" s="72">
        <v>28</v>
      </c>
      <c r="BE128" s="72">
        <v>28</v>
      </c>
      <c r="BF128" s="72">
        <v>28</v>
      </c>
      <c r="BG128" s="72">
        <v>28</v>
      </c>
      <c r="BH128" s="72">
        <v>28</v>
      </c>
      <c r="BI128" s="72">
        <v>28</v>
      </c>
      <c r="BJ128" s="72">
        <v>28</v>
      </c>
      <c r="BK128" s="72">
        <v>28</v>
      </c>
      <c r="BL128" s="72">
        <v>28</v>
      </c>
      <c r="BM128" s="72">
        <v>28</v>
      </c>
      <c r="BN128" s="72">
        <v>28</v>
      </c>
      <c r="BO128" s="72">
        <v>28</v>
      </c>
      <c r="BP128" s="72">
        <v>28</v>
      </c>
      <c r="BQ128" s="72">
        <v>28</v>
      </c>
      <c r="BR128" s="72">
        <v>28</v>
      </c>
      <c r="BS128" s="72">
        <v>28</v>
      </c>
      <c r="BT128" s="72">
        <v>28</v>
      </c>
      <c r="BU128" s="72">
        <v>28</v>
      </c>
      <c r="BV128" s="72">
        <v>28</v>
      </c>
      <c r="BW128" s="72">
        <v>28</v>
      </c>
      <c r="BX128" s="72">
        <v>28</v>
      </c>
      <c r="BY128" s="72">
        <v>28</v>
      </c>
      <c r="BZ128" s="72">
        <v>28</v>
      </c>
      <c r="CA128" s="72">
        <v>28</v>
      </c>
      <c r="CB128" s="72">
        <v>28</v>
      </c>
      <c r="CC128" s="72">
        <v>28</v>
      </c>
      <c r="CD128" s="72">
        <v>28</v>
      </c>
      <c r="CE128" s="72">
        <v>28</v>
      </c>
      <c r="CF128" s="72">
        <v>29</v>
      </c>
      <c r="CG128" s="72">
        <v>29</v>
      </c>
      <c r="CH128" s="72">
        <v>29</v>
      </c>
      <c r="CI128" s="72">
        <v>29</v>
      </c>
      <c r="CJ128" s="72">
        <v>29</v>
      </c>
      <c r="CK128" s="72">
        <v>29</v>
      </c>
      <c r="CL128" s="72">
        <v>29</v>
      </c>
      <c r="CM128" s="72">
        <v>29</v>
      </c>
      <c r="CN128" s="72">
        <v>29</v>
      </c>
      <c r="CO128" s="72">
        <v>29</v>
      </c>
      <c r="CP128" s="72">
        <v>29</v>
      </c>
      <c r="CQ128" s="72">
        <v>29</v>
      </c>
      <c r="CR128" s="72">
        <v>29</v>
      </c>
      <c r="CS128" s="72">
        <v>29</v>
      </c>
      <c r="CT128" s="72">
        <v>29</v>
      </c>
      <c r="CU128" s="72">
        <v>29</v>
      </c>
      <c r="CV128" s="72">
        <v>29</v>
      </c>
      <c r="CW128" s="72">
        <v>29</v>
      </c>
      <c r="CX128" s="72">
        <v>29</v>
      </c>
      <c r="CY128" s="72">
        <v>29</v>
      </c>
      <c r="CZ128" s="72">
        <v>29</v>
      </c>
      <c r="DA128" s="72">
        <v>29</v>
      </c>
      <c r="DB128" s="72">
        <v>29</v>
      </c>
      <c r="DC128" s="72">
        <v>29</v>
      </c>
      <c r="DD128" s="72">
        <v>29</v>
      </c>
      <c r="DE128" s="72">
        <v>29</v>
      </c>
      <c r="DF128" s="72">
        <v>29</v>
      </c>
      <c r="DG128" s="72">
        <v>29</v>
      </c>
      <c r="DH128" s="72">
        <v>29</v>
      </c>
      <c r="DI128" s="72">
        <v>29</v>
      </c>
      <c r="DJ128" s="72">
        <v>29</v>
      </c>
      <c r="DK128" s="72">
        <v>29</v>
      </c>
      <c r="DL128" s="72">
        <v>29</v>
      </c>
    </row>
    <row r="129" spans="1:116" x14ac:dyDescent="0.35">
      <c r="A129" s="7"/>
      <c r="B129" s="8" t="s">
        <v>232</v>
      </c>
      <c r="C129" s="9" t="s">
        <v>233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15</v>
      </c>
      <c r="J129" s="10">
        <v>1</v>
      </c>
      <c r="K129" s="10"/>
      <c r="L129" s="8" t="s">
        <v>206</v>
      </c>
      <c r="M129" s="12">
        <v>7.1093999999999999</v>
      </c>
      <c r="N129" s="12">
        <f t="shared" si="1"/>
        <v>113.7504</v>
      </c>
      <c r="O129" s="11">
        <v>18</v>
      </c>
      <c r="P129" s="11">
        <v>18</v>
      </c>
      <c r="Q129" s="11">
        <v>18</v>
      </c>
      <c r="R129" s="11">
        <v>17</v>
      </c>
      <c r="S129" s="11">
        <v>17</v>
      </c>
      <c r="T129" s="11">
        <v>17</v>
      </c>
      <c r="U129" s="11">
        <v>17</v>
      </c>
      <c r="V129" s="11">
        <v>17</v>
      </c>
      <c r="W129" s="11">
        <v>17</v>
      </c>
      <c r="X129" s="11">
        <v>17</v>
      </c>
      <c r="Y129" s="11">
        <v>17</v>
      </c>
      <c r="Z129" s="11">
        <v>17</v>
      </c>
      <c r="AA129" s="11">
        <v>17</v>
      </c>
      <c r="AB129" s="11">
        <v>17</v>
      </c>
      <c r="AC129" s="11">
        <v>17</v>
      </c>
      <c r="AD129" s="11">
        <v>17</v>
      </c>
      <c r="AE129" s="11">
        <v>17</v>
      </c>
      <c r="AF129" s="11">
        <v>17</v>
      </c>
      <c r="AG129" s="11">
        <v>16</v>
      </c>
      <c r="AH129" s="11">
        <v>16</v>
      </c>
      <c r="AI129" s="11">
        <v>15</v>
      </c>
      <c r="AJ129" s="11">
        <v>15</v>
      </c>
      <c r="AK129" s="11">
        <v>15</v>
      </c>
      <c r="AL129" s="11">
        <v>15</v>
      </c>
      <c r="AM129" s="11">
        <v>15</v>
      </c>
      <c r="AN129" s="72">
        <v>15</v>
      </c>
      <c r="AO129" s="72">
        <v>15</v>
      </c>
      <c r="AP129" s="72">
        <v>15</v>
      </c>
      <c r="AQ129" s="72">
        <v>15</v>
      </c>
      <c r="AR129" s="72">
        <v>15</v>
      </c>
      <c r="AS129" s="72">
        <v>15</v>
      </c>
      <c r="AT129" s="72">
        <v>15</v>
      </c>
      <c r="AU129" s="72">
        <v>15</v>
      </c>
      <c r="AV129" s="72">
        <v>15</v>
      </c>
      <c r="AW129" s="72">
        <v>15</v>
      </c>
      <c r="AX129" s="72">
        <v>15</v>
      </c>
      <c r="AY129" s="72">
        <v>15</v>
      </c>
      <c r="AZ129" s="72">
        <v>15</v>
      </c>
      <c r="BA129" s="72">
        <v>15</v>
      </c>
      <c r="BB129" s="72">
        <v>15</v>
      </c>
      <c r="BC129" s="72">
        <v>15</v>
      </c>
      <c r="BD129" s="72">
        <v>15</v>
      </c>
      <c r="BE129" s="72">
        <v>15</v>
      </c>
      <c r="BF129" s="72">
        <v>15</v>
      </c>
      <c r="BG129" s="72">
        <v>15</v>
      </c>
      <c r="BH129" s="72">
        <v>15</v>
      </c>
      <c r="BI129" s="72">
        <v>15</v>
      </c>
      <c r="BJ129" s="72">
        <v>15</v>
      </c>
      <c r="BK129" s="72">
        <v>15</v>
      </c>
      <c r="BL129" s="72">
        <v>15</v>
      </c>
      <c r="BM129" s="72">
        <v>15</v>
      </c>
      <c r="BN129" s="72">
        <v>15</v>
      </c>
      <c r="BO129" s="72">
        <v>15</v>
      </c>
      <c r="BP129" s="72">
        <v>15</v>
      </c>
      <c r="BQ129" s="72">
        <v>15</v>
      </c>
      <c r="BR129" s="72">
        <v>15</v>
      </c>
      <c r="BS129" s="72">
        <v>15</v>
      </c>
      <c r="BT129" s="72">
        <v>15</v>
      </c>
      <c r="BU129" s="72">
        <v>15</v>
      </c>
      <c r="BV129" s="72">
        <v>15</v>
      </c>
      <c r="BW129" s="72">
        <v>15</v>
      </c>
      <c r="BX129" s="72">
        <v>15</v>
      </c>
      <c r="BY129" s="72">
        <v>15</v>
      </c>
      <c r="BZ129" s="72">
        <v>15</v>
      </c>
      <c r="CA129" s="72">
        <v>15</v>
      </c>
      <c r="CB129" s="72">
        <v>15</v>
      </c>
      <c r="CC129" s="72">
        <v>15</v>
      </c>
      <c r="CD129" s="72">
        <v>15</v>
      </c>
      <c r="CE129" s="72">
        <v>15</v>
      </c>
      <c r="CF129" s="72">
        <v>16</v>
      </c>
      <c r="CG129" s="72">
        <v>16</v>
      </c>
      <c r="CH129" s="72">
        <v>16</v>
      </c>
      <c r="CI129" s="72">
        <v>16</v>
      </c>
      <c r="CJ129" s="72">
        <v>16</v>
      </c>
      <c r="CK129" s="72">
        <v>16</v>
      </c>
      <c r="CL129" s="72">
        <v>16</v>
      </c>
      <c r="CM129" s="72">
        <v>16</v>
      </c>
      <c r="CN129" s="72">
        <v>16</v>
      </c>
      <c r="CO129" s="72">
        <v>16</v>
      </c>
      <c r="CP129" s="72">
        <v>16</v>
      </c>
      <c r="CQ129" s="72">
        <v>16</v>
      </c>
      <c r="CR129" s="72">
        <v>16</v>
      </c>
      <c r="CS129" s="72">
        <v>16</v>
      </c>
      <c r="CT129" s="72">
        <v>16</v>
      </c>
      <c r="CU129" s="72">
        <v>16</v>
      </c>
      <c r="CV129" s="72">
        <v>16</v>
      </c>
      <c r="CW129" s="72">
        <v>16</v>
      </c>
      <c r="CX129" s="72">
        <v>16</v>
      </c>
      <c r="CY129" s="72">
        <v>16</v>
      </c>
      <c r="CZ129" s="72">
        <v>16</v>
      </c>
      <c r="DA129" s="72">
        <v>16</v>
      </c>
      <c r="DB129" s="72">
        <v>16</v>
      </c>
      <c r="DC129" s="72">
        <v>16</v>
      </c>
      <c r="DD129" s="72">
        <v>16</v>
      </c>
      <c r="DE129" s="72">
        <v>16</v>
      </c>
      <c r="DF129" s="72">
        <v>16</v>
      </c>
      <c r="DG129" s="72">
        <v>16</v>
      </c>
      <c r="DH129" s="72">
        <v>16</v>
      </c>
      <c r="DI129" s="72">
        <v>16</v>
      </c>
      <c r="DJ129" s="72">
        <v>16</v>
      </c>
      <c r="DK129" s="72">
        <v>16</v>
      </c>
      <c r="DL129" s="72">
        <v>16</v>
      </c>
    </row>
    <row r="130" spans="1:116" x14ac:dyDescent="0.35">
      <c r="A130" s="7"/>
      <c r="B130" s="8" t="s">
        <v>234</v>
      </c>
      <c r="C130" s="9" t="s">
        <v>235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1843</v>
      </c>
      <c r="J130" s="10">
        <v>50</v>
      </c>
      <c r="K130" s="10"/>
      <c r="L130" s="8" t="s">
        <v>236</v>
      </c>
      <c r="M130" s="12">
        <v>0.504</v>
      </c>
      <c r="N130" s="12">
        <f t="shared" si="1"/>
        <v>612.86400000000003</v>
      </c>
      <c r="O130" s="11">
        <v>1914</v>
      </c>
      <c r="P130" s="11">
        <v>1914</v>
      </c>
      <c r="Q130" s="11">
        <v>1914</v>
      </c>
      <c r="R130" s="11">
        <v>1914</v>
      </c>
      <c r="S130" s="11">
        <v>1913</v>
      </c>
      <c r="T130" s="11">
        <v>1463</v>
      </c>
      <c r="U130" s="11">
        <v>1863</v>
      </c>
      <c r="V130" s="11">
        <v>1863</v>
      </c>
      <c r="W130" s="11">
        <v>1863</v>
      </c>
      <c r="X130" s="11">
        <v>1863</v>
      </c>
      <c r="Y130" s="11">
        <v>1863</v>
      </c>
      <c r="Z130" s="11">
        <v>1843</v>
      </c>
      <c r="AA130" s="11">
        <v>1843</v>
      </c>
      <c r="AB130" s="11">
        <v>1843</v>
      </c>
      <c r="AC130" s="11">
        <v>1843</v>
      </c>
      <c r="AD130" s="11">
        <v>1843</v>
      </c>
      <c r="AE130" s="11">
        <v>1843</v>
      </c>
      <c r="AF130" s="11">
        <v>1843</v>
      </c>
      <c r="AG130" s="11">
        <v>1843</v>
      </c>
      <c r="AH130" s="11">
        <v>1843</v>
      </c>
      <c r="AI130" s="11">
        <v>1843</v>
      </c>
      <c r="AJ130" s="11">
        <v>1843</v>
      </c>
      <c r="AK130" s="11">
        <v>1843</v>
      </c>
      <c r="AL130" s="11">
        <v>1482</v>
      </c>
      <c r="AM130" s="11">
        <v>1482</v>
      </c>
      <c r="AN130" s="72">
        <v>1482</v>
      </c>
      <c r="AO130" s="72">
        <v>1482</v>
      </c>
      <c r="AP130" s="72">
        <v>1482</v>
      </c>
      <c r="AQ130" s="72">
        <v>1482</v>
      </c>
      <c r="AR130" s="72">
        <v>1482</v>
      </c>
      <c r="AS130" s="72">
        <v>1482</v>
      </c>
      <c r="AT130" s="72">
        <v>1482</v>
      </c>
      <c r="AU130" s="72">
        <v>1482</v>
      </c>
      <c r="AV130" s="72">
        <v>1482</v>
      </c>
      <c r="AW130" s="72">
        <v>1482</v>
      </c>
      <c r="AX130" s="72">
        <v>1462</v>
      </c>
      <c r="AY130" s="72">
        <v>1462</v>
      </c>
      <c r="AZ130" s="72">
        <v>1462</v>
      </c>
      <c r="BA130" s="72">
        <v>1462</v>
      </c>
      <c r="BB130" s="72">
        <v>1462</v>
      </c>
      <c r="BC130" s="72">
        <v>1462</v>
      </c>
      <c r="BD130" s="72">
        <v>1462</v>
      </c>
      <c r="BE130" s="72">
        <v>1462</v>
      </c>
      <c r="BF130" s="72">
        <v>1462</v>
      </c>
      <c r="BG130" s="72">
        <v>1462</v>
      </c>
      <c r="BH130" s="72">
        <v>1462</v>
      </c>
      <c r="BI130" s="72">
        <v>1462</v>
      </c>
      <c r="BJ130" s="72">
        <v>1462</v>
      </c>
      <c r="BK130" s="72">
        <v>1412</v>
      </c>
      <c r="BL130" s="72">
        <v>1412</v>
      </c>
      <c r="BM130" s="72">
        <v>1412</v>
      </c>
      <c r="BN130" s="72">
        <v>1412</v>
      </c>
      <c r="BO130" s="72">
        <v>1412</v>
      </c>
      <c r="BP130" s="72">
        <v>1184</v>
      </c>
      <c r="BQ130" s="72">
        <v>1184</v>
      </c>
      <c r="BR130" s="72">
        <v>1184</v>
      </c>
      <c r="BS130" s="72">
        <v>1121</v>
      </c>
      <c r="BT130" s="72">
        <v>1096</v>
      </c>
      <c r="BU130" s="72">
        <v>1096</v>
      </c>
      <c r="BV130" s="72">
        <v>1084</v>
      </c>
      <c r="BW130" s="72">
        <v>1084</v>
      </c>
      <c r="BX130" s="72">
        <v>1084</v>
      </c>
      <c r="BY130" s="72">
        <v>1084</v>
      </c>
      <c r="BZ130" s="72">
        <v>1084</v>
      </c>
      <c r="CA130" s="72">
        <v>1084</v>
      </c>
      <c r="CB130" s="72">
        <v>1084</v>
      </c>
      <c r="CC130" s="72">
        <v>1084</v>
      </c>
      <c r="CD130" s="72">
        <v>1084</v>
      </c>
      <c r="CE130" s="72">
        <v>1084</v>
      </c>
      <c r="CF130" s="72">
        <v>1416</v>
      </c>
      <c r="CG130" s="72">
        <v>1416</v>
      </c>
      <c r="CH130" s="72">
        <v>1416</v>
      </c>
      <c r="CI130" s="72">
        <v>1416</v>
      </c>
      <c r="CJ130" s="72">
        <v>1416</v>
      </c>
      <c r="CK130" s="72">
        <v>1416</v>
      </c>
      <c r="CL130" s="72">
        <v>1416</v>
      </c>
      <c r="CM130" s="72">
        <v>1416</v>
      </c>
      <c r="CN130" s="72">
        <v>1416</v>
      </c>
      <c r="CO130" s="72">
        <v>1416</v>
      </c>
      <c r="CP130" s="72">
        <v>1416</v>
      </c>
      <c r="CQ130" s="72">
        <v>1416</v>
      </c>
      <c r="CR130" s="72">
        <v>1416</v>
      </c>
      <c r="CS130" s="72">
        <v>1416</v>
      </c>
      <c r="CT130" s="72">
        <v>1416</v>
      </c>
      <c r="CU130" s="72">
        <v>1416</v>
      </c>
      <c r="CV130" s="72">
        <v>1416</v>
      </c>
      <c r="CW130" s="72">
        <v>1416</v>
      </c>
      <c r="CX130" s="72">
        <v>1416</v>
      </c>
      <c r="CY130" s="72">
        <v>1416</v>
      </c>
      <c r="CZ130" s="72">
        <v>1416</v>
      </c>
      <c r="DA130" s="72">
        <v>1216</v>
      </c>
      <c r="DB130" s="72">
        <v>1216</v>
      </c>
      <c r="DC130" s="72">
        <v>1216</v>
      </c>
      <c r="DD130" s="72">
        <v>1216</v>
      </c>
      <c r="DE130" s="72">
        <v>1216</v>
      </c>
      <c r="DF130" s="72">
        <v>1216</v>
      </c>
      <c r="DG130" s="72">
        <v>1216</v>
      </c>
      <c r="DH130" s="72">
        <v>1216</v>
      </c>
      <c r="DI130" s="72">
        <v>1216</v>
      </c>
      <c r="DJ130" s="72">
        <v>1216</v>
      </c>
      <c r="DK130" s="72">
        <v>1216</v>
      </c>
      <c r="DL130" s="72">
        <v>1216</v>
      </c>
    </row>
    <row r="131" spans="1:116" x14ac:dyDescent="0.35">
      <c r="A131" s="7"/>
      <c r="B131" s="8" t="s">
        <v>237</v>
      </c>
      <c r="C131" s="9" t="s">
        <v>238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1828</v>
      </c>
      <c r="J131" s="10">
        <v>1</v>
      </c>
      <c r="K131" s="10" t="s">
        <v>42</v>
      </c>
      <c r="L131" s="8" t="s">
        <v>206</v>
      </c>
      <c r="M131" s="12">
        <v>0.53878423999999969</v>
      </c>
      <c r="N131" s="12">
        <f t="shared" ref="N131:N194" si="2">M131*DL131</f>
        <v>0</v>
      </c>
      <c r="O131" s="11">
        <v>1981</v>
      </c>
      <c r="P131" s="11">
        <v>1981</v>
      </c>
      <c r="Q131" s="11">
        <v>1981</v>
      </c>
      <c r="R131" s="11">
        <v>1980</v>
      </c>
      <c r="S131" s="11">
        <v>1980</v>
      </c>
      <c r="T131" s="11">
        <v>1980</v>
      </c>
      <c r="U131" s="11">
        <v>1980</v>
      </c>
      <c r="V131" s="11">
        <v>1980</v>
      </c>
      <c r="W131" s="11">
        <v>1980</v>
      </c>
      <c r="X131" s="11">
        <v>1980</v>
      </c>
      <c r="Y131" s="11">
        <v>1980</v>
      </c>
      <c r="Z131" s="11">
        <v>1980</v>
      </c>
      <c r="AA131" s="11">
        <v>1980</v>
      </c>
      <c r="AB131" s="11">
        <v>1980</v>
      </c>
      <c r="AC131" s="11">
        <v>1980</v>
      </c>
      <c r="AD131" s="11">
        <v>1980</v>
      </c>
      <c r="AE131" s="11">
        <v>1978</v>
      </c>
      <c r="AF131" s="11">
        <v>1978</v>
      </c>
      <c r="AG131" s="11">
        <v>1828</v>
      </c>
      <c r="AH131" s="11">
        <v>1678</v>
      </c>
      <c r="AI131" s="11">
        <v>1678</v>
      </c>
      <c r="AJ131" s="11">
        <v>1678</v>
      </c>
      <c r="AK131" s="11">
        <v>1678</v>
      </c>
      <c r="AL131" s="11">
        <v>1328</v>
      </c>
      <c r="AM131" s="72">
        <v>1278</v>
      </c>
      <c r="AN131" s="72">
        <v>1278</v>
      </c>
      <c r="AO131" s="72">
        <v>1238</v>
      </c>
      <c r="AP131" s="72">
        <v>1238</v>
      </c>
      <c r="AQ131" s="72">
        <v>1238</v>
      </c>
      <c r="AR131" s="72">
        <v>1198</v>
      </c>
      <c r="AS131" s="72">
        <v>1198</v>
      </c>
      <c r="AT131" s="72">
        <v>1198</v>
      </c>
      <c r="AU131" s="72">
        <v>1198</v>
      </c>
      <c r="AV131" s="72">
        <v>1198</v>
      </c>
      <c r="AW131" s="72">
        <v>1198</v>
      </c>
      <c r="AX131" s="72">
        <v>1198</v>
      </c>
      <c r="AY131" s="72">
        <v>1198</v>
      </c>
      <c r="AZ131" s="72">
        <v>1198</v>
      </c>
      <c r="BA131" s="72">
        <v>1198</v>
      </c>
      <c r="BB131" s="72">
        <v>1198</v>
      </c>
      <c r="BC131" s="72">
        <v>1198</v>
      </c>
      <c r="BD131" s="72">
        <v>1198</v>
      </c>
      <c r="BE131" s="72">
        <v>1198</v>
      </c>
      <c r="BF131" s="72">
        <v>1198</v>
      </c>
      <c r="BG131" s="72">
        <v>1198</v>
      </c>
      <c r="BH131" s="72">
        <v>1198</v>
      </c>
      <c r="BI131" s="72">
        <v>1198</v>
      </c>
      <c r="BJ131" s="72">
        <v>1198</v>
      </c>
      <c r="BK131" s="72">
        <v>1148</v>
      </c>
      <c r="BL131" s="72">
        <v>1148</v>
      </c>
      <c r="BM131" s="72">
        <v>1148</v>
      </c>
      <c r="BN131" s="72">
        <v>1148</v>
      </c>
      <c r="BO131" s="72">
        <v>1148</v>
      </c>
      <c r="BP131" s="72">
        <v>0</v>
      </c>
      <c r="BQ131" s="72">
        <v>0</v>
      </c>
      <c r="BR131" s="72">
        <v>0</v>
      </c>
      <c r="BS131" s="72">
        <v>0</v>
      </c>
      <c r="BT131" s="72">
        <v>0</v>
      </c>
      <c r="BU131" s="72">
        <v>0</v>
      </c>
      <c r="BV131" s="72">
        <v>0</v>
      </c>
      <c r="BW131" s="72">
        <v>0</v>
      </c>
      <c r="BX131" s="72">
        <v>0</v>
      </c>
      <c r="BY131" s="72">
        <v>0</v>
      </c>
      <c r="BZ131" s="72">
        <v>0</v>
      </c>
      <c r="CA131" s="72">
        <v>0</v>
      </c>
      <c r="CB131" s="72">
        <v>0</v>
      </c>
      <c r="CC131" s="72">
        <v>0</v>
      </c>
      <c r="CD131" s="72">
        <v>0</v>
      </c>
      <c r="CE131" s="72">
        <v>0</v>
      </c>
      <c r="CF131" s="72">
        <v>1</v>
      </c>
      <c r="CG131" s="72">
        <v>1</v>
      </c>
      <c r="CH131" s="72">
        <v>1</v>
      </c>
      <c r="CI131" s="72">
        <v>1</v>
      </c>
      <c r="CJ131" s="72">
        <v>1</v>
      </c>
      <c r="CK131" s="72">
        <v>0</v>
      </c>
      <c r="CL131" s="72">
        <v>0</v>
      </c>
      <c r="CM131" s="72">
        <v>0</v>
      </c>
      <c r="CN131" s="72">
        <v>0</v>
      </c>
      <c r="CO131" s="72">
        <v>0</v>
      </c>
      <c r="CP131" s="72">
        <v>0</v>
      </c>
      <c r="CQ131" s="72">
        <v>0</v>
      </c>
      <c r="CR131" s="72">
        <v>0</v>
      </c>
      <c r="CS131" s="72">
        <v>0</v>
      </c>
      <c r="CT131" s="72">
        <v>0</v>
      </c>
      <c r="CU131" s="72">
        <v>0</v>
      </c>
      <c r="CV131" s="72">
        <v>0</v>
      </c>
      <c r="CW131" s="72">
        <v>0</v>
      </c>
      <c r="CX131" s="72">
        <v>0</v>
      </c>
      <c r="CY131" s="72">
        <v>0</v>
      </c>
      <c r="CZ131" s="72">
        <v>0</v>
      </c>
      <c r="DA131" s="72">
        <v>0</v>
      </c>
      <c r="DB131" s="72">
        <v>0</v>
      </c>
      <c r="DC131" s="72">
        <v>0</v>
      </c>
      <c r="DD131" s="72">
        <v>0</v>
      </c>
      <c r="DE131" s="72">
        <v>0</v>
      </c>
      <c r="DF131" s="72">
        <v>0</v>
      </c>
      <c r="DG131" s="72">
        <v>0</v>
      </c>
      <c r="DH131" s="72">
        <v>0</v>
      </c>
      <c r="DI131" s="72">
        <v>0</v>
      </c>
      <c r="DJ131" s="72">
        <v>0</v>
      </c>
      <c r="DK131" s="72">
        <v>0</v>
      </c>
      <c r="DL131" s="72">
        <v>0</v>
      </c>
    </row>
    <row r="132" spans="1:116" x14ac:dyDescent="0.35">
      <c r="A132" s="7"/>
      <c r="B132" s="8" t="s">
        <v>239</v>
      </c>
      <c r="C132" s="9" t="s">
        <v>240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1468</v>
      </c>
      <c r="J132" s="10"/>
      <c r="K132" s="10" t="s">
        <v>42</v>
      </c>
      <c r="L132" s="8"/>
      <c r="M132" s="12">
        <v>0.67247999999999997</v>
      </c>
      <c r="N132" s="12">
        <f t="shared" si="2"/>
        <v>614.64671999999996</v>
      </c>
      <c r="O132" s="11">
        <v>1468</v>
      </c>
      <c r="P132" s="11">
        <v>1468</v>
      </c>
      <c r="Q132" s="11">
        <v>1468</v>
      </c>
      <c r="R132" s="11">
        <v>1468</v>
      </c>
      <c r="S132" s="11">
        <v>1468</v>
      </c>
      <c r="T132" s="11">
        <v>1468</v>
      </c>
      <c r="U132" s="11">
        <v>1468</v>
      </c>
      <c r="V132" s="11">
        <v>1468</v>
      </c>
      <c r="W132" s="11">
        <v>1468</v>
      </c>
      <c r="X132" s="11">
        <v>1468</v>
      </c>
      <c r="Y132" s="11">
        <v>1468</v>
      </c>
      <c r="Z132" s="11">
        <v>1468</v>
      </c>
      <c r="AA132" s="11">
        <v>1468</v>
      </c>
      <c r="AB132" s="11">
        <v>1468</v>
      </c>
      <c r="AC132" s="11">
        <v>1468</v>
      </c>
      <c r="AD132" s="11">
        <v>1468</v>
      </c>
      <c r="AE132" s="11">
        <v>1468</v>
      </c>
      <c r="AF132" s="11">
        <v>1468</v>
      </c>
      <c r="AG132" s="11">
        <v>1468</v>
      </c>
      <c r="AH132" s="11">
        <v>1468</v>
      </c>
      <c r="AI132" s="11">
        <v>1468</v>
      </c>
      <c r="AJ132" s="11">
        <v>1468</v>
      </c>
      <c r="AK132" s="11">
        <v>1468</v>
      </c>
      <c r="AL132" s="11">
        <v>1468</v>
      </c>
      <c r="AM132" s="11">
        <v>1468</v>
      </c>
      <c r="AN132" s="72">
        <v>1468</v>
      </c>
      <c r="AO132" s="72">
        <v>1418</v>
      </c>
      <c r="AP132" s="72">
        <v>1418</v>
      </c>
      <c r="AQ132" s="72">
        <v>1355</v>
      </c>
      <c r="AR132" s="72">
        <v>1195</v>
      </c>
      <c r="AS132" s="72">
        <v>1195</v>
      </c>
      <c r="AT132" s="72">
        <v>1195</v>
      </c>
      <c r="AU132" s="72">
        <v>1195</v>
      </c>
      <c r="AV132" s="72">
        <v>1195</v>
      </c>
      <c r="AW132" s="72">
        <v>1195</v>
      </c>
      <c r="AX132" s="72">
        <v>1195</v>
      </c>
      <c r="AY132" s="72">
        <v>1195</v>
      </c>
      <c r="AZ132" s="72">
        <v>1195</v>
      </c>
      <c r="BA132" s="72">
        <v>1195</v>
      </c>
      <c r="BB132" s="72">
        <v>1195</v>
      </c>
      <c r="BC132" s="72">
        <v>1195</v>
      </c>
      <c r="BD132" s="72">
        <v>1195</v>
      </c>
      <c r="BE132" s="72">
        <v>1195</v>
      </c>
      <c r="BF132" s="72">
        <v>1195</v>
      </c>
      <c r="BG132" s="72">
        <v>1195</v>
      </c>
      <c r="BH132" s="72">
        <v>1108</v>
      </c>
      <c r="BI132" s="72">
        <v>1108</v>
      </c>
      <c r="BJ132" s="72">
        <v>1108</v>
      </c>
      <c r="BK132" s="72">
        <v>1058</v>
      </c>
      <c r="BL132" s="72">
        <v>1058</v>
      </c>
      <c r="BM132" s="72">
        <v>1058</v>
      </c>
      <c r="BN132" s="72">
        <v>971</v>
      </c>
      <c r="BO132" s="72">
        <v>971</v>
      </c>
      <c r="BP132" s="72">
        <v>1058</v>
      </c>
      <c r="BQ132" s="72">
        <v>1058</v>
      </c>
      <c r="BR132" s="72">
        <v>1058</v>
      </c>
      <c r="BS132" s="72">
        <v>1035</v>
      </c>
      <c r="BT132" s="72">
        <v>980</v>
      </c>
      <c r="BU132" s="72">
        <v>997</v>
      </c>
      <c r="BV132" s="72">
        <v>927</v>
      </c>
      <c r="BW132" s="72">
        <v>877</v>
      </c>
      <c r="BX132" s="72">
        <v>877</v>
      </c>
      <c r="BY132" s="72">
        <v>877</v>
      </c>
      <c r="BZ132" s="72">
        <v>877</v>
      </c>
      <c r="CA132" s="72">
        <v>877</v>
      </c>
      <c r="CB132" s="72">
        <v>877</v>
      </c>
      <c r="CC132" s="72">
        <v>877</v>
      </c>
      <c r="CD132" s="72">
        <v>872</v>
      </c>
      <c r="CE132" s="72">
        <v>872</v>
      </c>
      <c r="CF132" s="72">
        <v>914</v>
      </c>
      <c r="CG132" s="72">
        <v>914</v>
      </c>
      <c r="CH132" s="72">
        <v>914</v>
      </c>
      <c r="CI132" s="72">
        <v>914</v>
      </c>
      <c r="CJ132" s="72">
        <v>914</v>
      </c>
      <c r="CK132" s="72">
        <v>914</v>
      </c>
      <c r="CL132" s="72">
        <v>914</v>
      </c>
      <c r="CM132" s="72">
        <v>914</v>
      </c>
      <c r="CN132" s="72">
        <v>914</v>
      </c>
      <c r="CO132" s="72">
        <v>914</v>
      </c>
      <c r="CP132" s="72">
        <v>914</v>
      </c>
      <c r="CQ132" s="72">
        <v>914</v>
      </c>
      <c r="CR132" s="72">
        <v>914</v>
      </c>
      <c r="CS132" s="72">
        <v>914</v>
      </c>
      <c r="CT132" s="72">
        <v>914</v>
      </c>
      <c r="CU132" s="72">
        <v>914</v>
      </c>
      <c r="CV132" s="72">
        <v>914</v>
      </c>
      <c r="CW132" s="72">
        <v>914</v>
      </c>
      <c r="CX132" s="72">
        <v>914</v>
      </c>
      <c r="CY132" s="72">
        <v>914</v>
      </c>
      <c r="CZ132" s="72">
        <v>914</v>
      </c>
      <c r="DA132" s="72">
        <v>914</v>
      </c>
      <c r="DB132" s="72">
        <v>914</v>
      </c>
      <c r="DC132" s="72">
        <v>914</v>
      </c>
      <c r="DD132" s="72">
        <v>914</v>
      </c>
      <c r="DE132" s="72">
        <v>914</v>
      </c>
      <c r="DF132" s="72">
        <v>914</v>
      </c>
      <c r="DG132" s="72">
        <v>914</v>
      </c>
      <c r="DH132" s="72">
        <v>914</v>
      </c>
      <c r="DI132" s="72">
        <v>914</v>
      </c>
      <c r="DJ132" s="72">
        <v>914</v>
      </c>
      <c r="DK132" s="72">
        <v>914</v>
      </c>
      <c r="DL132" s="72">
        <v>914</v>
      </c>
    </row>
    <row r="133" spans="1:116" x14ac:dyDescent="0.35">
      <c r="A133" s="7"/>
      <c r="B133" s="8" t="s">
        <v>241</v>
      </c>
      <c r="C133" s="9" t="s">
        <v>242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678</v>
      </c>
      <c r="J133" s="10">
        <v>15</v>
      </c>
      <c r="K133" s="10" t="s">
        <v>42</v>
      </c>
      <c r="L133" s="8" t="s">
        <v>243</v>
      </c>
      <c r="M133" s="12">
        <v>0.82379999999999998</v>
      </c>
      <c r="N133" s="12">
        <f t="shared" si="2"/>
        <v>2.4714</v>
      </c>
      <c r="O133" s="11">
        <v>1349</v>
      </c>
      <c r="P133" s="11">
        <v>1349</v>
      </c>
      <c r="Q133" s="11">
        <v>1349</v>
      </c>
      <c r="R133" s="11">
        <v>1349</v>
      </c>
      <c r="S133" s="11">
        <v>1349</v>
      </c>
      <c r="T133" s="11">
        <v>1299</v>
      </c>
      <c r="U133" s="11">
        <v>1291</v>
      </c>
      <c r="V133" s="11">
        <v>1316</v>
      </c>
      <c r="W133" s="11">
        <v>1316</v>
      </c>
      <c r="X133" s="11">
        <v>1316</v>
      </c>
      <c r="Y133" s="11">
        <v>1316</v>
      </c>
      <c r="Z133" s="11">
        <v>1298</v>
      </c>
      <c r="AA133" s="11">
        <v>1298</v>
      </c>
      <c r="AB133" s="11">
        <v>778</v>
      </c>
      <c r="AC133" s="11">
        <v>778</v>
      </c>
      <c r="AD133" s="11">
        <v>778</v>
      </c>
      <c r="AE133" s="11">
        <v>678</v>
      </c>
      <c r="AF133" s="11">
        <v>678</v>
      </c>
      <c r="AG133" s="11">
        <v>678</v>
      </c>
      <c r="AH133" s="11">
        <v>678</v>
      </c>
      <c r="AI133" s="11">
        <v>678</v>
      </c>
      <c r="AJ133" s="11">
        <v>678</v>
      </c>
      <c r="AK133" s="11">
        <v>676</v>
      </c>
      <c r="AL133" s="11">
        <v>676</v>
      </c>
      <c r="AM133" s="11">
        <v>626</v>
      </c>
      <c r="AN133" s="72">
        <v>626</v>
      </c>
      <c r="AO133" s="72">
        <v>86</v>
      </c>
      <c r="AP133" s="72">
        <v>86</v>
      </c>
      <c r="AQ133" s="72">
        <v>86</v>
      </c>
      <c r="AR133" s="72">
        <v>86</v>
      </c>
      <c r="AS133" s="72">
        <v>86</v>
      </c>
      <c r="AT133" s="72">
        <v>86</v>
      </c>
      <c r="AU133" s="72">
        <v>86</v>
      </c>
      <c r="AV133" s="72">
        <v>86</v>
      </c>
      <c r="AW133" s="72">
        <v>45</v>
      </c>
      <c r="AX133" s="72">
        <v>45</v>
      </c>
      <c r="AY133" s="72">
        <v>34</v>
      </c>
      <c r="AZ133" s="72">
        <v>34</v>
      </c>
      <c r="BA133" s="72">
        <v>34</v>
      </c>
      <c r="BB133" s="72">
        <v>2</v>
      </c>
      <c r="BC133" s="72">
        <v>2</v>
      </c>
      <c r="BD133" s="72">
        <v>5</v>
      </c>
      <c r="BE133" s="72">
        <v>5</v>
      </c>
      <c r="BF133" s="72">
        <v>5</v>
      </c>
      <c r="BG133" s="72">
        <v>5</v>
      </c>
      <c r="BH133" s="72">
        <v>5</v>
      </c>
      <c r="BI133" s="72">
        <v>5</v>
      </c>
      <c r="BJ133" s="72">
        <v>5</v>
      </c>
      <c r="BK133" s="72">
        <v>5</v>
      </c>
      <c r="BL133" s="72">
        <v>5</v>
      </c>
      <c r="BM133" s="72">
        <v>5</v>
      </c>
      <c r="BN133" s="72">
        <v>5</v>
      </c>
      <c r="BO133" s="72">
        <v>5</v>
      </c>
      <c r="BP133" s="72">
        <v>5</v>
      </c>
      <c r="BQ133" s="72">
        <v>5</v>
      </c>
      <c r="BR133" s="72">
        <v>5</v>
      </c>
      <c r="BS133" s="72">
        <v>3</v>
      </c>
      <c r="BT133" s="72">
        <v>3</v>
      </c>
      <c r="BU133" s="72">
        <v>3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4</v>
      </c>
      <c r="CG133" s="72">
        <v>4</v>
      </c>
      <c r="CH133" s="72">
        <v>4</v>
      </c>
      <c r="CI133" s="72">
        <v>4</v>
      </c>
      <c r="CJ133" s="72">
        <v>4</v>
      </c>
      <c r="CK133" s="72">
        <v>4</v>
      </c>
      <c r="CL133" s="72">
        <v>4</v>
      </c>
      <c r="CM133" s="72">
        <v>4</v>
      </c>
      <c r="CN133" s="72">
        <v>4</v>
      </c>
      <c r="CO133" s="72">
        <v>4</v>
      </c>
      <c r="CP133" s="72">
        <v>4</v>
      </c>
      <c r="CQ133" s="72">
        <v>4</v>
      </c>
      <c r="CR133" s="72">
        <v>4</v>
      </c>
      <c r="CS133" s="72">
        <v>4</v>
      </c>
      <c r="CT133" s="72">
        <v>4</v>
      </c>
      <c r="CU133" s="72">
        <v>4</v>
      </c>
      <c r="CV133" s="72">
        <v>4</v>
      </c>
      <c r="CW133" s="72">
        <v>4</v>
      </c>
      <c r="CX133" s="72">
        <v>4</v>
      </c>
      <c r="CY133" s="72">
        <v>4</v>
      </c>
      <c r="CZ133" s="72">
        <v>4</v>
      </c>
      <c r="DA133" s="72">
        <v>4</v>
      </c>
      <c r="DB133" s="72">
        <v>4</v>
      </c>
      <c r="DC133" s="72">
        <v>4</v>
      </c>
      <c r="DD133" s="72">
        <v>4</v>
      </c>
      <c r="DE133" s="72">
        <v>4</v>
      </c>
      <c r="DF133" s="72">
        <v>4</v>
      </c>
      <c r="DG133" s="72">
        <v>4</v>
      </c>
      <c r="DH133" s="72">
        <v>4</v>
      </c>
      <c r="DI133" s="72">
        <v>4</v>
      </c>
      <c r="DJ133" s="72">
        <v>4</v>
      </c>
      <c r="DK133" s="72">
        <v>3</v>
      </c>
      <c r="DL133" s="72">
        <v>3</v>
      </c>
    </row>
    <row r="134" spans="1:116" x14ac:dyDescent="0.35">
      <c r="A134" s="7"/>
      <c r="B134" s="8" t="s">
        <v>244</v>
      </c>
      <c r="C134" s="9" t="s">
        <v>245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1656</v>
      </c>
      <c r="J134" s="10"/>
      <c r="K134" s="10" t="s">
        <v>42</v>
      </c>
      <c r="L134" s="8"/>
      <c r="M134" s="12">
        <v>1.2661199999999999</v>
      </c>
      <c r="N134" s="12">
        <f t="shared" si="2"/>
        <v>0</v>
      </c>
      <c r="O134" s="11">
        <v>1703</v>
      </c>
      <c r="P134" s="11">
        <v>1703</v>
      </c>
      <c r="Q134" s="11">
        <v>1703</v>
      </c>
      <c r="R134" s="11">
        <v>1692</v>
      </c>
      <c r="S134" s="11">
        <v>1692</v>
      </c>
      <c r="T134" s="11">
        <v>1682</v>
      </c>
      <c r="U134" s="11">
        <v>1682</v>
      </c>
      <c r="V134" s="11">
        <v>1692</v>
      </c>
      <c r="W134" s="11">
        <v>1692</v>
      </c>
      <c r="X134" s="11">
        <v>1677</v>
      </c>
      <c r="Y134" s="11">
        <v>1677</v>
      </c>
      <c r="Z134" s="11">
        <v>1657</v>
      </c>
      <c r="AA134" s="11">
        <v>1657</v>
      </c>
      <c r="AB134" s="11">
        <v>1657</v>
      </c>
      <c r="AC134" s="11">
        <v>1657</v>
      </c>
      <c r="AD134" s="11">
        <v>1657</v>
      </c>
      <c r="AE134" s="11">
        <v>1656</v>
      </c>
      <c r="AF134" s="11">
        <v>1656</v>
      </c>
      <c r="AG134" s="11">
        <v>1656</v>
      </c>
      <c r="AH134" s="11">
        <v>1656</v>
      </c>
      <c r="AI134" s="11">
        <v>1656</v>
      </c>
      <c r="AJ134" s="11">
        <v>1656</v>
      </c>
      <c r="AK134" s="11">
        <v>1656</v>
      </c>
      <c r="AL134" s="11">
        <v>1636</v>
      </c>
      <c r="AM134" s="11">
        <v>1586</v>
      </c>
      <c r="AN134" s="72">
        <v>1586</v>
      </c>
      <c r="AO134" s="72">
        <v>1586</v>
      </c>
      <c r="AP134" s="72">
        <v>1586</v>
      </c>
      <c r="AQ134" s="72">
        <v>1586</v>
      </c>
      <c r="AR134" s="72">
        <v>1566</v>
      </c>
      <c r="AS134" s="72">
        <v>1566</v>
      </c>
      <c r="AT134" s="72">
        <v>1566</v>
      </c>
      <c r="AU134" s="72">
        <v>1566</v>
      </c>
      <c r="AV134" s="72">
        <v>566</v>
      </c>
      <c r="AW134" s="72">
        <v>516</v>
      </c>
      <c r="AX134" s="72">
        <v>516</v>
      </c>
      <c r="AY134" s="72">
        <v>516</v>
      </c>
      <c r="AZ134" s="72">
        <v>516</v>
      </c>
      <c r="BA134" s="72">
        <v>516</v>
      </c>
      <c r="BB134" s="72">
        <v>516</v>
      </c>
      <c r="BC134" s="72">
        <v>516</v>
      </c>
      <c r="BD134" s="72">
        <v>386</v>
      </c>
      <c r="BE134" s="72">
        <v>386</v>
      </c>
      <c r="BF134" s="72">
        <v>376</v>
      </c>
      <c r="BG134" s="72">
        <v>376</v>
      </c>
      <c r="BH134" s="72">
        <v>376</v>
      </c>
      <c r="BI134" s="72">
        <v>376</v>
      </c>
      <c r="BJ134" s="72">
        <v>376</v>
      </c>
      <c r="BK134" s="72">
        <v>376</v>
      </c>
      <c r="BL134" s="72">
        <v>376</v>
      </c>
      <c r="BM134" s="72">
        <v>376</v>
      </c>
      <c r="BN134" s="72">
        <v>376</v>
      </c>
      <c r="BO134" s="72">
        <v>376</v>
      </c>
      <c r="BP134" s="72">
        <v>376</v>
      </c>
      <c r="BQ134" s="72">
        <v>376</v>
      </c>
      <c r="BR134" s="72">
        <v>376</v>
      </c>
      <c r="BS134" s="72">
        <v>344</v>
      </c>
      <c r="BT134" s="72">
        <v>344</v>
      </c>
      <c r="BU134" s="72">
        <v>344</v>
      </c>
      <c r="BV134" s="72">
        <v>338</v>
      </c>
      <c r="BW134" s="72">
        <v>338</v>
      </c>
      <c r="BX134" s="72">
        <v>338</v>
      </c>
      <c r="BY134" s="72">
        <v>338</v>
      </c>
      <c r="BZ134" s="72">
        <v>338</v>
      </c>
      <c r="CA134" s="72">
        <v>326</v>
      </c>
      <c r="CB134" s="72">
        <v>326</v>
      </c>
      <c r="CC134" s="72">
        <v>326</v>
      </c>
      <c r="CD134" s="72">
        <v>326</v>
      </c>
      <c r="CE134" s="72">
        <v>326</v>
      </c>
      <c r="CF134" s="72">
        <v>0</v>
      </c>
      <c r="CG134" s="72">
        <v>0</v>
      </c>
      <c r="CH134" s="72">
        <v>0</v>
      </c>
      <c r="CI134" s="72">
        <v>0</v>
      </c>
      <c r="CJ134" s="72">
        <v>0</v>
      </c>
      <c r="CK134" s="72">
        <v>0</v>
      </c>
      <c r="CL134" s="72">
        <v>0</v>
      </c>
      <c r="CM134" s="72">
        <v>0</v>
      </c>
      <c r="CN134" s="72">
        <v>0</v>
      </c>
      <c r="CO134" s="72">
        <v>0</v>
      </c>
      <c r="CP134" s="72">
        <v>0</v>
      </c>
      <c r="CQ134" s="72">
        <v>0</v>
      </c>
      <c r="CR134" s="72">
        <v>0</v>
      </c>
      <c r="CS134" s="72">
        <v>0</v>
      </c>
      <c r="CT134" s="72">
        <v>0</v>
      </c>
      <c r="CU134" s="72">
        <v>0</v>
      </c>
      <c r="CV134" s="72">
        <v>0</v>
      </c>
      <c r="CW134" s="72">
        <v>0</v>
      </c>
      <c r="CX134" s="72">
        <v>0</v>
      </c>
      <c r="CY134" s="72">
        <v>0</v>
      </c>
      <c r="CZ134" s="72">
        <v>0</v>
      </c>
      <c r="DA134" s="72">
        <v>0</v>
      </c>
      <c r="DB134" s="72">
        <v>0</v>
      </c>
      <c r="DC134" s="72">
        <v>0</v>
      </c>
      <c r="DD134" s="72">
        <v>0</v>
      </c>
      <c r="DE134" s="72">
        <v>0</v>
      </c>
      <c r="DF134" s="72">
        <v>0</v>
      </c>
      <c r="DG134" s="72">
        <v>0</v>
      </c>
      <c r="DH134" s="72">
        <v>0</v>
      </c>
      <c r="DI134" s="72">
        <v>0</v>
      </c>
      <c r="DJ134" s="72">
        <v>0</v>
      </c>
      <c r="DK134" s="72">
        <v>0</v>
      </c>
      <c r="DL134" s="72">
        <v>0</v>
      </c>
    </row>
    <row r="135" spans="1:116" x14ac:dyDescent="0.35">
      <c r="A135" s="7"/>
      <c r="B135" s="8" t="s">
        <v>246</v>
      </c>
      <c r="C135" s="9" t="s">
        <v>247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1276</v>
      </c>
      <c r="J135" s="10">
        <v>1</v>
      </c>
      <c r="K135" s="10" t="s">
        <v>42</v>
      </c>
      <c r="L135" s="8" t="s">
        <v>248</v>
      </c>
      <c r="M135" s="12">
        <v>1.6967999999999999</v>
      </c>
      <c r="N135" s="12">
        <f t="shared" si="2"/>
        <v>30.542399999999997</v>
      </c>
      <c r="O135" s="11">
        <v>1311</v>
      </c>
      <c r="P135" s="11">
        <v>1309</v>
      </c>
      <c r="Q135" s="11">
        <v>1309</v>
      </c>
      <c r="R135" s="11">
        <v>1305</v>
      </c>
      <c r="S135" s="11">
        <v>1305</v>
      </c>
      <c r="T135" s="11">
        <v>1305</v>
      </c>
      <c r="U135" s="11">
        <v>1305</v>
      </c>
      <c r="V135" s="11">
        <v>1314</v>
      </c>
      <c r="W135" s="11">
        <v>1314</v>
      </c>
      <c r="X135" s="11">
        <v>1313</v>
      </c>
      <c r="Y135" s="11">
        <v>1313</v>
      </c>
      <c r="Z135" s="11">
        <v>1292</v>
      </c>
      <c r="AA135" s="11">
        <v>1292</v>
      </c>
      <c r="AB135" s="11">
        <v>1292</v>
      </c>
      <c r="AC135" s="11">
        <v>1292</v>
      </c>
      <c r="AD135" s="11">
        <v>1292</v>
      </c>
      <c r="AE135" s="11">
        <v>1292</v>
      </c>
      <c r="AF135" s="11">
        <v>1286</v>
      </c>
      <c r="AG135" s="11">
        <v>1276</v>
      </c>
      <c r="AH135" s="11">
        <v>1276</v>
      </c>
      <c r="AI135" s="11">
        <v>1276</v>
      </c>
      <c r="AJ135" s="11">
        <v>1276</v>
      </c>
      <c r="AK135" s="11">
        <v>1276</v>
      </c>
      <c r="AL135" s="11">
        <v>1276</v>
      </c>
      <c r="AM135" s="11">
        <v>1265</v>
      </c>
      <c r="AN135" s="72">
        <v>1245</v>
      </c>
      <c r="AO135" s="72">
        <v>1245</v>
      </c>
      <c r="AP135" s="72">
        <v>1245</v>
      </c>
      <c r="AQ135" s="72">
        <v>1245</v>
      </c>
      <c r="AR135" s="72">
        <v>1230</v>
      </c>
      <c r="AS135" s="72">
        <v>1230</v>
      </c>
      <c r="AT135" s="72">
        <v>1230</v>
      </c>
      <c r="AU135" s="72">
        <v>1230</v>
      </c>
      <c r="AV135" s="72">
        <v>730</v>
      </c>
      <c r="AW135" s="72">
        <v>730</v>
      </c>
      <c r="AX135" s="72">
        <v>730</v>
      </c>
      <c r="AY135" s="72">
        <v>719</v>
      </c>
      <c r="AZ135" s="72">
        <v>719</v>
      </c>
      <c r="BA135" s="72">
        <v>719</v>
      </c>
      <c r="BB135" s="72">
        <v>689</v>
      </c>
      <c r="BC135" s="72">
        <v>689</v>
      </c>
      <c r="BD135" s="72">
        <v>700</v>
      </c>
      <c r="BE135" s="72">
        <v>700</v>
      </c>
      <c r="BF135" s="72">
        <v>690</v>
      </c>
      <c r="BG135" s="72">
        <v>690</v>
      </c>
      <c r="BH135" s="72">
        <v>690</v>
      </c>
      <c r="BI135" s="72">
        <v>690</v>
      </c>
      <c r="BJ135" s="72">
        <v>690</v>
      </c>
      <c r="BK135" s="72">
        <v>690</v>
      </c>
      <c r="BL135" s="72">
        <v>690</v>
      </c>
      <c r="BM135" s="72">
        <v>690</v>
      </c>
      <c r="BN135" s="72">
        <v>690</v>
      </c>
      <c r="BO135" s="72">
        <v>690</v>
      </c>
      <c r="BP135" s="72">
        <v>680</v>
      </c>
      <c r="BQ135" s="72">
        <v>680</v>
      </c>
      <c r="BR135" s="72">
        <v>680</v>
      </c>
      <c r="BS135" s="72">
        <v>680</v>
      </c>
      <c r="BT135" s="72">
        <v>680</v>
      </c>
      <c r="BU135" s="72">
        <v>674</v>
      </c>
      <c r="BV135" s="72">
        <v>674</v>
      </c>
      <c r="BW135" s="72">
        <v>674</v>
      </c>
      <c r="BX135" s="72">
        <v>674</v>
      </c>
      <c r="BY135" s="72">
        <v>674</v>
      </c>
      <c r="BZ135" s="72">
        <v>674</v>
      </c>
      <c r="CA135" s="72">
        <v>674</v>
      </c>
      <c r="CB135" s="72">
        <v>674</v>
      </c>
      <c r="CC135" s="72">
        <v>674</v>
      </c>
      <c r="CD135" s="72">
        <v>674</v>
      </c>
      <c r="CE135" s="72">
        <v>674</v>
      </c>
      <c r="CF135" s="72">
        <v>668</v>
      </c>
      <c r="CG135" s="72">
        <v>668</v>
      </c>
      <c r="CH135" s="72">
        <v>668</v>
      </c>
      <c r="CI135" s="72">
        <v>418</v>
      </c>
      <c r="CJ135" s="72">
        <v>18</v>
      </c>
      <c r="CK135" s="72">
        <v>18</v>
      </c>
      <c r="CL135" s="72">
        <v>18</v>
      </c>
      <c r="CM135" s="72">
        <v>18</v>
      </c>
      <c r="CN135" s="72">
        <v>18</v>
      </c>
      <c r="CO135" s="72">
        <v>18</v>
      </c>
      <c r="CP135" s="72">
        <v>18</v>
      </c>
      <c r="CQ135" s="72">
        <v>18</v>
      </c>
      <c r="CR135" s="72">
        <v>18</v>
      </c>
      <c r="CS135" s="72">
        <v>18</v>
      </c>
      <c r="CT135" s="72">
        <v>18</v>
      </c>
      <c r="CU135" s="72">
        <v>18</v>
      </c>
      <c r="CV135" s="72">
        <v>18</v>
      </c>
      <c r="CW135" s="72">
        <v>18</v>
      </c>
      <c r="CX135" s="72">
        <v>18</v>
      </c>
      <c r="CY135" s="72">
        <v>18</v>
      </c>
      <c r="CZ135" s="72">
        <v>18</v>
      </c>
      <c r="DA135" s="72">
        <v>18</v>
      </c>
      <c r="DB135" s="72">
        <v>18</v>
      </c>
      <c r="DC135" s="72">
        <v>18</v>
      </c>
      <c r="DD135" s="72">
        <v>18</v>
      </c>
      <c r="DE135" s="72">
        <v>18</v>
      </c>
      <c r="DF135" s="72">
        <v>18</v>
      </c>
      <c r="DG135" s="72">
        <v>18</v>
      </c>
      <c r="DH135" s="72">
        <v>18</v>
      </c>
      <c r="DI135" s="72">
        <v>18</v>
      </c>
      <c r="DJ135" s="72">
        <v>18</v>
      </c>
      <c r="DK135" s="72">
        <v>18</v>
      </c>
      <c r="DL135" s="72">
        <v>18</v>
      </c>
    </row>
    <row r="136" spans="1:116" x14ac:dyDescent="0.35">
      <c r="A136" s="7"/>
      <c r="B136" s="8" t="s">
        <v>249</v>
      </c>
      <c r="C136" s="9" t="s">
        <v>250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</v>
      </c>
      <c r="J136" s="10"/>
      <c r="K136" s="10"/>
      <c r="L136" s="8"/>
      <c r="M136" s="12">
        <v>2.5930799999999996</v>
      </c>
      <c r="N136" s="12">
        <f t="shared" si="2"/>
        <v>0</v>
      </c>
      <c r="O136" s="11">
        <v>48</v>
      </c>
      <c r="P136" s="11">
        <v>48</v>
      </c>
      <c r="Q136" s="11">
        <v>48</v>
      </c>
      <c r="R136" s="11">
        <v>40</v>
      </c>
      <c r="S136" s="11">
        <v>40</v>
      </c>
      <c r="T136" s="11">
        <v>38</v>
      </c>
      <c r="U136" s="11">
        <v>36</v>
      </c>
      <c r="V136" s="11">
        <v>36</v>
      </c>
      <c r="W136" s="11">
        <v>36</v>
      </c>
      <c r="X136" s="11">
        <v>36</v>
      </c>
      <c r="Y136" s="11">
        <v>32</v>
      </c>
      <c r="Z136" s="11">
        <v>20</v>
      </c>
      <c r="AA136" s="11">
        <v>20</v>
      </c>
      <c r="AB136" s="11">
        <v>18</v>
      </c>
      <c r="AC136" s="11">
        <v>18</v>
      </c>
      <c r="AD136" s="11">
        <v>18</v>
      </c>
      <c r="AE136" s="11">
        <v>18</v>
      </c>
      <c r="AF136" s="11">
        <v>14</v>
      </c>
      <c r="AG136" s="11">
        <v>18</v>
      </c>
      <c r="AH136" s="11">
        <v>18</v>
      </c>
      <c r="AI136" s="11">
        <v>18</v>
      </c>
      <c r="AJ136" s="11">
        <v>18</v>
      </c>
      <c r="AK136" s="11">
        <v>18</v>
      </c>
      <c r="AL136" s="11">
        <v>16</v>
      </c>
      <c r="AM136" s="11">
        <v>7</v>
      </c>
      <c r="AN136" s="72">
        <v>5</v>
      </c>
      <c r="AO136" s="72">
        <v>0</v>
      </c>
      <c r="AP136" s="72">
        <v>0</v>
      </c>
      <c r="AQ136" s="72">
        <v>0</v>
      </c>
      <c r="AR136" s="72">
        <v>0</v>
      </c>
      <c r="AS136" s="72">
        <v>0</v>
      </c>
      <c r="AT136" s="72">
        <v>0</v>
      </c>
      <c r="AU136" s="72">
        <v>0</v>
      </c>
      <c r="AV136" s="72">
        <v>0</v>
      </c>
      <c r="AW136" s="72">
        <v>0</v>
      </c>
      <c r="AX136" s="72">
        <v>0</v>
      </c>
      <c r="AY136" s="72">
        <v>0</v>
      </c>
      <c r="AZ136" s="72">
        <v>0</v>
      </c>
      <c r="BA136" s="72">
        <v>0</v>
      </c>
      <c r="BB136" s="72">
        <v>0</v>
      </c>
      <c r="BC136" s="72">
        <v>0</v>
      </c>
      <c r="BD136" s="72">
        <v>0</v>
      </c>
      <c r="BE136" s="72">
        <v>0</v>
      </c>
      <c r="BF136" s="72">
        <v>0</v>
      </c>
      <c r="BG136" s="72">
        <v>0</v>
      </c>
      <c r="BH136" s="72">
        <v>0</v>
      </c>
      <c r="BI136" s="72">
        <v>0</v>
      </c>
      <c r="BJ136" s="72">
        <v>0</v>
      </c>
      <c r="BK136" s="72">
        <v>0</v>
      </c>
      <c r="BL136" s="72">
        <v>0</v>
      </c>
      <c r="BM136" s="72">
        <v>0</v>
      </c>
      <c r="BN136" s="72">
        <v>0</v>
      </c>
      <c r="BO136" s="72">
        <v>0</v>
      </c>
      <c r="BP136" s="72">
        <v>0</v>
      </c>
      <c r="BQ136" s="72">
        <v>0</v>
      </c>
      <c r="BR136" s="72">
        <v>0</v>
      </c>
      <c r="BS136" s="72">
        <v>0</v>
      </c>
      <c r="BT136" s="72">
        <v>0</v>
      </c>
      <c r="BU136" s="72">
        <v>0</v>
      </c>
      <c r="BV136" s="72">
        <v>0</v>
      </c>
      <c r="BW136" s="72">
        <v>0</v>
      </c>
      <c r="BX136" s="72">
        <v>0</v>
      </c>
      <c r="BY136" s="72">
        <v>0</v>
      </c>
      <c r="BZ136" s="72">
        <v>0</v>
      </c>
      <c r="CA136" s="72">
        <v>0</v>
      </c>
      <c r="CB136" s="72">
        <v>0</v>
      </c>
      <c r="CC136" s="72">
        <v>0</v>
      </c>
      <c r="CD136" s="72">
        <v>0</v>
      </c>
      <c r="CE136" s="72">
        <v>0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</row>
    <row r="137" spans="1:116" x14ac:dyDescent="0.35">
      <c r="A137" s="7"/>
      <c r="B137" s="8" t="s">
        <v>251</v>
      </c>
      <c r="C137" s="9" t="s">
        <v>252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59</v>
      </c>
      <c r="J137" s="10"/>
      <c r="K137" s="10"/>
      <c r="L137" s="8"/>
      <c r="M137" s="12">
        <v>3.48936</v>
      </c>
      <c r="N137" s="12">
        <f t="shared" si="2"/>
        <v>188.42544000000001</v>
      </c>
      <c r="O137" s="11">
        <v>59</v>
      </c>
      <c r="P137" s="11">
        <v>59</v>
      </c>
      <c r="Q137" s="11">
        <v>59</v>
      </c>
      <c r="R137" s="11">
        <v>59</v>
      </c>
      <c r="S137" s="11">
        <v>59</v>
      </c>
      <c r="T137" s="11">
        <v>59</v>
      </c>
      <c r="U137" s="11">
        <v>59</v>
      </c>
      <c r="V137" s="11">
        <v>59</v>
      </c>
      <c r="W137" s="11">
        <v>59</v>
      </c>
      <c r="X137" s="11">
        <v>59</v>
      </c>
      <c r="Y137" s="11">
        <v>59</v>
      </c>
      <c r="Z137" s="11">
        <v>59</v>
      </c>
      <c r="AA137" s="11">
        <v>59</v>
      </c>
      <c r="AB137" s="11">
        <v>59</v>
      </c>
      <c r="AC137" s="11">
        <v>59</v>
      </c>
      <c r="AD137" s="11">
        <v>59</v>
      </c>
      <c r="AE137" s="11">
        <v>59</v>
      </c>
      <c r="AF137" s="11">
        <v>59</v>
      </c>
      <c r="AG137" s="11">
        <v>59</v>
      </c>
      <c r="AH137" s="11">
        <v>59</v>
      </c>
      <c r="AI137" s="11">
        <v>59</v>
      </c>
      <c r="AJ137" s="11">
        <v>59</v>
      </c>
      <c r="AK137" s="11">
        <v>59</v>
      </c>
      <c r="AL137" s="11">
        <v>59</v>
      </c>
      <c r="AM137" s="11">
        <v>59</v>
      </c>
      <c r="AN137" s="72">
        <v>59</v>
      </c>
      <c r="AO137" s="72">
        <v>59</v>
      </c>
      <c r="AP137" s="72">
        <v>59</v>
      </c>
      <c r="AQ137" s="72">
        <v>59</v>
      </c>
      <c r="AR137" s="72">
        <v>59</v>
      </c>
      <c r="AS137" s="72">
        <v>59</v>
      </c>
      <c r="AT137" s="72">
        <v>59</v>
      </c>
      <c r="AU137" s="72">
        <v>59</v>
      </c>
      <c r="AV137" s="72">
        <v>59</v>
      </c>
      <c r="AW137" s="72">
        <v>59</v>
      </c>
      <c r="AX137" s="72">
        <v>59</v>
      </c>
      <c r="AY137" s="72">
        <v>59</v>
      </c>
      <c r="AZ137" s="72">
        <v>59</v>
      </c>
      <c r="BA137" s="72">
        <v>59</v>
      </c>
      <c r="BB137" s="72">
        <v>39</v>
      </c>
      <c r="BC137" s="72">
        <v>39</v>
      </c>
      <c r="BD137" s="72">
        <v>59</v>
      </c>
      <c r="BE137" s="72">
        <v>59</v>
      </c>
      <c r="BF137" s="72">
        <v>59</v>
      </c>
      <c r="BG137" s="72">
        <v>59</v>
      </c>
      <c r="BH137" s="72">
        <v>59</v>
      </c>
      <c r="BI137" s="72">
        <v>59</v>
      </c>
      <c r="BJ137" s="72">
        <v>59</v>
      </c>
      <c r="BK137" s="72">
        <v>59</v>
      </c>
      <c r="BL137" s="72">
        <v>59</v>
      </c>
      <c r="BM137" s="72">
        <v>59</v>
      </c>
      <c r="BN137" s="72">
        <v>59</v>
      </c>
      <c r="BO137" s="72">
        <v>59</v>
      </c>
      <c r="BP137" s="72">
        <v>59</v>
      </c>
      <c r="BQ137" s="72">
        <v>59</v>
      </c>
      <c r="BR137" s="72">
        <v>59</v>
      </c>
      <c r="BS137" s="72">
        <v>59</v>
      </c>
      <c r="BT137" s="72">
        <v>59</v>
      </c>
      <c r="BU137" s="72">
        <v>59</v>
      </c>
      <c r="BV137" s="72">
        <v>59</v>
      </c>
      <c r="BW137" s="72">
        <v>59</v>
      </c>
      <c r="BX137" s="72">
        <v>59</v>
      </c>
      <c r="BY137" s="72">
        <v>59</v>
      </c>
      <c r="BZ137" s="72">
        <v>59</v>
      </c>
      <c r="CA137" s="72">
        <v>59</v>
      </c>
      <c r="CB137" s="72">
        <v>59</v>
      </c>
      <c r="CC137" s="72">
        <v>59</v>
      </c>
      <c r="CD137" s="72">
        <v>59</v>
      </c>
      <c r="CE137" s="72">
        <v>59</v>
      </c>
      <c r="CF137" s="72">
        <v>54</v>
      </c>
      <c r="CG137" s="72">
        <v>54</v>
      </c>
      <c r="CH137" s="72">
        <v>54</v>
      </c>
      <c r="CI137" s="72">
        <v>54</v>
      </c>
      <c r="CJ137" s="72">
        <v>54</v>
      </c>
      <c r="CK137" s="72">
        <v>54</v>
      </c>
      <c r="CL137" s="72">
        <v>54</v>
      </c>
      <c r="CM137" s="72">
        <v>54</v>
      </c>
      <c r="CN137" s="72">
        <v>54</v>
      </c>
      <c r="CO137" s="72">
        <v>54</v>
      </c>
      <c r="CP137" s="72">
        <v>54</v>
      </c>
      <c r="CQ137" s="72">
        <v>54</v>
      </c>
      <c r="CR137" s="72">
        <v>54</v>
      </c>
      <c r="CS137" s="72">
        <v>54</v>
      </c>
      <c r="CT137" s="72">
        <v>54</v>
      </c>
      <c r="CU137" s="72">
        <v>54</v>
      </c>
      <c r="CV137" s="72">
        <v>54</v>
      </c>
      <c r="CW137" s="72">
        <v>54</v>
      </c>
      <c r="CX137" s="72">
        <v>54</v>
      </c>
      <c r="CY137" s="72">
        <v>54</v>
      </c>
      <c r="CZ137" s="72">
        <v>54</v>
      </c>
      <c r="DA137" s="72">
        <v>54</v>
      </c>
      <c r="DB137" s="72">
        <v>54</v>
      </c>
      <c r="DC137" s="72">
        <v>54</v>
      </c>
      <c r="DD137" s="72">
        <v>54</v>
      </c>
      <c r="DE137" s="72">
        <v>54</v>
      </c>
      <c r="DF137" s="72">
        <v>54</v>
      </c>
      <c r="DG137" s="72">
        <v>54</v>
      </c>
      <c r="DH137" s="72">
        <v>54</v>
      </c>
      <c r="DI137" s="72">
        <v>54</v>
      </c>
      <c r="DJ137" s="72">
        <v>54</v>
      </c>
      <c r="DK137" s="72">
        <v>54</v>
      </c>
      <c r="DL137" s="72">
        <v>54</v>
      </c>
    </row>
    <row r="138" spans="1:116" x14ac:dyDescent="0.35">
      <c r="A138" s="7"/>
      <c r="B138" s="8" t="s">
        <v>253</v>
      </c>
      <c r="C138" s="9" t="s">
        <v>254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27</v>
      </c>
      <c r="J138" s="10"/>
      <c r="K138" s="10"/>
      <c r="L138" s="8"/>
      <c r="M138" s="12">
        <v>4.82796</v>
      </c>
      <c r="N138" s="12">
        <f t="shared" si="2"/>
        <v>106.21512</v>
      </c>
      <c r="O138" s="11">
        <v>30</v>
      </c>
      <c r="P138" s="11">
        <v>30</v>
      </c>
      <c r="Q138" s="11">
        <v>30</v>
      </c>
      <c r="R138" s="11">
        <v>30</v>
      </c>
      <c r="S138" s="11">
        <v>30</v>
      </c>
      <c r="T138" s="11">
        <v>30</v>
      </c>
      <c r="U138" s="11">
        <v>28</v>
      </c>
      <c r="V138" s="11">
        <v>28</v>
      </c>
      <c r="W138" s="11">
        <v>27</v>
      </c>
      <c r="X138" s="11">
        <v>27</v>
      </c>
      <c r="Y138" s="11">
        <v>27</v>
      </c>
      <c r="Z138" s="11">
        <v>27</v>
      </c>
      <c r="AA138" s="11">
        <v>27</v>
      </c>
      <c r="AB138" s="11">
        <v>27</v>
      </c>
      <c r="AC138" s="11">
        <v>27</v>
      </c>
      <c r="AD138" s="11">
        <v>27</v>
      </c>
      <c r="AE138" s="11">
        <v>27</v>
      </c>
      <c r="AF138" s="11">
        <v>27</v>
      </c>
      <c r="AG138" s="11">
        <v>27</v>
      </c>
      <c r="AH138" s="11">
        <v>27</v>
      </c>
      <c r="AI138" s="11">
        <v>27</v>
      </c>
      <c r="AJ138" s="11">
        <v>27</v>
      </c>
      <c r="AK138" s="11">
        <v>27</v>
      </c>
      <c r="AL138" s="11">
        <v>27</v>
      </c>
      <c r="AM138" s="11">
        <v>27</v>
      </c>
      <c r="AN138" s="72">
        <v>25</v>
      </c>
      <c r="AO138" s="72">
        <v>23</v>
      </c>
      <c r="AP138" s="72">
        <v>37</v>
      </c>
      <c r="AQ138" s="72">
        <v>22</v>
      </c>
      <c r="AR138" s="72">
        <v>22</v>
      </c>
      <c r="AS138" s="72">
        <v>22</v>
      </c>
      <c r="AT138" s="72">
        <v>22</v>
      </c>
      <c r="AU138" s="72">
        <v>22</v>
      </c>
      <c r="AV138" s="72">
        <v>22</v>
      </c>
      <c r="AW138" s="72">
        <v>22</v>
      </c>
      <c r="AX138" s="72">
        <v>22</v>
      </c>
      <c r="AY138" s="72">
        <v>22</v>
      </c>
      <c r="AZ138" s="72">
        <v>22</v>
      </c>
      <c r="BA138" s="72">
        <v>22</v>
      </c>
      <c r="BB138" s="72">
        <v>22</v>
      </c>
      <c r="BC138" s="72">
        <v>22</v>
      </c>
      <c r="BD138" s="72">
        <v>22</v>
      </c>
      <c r="BE138" s="72">
        <v>22</v>
      </c>
      <c r="BF138" s="72">
        <v>22</v>
      </c>
      <c r="BG138" s="72">
        <v>22</v>
      </c>
      <c r="BH138" s="72">
        <v>22</v>
      </c>
      <c r="BI138" s="72">
        <v>22</v>
      </c>
      <c r="BJ138" s="72">
        <v>22</v>
      </c>
      <c r="BK138" s="72">
        <v>22</v>
      </c>
      <c r="BL138" s="72">
        <v>22</v>
      </c>
      <c r="BM138" s="72">
        <v>22</v>
      </c>
      <c r="BN138" s="72">
        <v>22</v>
      </c>
      <c r="BO138" s="72">
        <v>22</v>
      </c>
      <c r="BP138" s="72">
        <v>22</v>
      </c>
      <c r="BQ138" s="72">
        <v>22</v>
      </c>
      <c r="BR138" s="72">
        <v>22</v>
      </c>
      <c r="BS138" s="72">
        <v>22</v>
      </c>
      <c r="BT138" s="72">
        <v>22</v>
      </c>
      <c r="BU138" s="72">
        <v>22</v>
      </c>
      <c r="BV138" s="72">
        <v>22</v>
      </c>
      <c r="BW138" s="72">
        <v>22</v>
      </c>
      <c r="BX138" s="72">
        <v>22</v>
      </c>
      <c r="BY138" s="72">
        <v>22</v>
      </c>
      <c r="BZ138" s="72">
        <v>22</v>
      </c>
      <c r="CA138" s="72">
        <v>22</v>
      </c>
      <c r="CB138" s="72">
        <v>22</v>
      </c>
      <c r="CC138" s="72">
        <v>22</v>
      </c>
      <c r="CD138" s="72">
        <v>22</v>
      </c>
      <c r="CE138" s="72">
        <v>22</v>
      </c>
      <c r="CF138" s="72">
        <v>22</v>
      </c>
      <c r="CG138" s="72">
        <v>22</v>
      </c>
      <c r="CH138" s="72">
        <v>22</v>
      </c>
      <c r="CI138" s="72">
        <v>22</v>
      </c>
      <c r="CJ138" s="72">
        <v>22</v>
      </c>
      <c r="CK138" s="72">
        <v>22</v>
      </c>
      <c r="CL138" s="72">
        <v>22</v>
      </c>
      <c r="CM138" s="72">
        <v>22</v>
      </c>
      <c r="CN138" s="72">
        <v>22</v>
      </c>
      <c r="CO138" s="72">
        <v>22</v>
      </c>
      <c r="CP138" s="72">
        <v>22</v>
      </c>
      <c r="CQ138" s="72">
        <v>22</v>
      </c>
      <c r="CR138" s="72">
        <v>22</v>
      </c>
      <c r="CS138" s="72">
        <v>22</v>
      </c>
      <c r="CT138" s="72">
        <v>22</v>
      </c>
      <c r="CU138" s="72">
        <v>22</v>
      </c>
      <c r="CV138" s="72">
        <v>22</v>
      </c>
      <c r="CW138" s="72">
        <v>22</v>
      </c>
      <c r="CX138" s="72">
        <v>22</v>
      </c>
      <c r="CY138" s="72">
        <v>22</v>
      </c>
      <c r="CZ138" s="72">
        <v>22</v>
      </c>
      <c r="DA138" s="72">
        <v>22</v>
      </c>
      <c r="DB138" s="72">
        <v>22</v>
      </c>
      <c r="DC138" s="72">
        <v>22</v>
      </c>
      <c r="DD138" s="72">
        <v>22</v>
      </c>
      <c r="DE138" s="72">
        <v>22</v>
      </c>
      <c r="DF138" s="72">
        <v>22</v>
      </c>
      <c r="DG138" s="72">
        <v>22</v>
      </c>
      <c r="DH138" s="72">
        <v>22</v>
      </c>
      <c r="DI138" s="72">
        <v>22</v>
      </c>
      <c r="DJ138" s="72">
        <v>22</v>
      </c>
      <c r="DK138" s="72">
        <v>22</v>
      </c>
      <c r="DL138" s="72">
        <v>22</v>
      </c>
    </row>
    <row r="139" spans="1:116" x14ac:dyDescent="0.35">
      <c r="A139" s="7"/>
      <c r="B139" s="8" t="s">
        <v>255</v>
      </c>
      <c r="C139" s="9" t="s">
        <v>256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20</v>
      </c>
      <c r="J139" s="10"/>
      <c r="K139" s="10"/>
      <c r="L139" s="8"/>
      <c r="M139" s="12">
        <v>7.1093999999999999</v>
      </c>
      <c r="N139" s="12">
        <f t="shared" si="2"/>
        <v>142.18799999999999</v>
      </c>
      <c r="O139" s="11">
        <v>20</v>
      </c>
      <c r="P139" s="11">
        <v>20</v>
      </c>
      <c r="Q139" s="11">
        <v>20</v>
      </c>
      <c r="R139" s="11">
        <v>20</v>
      </c>
      <c r="S139" s="11">
        <v>20</v>
      </c>
      <c r="T139" s="11">
        <v>20</v>
      </c>
      <c r="U139" s="11">
        <v>20</v>
      </c>
      <c r="V139" s="11">
        <v>20</v>
      </c>
      <c r="W139" s="11">
        <v>20</v>
      </c>
      <c r="X139" s="11">
        <v>20</v>
      </c>
      <c r="Y139" s="11">
        <v>20</v>
      </c>
      <c r="Z139" s="11">
        <v>20</v>
      </c>
      <c r="AA139" s="11">
        <v>20</v>
      </c>
      <c r="AB139" s="11">
        <v>20</v>
      </c>
      <c r="AC139" s="11">
        <v>20</v>
      </c>
      <c r="AD139" s="11">
        <v>20</v>
      </c>
      <c r="AE139" s="11">
        <v>20</v>
      </c>
      <c r="AF139" s="11">
        <v>20</v>
      </c>
      <c r="AG139" s="11">
        <v>20</v>
      </c>
      <c r="AH139" s="11">
        <v>20</v>
      </c>
      <c r="AI139" s="11">
        <v>20</v>
      </c>
      <c r="AJ139" s="11">
        <v>20</v>
      </c>
      <c r="AK139" s="11">
        <v>20</v>
      </c>
      <c r="AL139" s="11">
        <v>20</v>
      </c>
      <c r="AM139" s="11">
        <v>20</v>
      </c>
      <c r="AN139" s="72">
        <v>20</v>
      </c>
      <c r="AO139" s="72">
        <v>20</v>
      </c>
      <c r="AP139" s="72">
        <v>20</v>
      </c>
      <c r="AQ139" s="72">
        <v>20</v>
      </c>
      <c r="AR139" s="72">
        <v>20</v>
      </c>
      <c r="AS139" s="72">
        <v>20</v>
      </c>
      <c r="AT139" s="72">
        <v>20</v>
      </c>
      <c r="AU139" s="72">
        <v>20</v>
      </c>
      <c r="AV139" s="72">
        <v>20</v>
      </c>
      <c r="AW139" s="72">
        <v>20</v>
      </c>
      <c r="AX139" s="72">
        <v>20</v>
      </c>
      <c r="AY139" s="72">
        <v>20</v>
      </c>
      <c r="AZ139" s="72">
        <v>20</v>
      </c>
      <c r="BA139" s="72">
        <v>20</v>
      </c>
      <c r="BB139" s="72">
        <v>20</v>
      </c>
      <c r="BC139" s="72">
        <v>20</v>
      </c>
      <c r="BD139" s="72">
        <v>20</v>
      </c>
      <c r="BE139" s="72">
        <v>20</v>
      </c>
      <c r="BF139" s="72">
        <v>20</v>
      </c>
      <c r="BG139" s="72">
        <v>20</v>
      </c>
      <c r="BH139" s="72">
        <v>20</v>
      </c>
      <c r="BI139" s="72">
        <v>20</v>
      </c>
      <c r="BJ139" s="72">
        <v>20</v>
      </c>
      <c r="BK139" s="72">
        <v>20</v>
      </c>
      <c r="BL139" s="72">
        <v>20</v>
      </c>
      <c r="BM139" s="72">
        <v>20</v>
      </c>
      <c r="BN139" s="72">
        <v>20</v>
      </c>
      <c r="BO139" s="72">
        <v>20</v>
      </c>
      <c r="BP139" s="72">
        <v>20</v>
      </c>
      <c r="BQ139" s="72">
        <v>20</v>
      </c>
      <c r="BR139" s="72">
        <v>20</v>
      </c>
      <c r="BS139" s="72">
        <v>20</v>
      </c>
      <c r="BT139" s="72">
        <v>20</v>
      </c>
      <c r="BU139" s="72">
        <v>20</v>
      </c>
      <c r="BV139" s="72">
        <v>20</v>
      </c>
      <c r="BW139" s="72">
        <v>20</v>
      </c>
      <c r="BX139" s="72">
        <v>20</v>
      </c>
      <c r="BY139" s="72">
        <v>20</v>
      </c>
      <c r="BZ139" s="72">
        <v>20</v>
      </c>
      <c r="CA139" s="72">
        <v>20</v>
      </c>
      <c r="CB139" s="72">
        <v>20</v>
      </c>
      <c r="CC139" s="72">
        <v>20</v>
      </c>
      <c r="CD139" s="72">
        <v>20</v>
      </c>
      <c r="CE139" s="72">
        <v>20</v>
      </c>
      <c r="CF139" s="72">
        <v>20</v>
      </c>
      <c r="CG139" s="72">
        <v>20</v>
      </c>
      <c r="CH139" s="72">
        <v>20</v>
      </c>
      <c r="CI139" s="72">
        <v>20</v>
      </c>
      <c r="CJ139" s="72">
        <v>20</v>
      </c>
      <c r="CK139" s="72">
        <v>20</v>
      </c>
      <c r="CL139" s="72">
        <v>20</v>
      </c>
      <c r="CM139" s="72">
        <v>20</v>
      </c>
      <c r="CN139" s="72">
        <v>20</v>
      </c>
      <c r="CO139" s="72">
        <v>20</v>
      </c>
      <c r="CP139" s="72">
        <v>20</v>
      </c>
      <c r="CQ139" s="72">
        <v>20</v>
      </c>
      <c r="CR139" s="72">
        <v>20</v>
      </c>
      <c r="CS139" s="72">
        <v>20</v>
      </c>
      <c r="CT139" s="72">
        <v>20</v>
      </c>
      <c r="CU139" s="72">
        <v>20</v>
      </c>
      <c r="CV139" s="72">
        <v>20</v>
      </c>
      <c r="CW139" s="72">
        <v>20</v>
      </c>
      <c r="CX139" s="72">
        <v>20</v>
      </c>
      <c r="CY139" s="72">
        <v>20</v>
      </c>
      <c r="CZ139" s="72">
        <v>20</v>
      </c>
      <c r="DA139" s="72">
        <v>20</v>
      </c>
      <c r="DB139" s="72">
        <v>20</v>
      </c>
      <c r="DC139" s="72">
        <v>20</v>
      </c>
      <c r="DD139" s="72">
        <v>20</v>
      </c>
      <c r="DE139" s="72">
        <v>20</v>
      </c>
      <c r="DF139" s="72">
        <v>20</v>
      </c>
      <c r="DG139" s="72">
        <v>20</v>
      </c>
      <c r="DH139" s="72">
        <v>20</v>
      </c>
      <c r="DI139" s="72">
        <v>20</v>
      </c>
      <c r="DJ139" s="72">
        <v>20</v>
      </c>
      <c r="DK139" s="72">
        <v>20</v>
      </c>
      <c r="DL139" s="72">
        <v>20</v>
      </c>
    </row>
    <row r="140" spans="1:116" x14ac:dyDescent="0.35">
      <c r="A140" s="7"/>
      <c r="B140" s="8" t="s">
        <v>257</v>
      </c>
      <c r="C140" s="9" t="s">
        <v>258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1813</v>
      </c>
      <c r="J140" s="10"/>
      <c r="K140" s="10"/>
      <c r="L140" s="8"/>
      <c r="M140" s="12">
        <v>0.504</v>
      </c>
      <c r="N140" s="12">
        <f t="shared" si="2"/>
        <v>381.52800000000002</v>
      </c>
      <c r="O140" s="11">
        <v>2000</v>
      </c>
      <c r="P140" s="11">
        <v>2000</v>
      </c>
      <c r="Q140" s="11">
        <v>2000</v>
      </c>
      <c r="R140" s="11">
        <v>2000</v>
      </c>
      <c r="S140" s="11">
        <v>1999</v>
      </c>
      <c r="T140" s="11">
        <v>1999</v>
      </c>
      <c r="U140" s="11">
        <v>1999</v>
      </c>
      <c r="V140" s="11">
        <v>1999</v>
      </c>
      <c r="W140" s="11">
        <v>1999</v>
      </c>
      <c r="X140" s="11">
        <v>1999</v>
      </c>
      <c r="Y140" s="11">
        <v>1813</v>
      </c>
      <c r="Z140" s="11">
        <v>1813</v>
      </c>
      <c r="AA140" s="11">
        <v>1813</v>
      </c>
      <c r="AB140" s="11">
        <v>1813</v>
      </c>
      <c r="AC140" s="11">
        <v>1813</v>
      </c>
      <c r="AD140" s="11">
        <v>1813</v>
      </c>
      <c r="AE140" s="11">
        <v>1813</v>
      </c>
      <c r="AF140" s="11">
        <v>1813</v>
      </c>
      <c r="AG140" s="11">
        <v>1813</v>
      </c>
      <c r="AH140" s="11">
        <v>1813</v>
      </c>
      <c r="AI140" s="11">
        <v>1813</v>
      </c>
      <c r="AJ140" s="11">
        <v>1813</v>
      </c>
      <c r="AK140" s="11">
        <v>1813</v>
      </c>
      <c r="AL140" s="11">
        <v>1799</v>
      </c>
      <c r="AM140" s="11">
        <v>1799</v>
      </c>
      <c r="AN140" s="72">
        <v>1799</v>
      </c>
      <c r="AO140" s="72">
        <v>1799</v>
      </c>
      <c r="AP140" s="72">
        <v>1799</v>
      </c>
      <c r="AQ140" s="72">
        <v>1799</v>
      </c>
      <c r="AR140" s="72">
        <v>1799</v>
      </c>
      <c r="AS140" s="72">
        <v>1799</v>
      </c>
      <c r="AT140" s="72">
        <v>1799</v>
      </c>
      <c r="AU140" s="72">
        <v>1799</v>
      </c>
      <c r="AV140" s="72">
        <v>1799</v>
      </c>
      <c r="AW140" s="72">
        <v>1799</v>
      </c>
      <c r="AX140" s="72">
        <v>1799</v>
      </c>
      <c r="AY140" s="72">
        <v>1799</v>
      </c>
      <c r="AZ140" s="72">
        <v>1799</v>
      </c>
      <c r="BA140" s="72">
        <v>1779</v>
      </c>
      <c r="BB140" s="72">
        <v>1779</v>
      </c>
      <c r="BC140" s="72">
        <v>1779</v>
      </c>
      <c r="BD140" s="72">
        <v>1779</v>
      </c>
      <c r="BE140" s="72">
        <v>1779</v>
      </c>
      <c r="BF140" s="72">
        <v>1779</v>
      </c>
      <c r="BG140" s="72">
        <v>1779</v>
      </c>
      <c r="BH140" s="72">
        <v>1779</v>
      </c>
      <c r="BI140" s="72">
        <v>1779</v>
      </c>
      <c r="BJ140" s="72">
        <v>1779</v>
      </c>
      <c r="BK140" s="72">
        <v>1779</v>
      </c>
      <c r="BL140" s="72">
        <v>1779</v>
      </c>
      <c r="BM140" s="72">
        <v>1779</v>
      </c>
      <c r="BN140" s="72">
        <v>1779</v>
      </c>
      <c r="BO140" s="72">
        <v>1779</v>
      </c>
      <c r="BP140" s="72">
        <v>1779</v>
      </c>
      <c r="BQ140" s="72">
        <v>1779</v>
      </c>
      <c r="BR140" s="72">
        <v>1779</v>
      </c>
      <c r="BS140" s="72">
        <v>1779</v>
      </c>
      <c r="BT140" s="72">
        <v>1779</v>
      </c>
      <c r="BU140" s="72">
        <v>1749</v>
      </c>
      <c r="BV140" s="72">
        <v>1749</v>
      </c>
      <c r="BW140" s="72">
        <v>1749</v>
      </c>
      <c r="BX140" s="72">
        <v>1749</v>
      </c>
      <c r="BY140" s="72">
        <v>1649</v>
      </c>
      <c r="BZ140" s="72">
        <v>1629</v>
      </c>
      <c r="CA140" s="72">
        <v>1629</v>
      </c>
      <c r="CB140" s="72">
        <v>1629</v>
      </c>
      <c r="CC140" s="72">
        <v>1729</v>
      </c>
      <c r="CD140" s="72">
        <v>1709</v>
      </c>
      <c r="CE140" s="72">
        <v>1709</v>
      </c>
      <c r="CF140" s="72">
        <v>1707</v>
      </c>
      <c r="CG140" s="72">
        <v>1707</v>
      </c>
      <c r="CH140" s="72">
        <v>1707</v>
      </c>
      <c r="CI140" s="72">
        <v>1207</v>
      </c>
      <c r="CJ140" s="72">
        <v>1007</v>
      </c>
      <c r="CK140" s="72">
        <v>1007</v>
      </c>
      <c r="CL140" s="72">
        <v>1007</v>
      </c>
      <c r="CM140" s="72">
        <v>1007</v>
      </c>
      <c r="CN140" s="72">
        <v>1007</v>
      </c>
      <c r="CO140" s="72">
        <v>1007</v>
      </c>
      <c r="CP140" s="72">
        <v>1007</v>
      </c>
      <c r="CQ140" s="72">
        <v>1007</v>
      </c>
      <c r="CR140" s="72">
        <v>1007</v>
      </c>
      <c r="CS140" s="72">
        <v>1007</v>
      </c>
      <c r="CT140" s="72">
        <v>1007</v>
      </c>
      <c r="CU140" s="72">
        <v>1007</v>
      </c>
      <c r="CV140" s="72">
        <v>1007</v>
      </c>
      <c r="CW140" s="72">
        <v>1007</v>
      </c>
      <c r="CX140" s="72">
        <v>1007</v>
      </c>
      <c r="CY140" s="72">
        <v>1007</v>
      </c>
      <c r="CZ140" s="72">
        <f t="shared" ref="CZ140:DE140" si="3">1007-250</f>
        <v>757</v>
      </c>
      <c r="DA140" s="72">
        <f t="shared" si="3"/>
        <v>757</v>
      </c>
      <c r="DB140" s="72">
        <f t="shared" si="3"/>
        <v>757</v>
      </c>
      <c r="DC140" s="72">
        <f t="shared" si="3"/>
        <v>757</v>
      </c>
      <c r="DD140" s="72">
        <f t="shared" si="3"/>
        <v>757</v>
      </c>
      <c r="DE140" s="72">
        <f t="shared" si="3"/>
        <v>757</v>
      </c>
      <c r="DF140" s="72">
        <f t="shared" ref="DF140:DK140" si="4">1007-250</f>
        <v>757</v>
      </c>
      <c r="DG140" s="72">
        <f t="shared" si="4"/>
        <v>757</v>
      </c>
      <c r="DH140" s="72">
        <f t="shared" si="4"/>
        <v>757</v>
      </c>
      <c r="DI140" s="72">
        <f t="shared" si="4"/>
        <v>757</v>
      </c>
      <c r="DJ140" s="72">
        <f t="shared" si="4"/>
        <v>757</v>
      </c>
      <c r="DK140" s="72">
        <f t="shared" si="4"/>
        <v>757</v>
      </c>
      <c r="DL140" s="72">
        <f>1007-250</f>
        <v>757</v>
      </c>
    </row>
    <row r="141" spans="1:116" x14ac:dyDescent="0.35">
      <c r="A141" s="7"/>
      <c r="B141" s="8" t="s">
        <v>259</v>
      </c>
      <c r="C141" s="9" t="s">
        <v>260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1659</v>
      </c>
      <c r="J141" s="10">
        <v>1</v>
      </c>
      <c r="K141" s="10" t="s">
        <v>42</v>
      </c>
      <c r="L141" s="8" t="s">
        <v>206</v>
      </c>
      <c r="M141" s="12">
        <v>0.53878423999999969</v>
      </c>
      <c r="N141" s="12">
        <f t="shared" si="2"/>
        <v>878.21831119999945</v>
      </c>
      <c r="O141" s="11">
        <v>2020</v>
      </c>
      <c r="P141" s="11">
        <v>2020</v>
      </c>
      <c r="Q141" s="11">
        <v>2020</v>
      </c>
      <c r="R141" s="11">
        <v>2019</v>
      </c>
      <c r="S141" s="11">
        <v>2019</v>
      </c>
      <c r="T141" s="11">
        <v>2019</v>
      </c>
      <c r="U141" s="11">
        <v>2019</v>
      </c>
      <c r="V141" s="11">
        <v>2019</v>
      </c>
      <c r="W141" s="11">
        <v>2019</v>
      </c>
      <c r="X141" s="11">
        <v>2019</v>
      </c>
      <c r="Y141" s="11">
        <v>1669</v>
      </c>
      <c r="Z141" s="11">
        <v>1669</v>
      </c>
      <c r="AA141" s="11">
        <v>1669</v>
      </c>
      <c r="AB141" s="11">
        <v>1669</v>
      </c>
      <c r="AC141" s="11">
        <v>1669</v>
      </c>
      <c r="AD141" s="11">
        <v>1669</v>
      </c>
      <c r="AE141" s="11">
        <v>1669</v>
      </c>
      <c r="AF141" s="11">
        <v>1669</v>
      </c>
      <c r="AG141" s="11">
        <v>1669</v>
      </c>
      <c r="AH141" s="11">
        <v>1659</v>
      </c>
      <c r="AI141" s="11">
        <v>1659</v>
      </c>
      <c r="AJ141" s="11">
        <v>1659</v>
      </c>
      <c r="AK141" s="11">
        <v>1659</v>
      </c>
      <c r="AL141" s="11">
        <v>1659</v>
      </c>
      <c r="AM141" s="11">
        <v>1659</v>
      </c>
      <c r="AN141" s="72">
        <v>1659</v>
      </c>
      <c r="AO141" s="72">
        <v>1659</v>
      </c>
      <c r="AP141" s="72">
        <v>1659</v>
      </c>
      <c r="AQ141" s="72">
        <v>1659</v>
      </c>
      <c r="AR141" s="72">
        <v>1659</v>
      </c>
      <c r="AS141" s="72">
        <v>1659</v>
      </c>
      <c r="AT141" s="72">
        <v>1659</v>
      </c>
      <c r="AU141" s="72">
        <v>1659</v>
      </c>
      <c r="AV141" s="72">
        <v>1659</v>
      </c>
      <c r="AW141" s="72">
        <v>1659</v>
      </c>
      <c r="AX141" s="72">
        <v>1659</v>
      </c>
      <c r="AY141" s="72">
        <v>1659</v>
      </c>
      <c r="AZ141" s="72">
        <v>1659</v>
      </c>
      <c r="BA141" s="72">
        <v>1639</v>
      </c>
      <c r="BB141" s="72">
        <v>1639</v>
      </c>
      <c r="BC141" s="72">
        <v>1639</v>
      </c>
      <c r="BD141" s="72">
        <v>1639</v>
      </c>
      <c r="BE141" s="72">
        <v>1639</v>
      </c>
      <c r="BF141" s="72">
        <v>1639</v>
      </c>
      <c r="BG141" s="72">
        <v>1639</v>
      </c>
      <c r="BH141" s="72">
        <v>1639</v>
      </c>
      <c r="BI141" s="72">
        <v>1639</v>
      </c>
      <c r="BJ141" s="72">
        <v>1639</v>
      </c>
      <c r="BK141" s="72">
        <v>1639</v>
      </c>
      <c r="BL141" s="72">
        <v>1639</v>
      </c>
      <c r="BM141" s="72">
        <v>1639</v>
      </c>
      <c r="BN141" s="72">
        <v>1639</v>
      </c>
      <c r="BO141" s="72">
        <v>1639</v>
      </c>
      <c r="BP141" s="72">
        <v>1639</v>
      </c>
      <c r="BQ141" s="72">
        <v>1639</v>
      </c>
      <c r="BR141" s="72">
        <v>1639</v>
      </c>
      <c r="BS141" s="72">
        <v>1639</v>
      </c>
      <c r="BT141" s="72">
        <v>1639</v>
      </c>
      <c r="BU141" s="72">
        <v>1639</v>
      </c>
      <c r="BV141" s="72">
        <v>1633</v>
      </c>
      <c r="BW141" s="72">
        <v>1633</v>
      </c>
      <c r="BX141" s="72">
        <v>1633</v>
      </c>
      <c r="BY141" s="72">
        <v>1633</v>
      </c>
      <c r="BZ141" s="72">
        <v>1633</v>
      </c>
      <c r="CA141" s="72">
        <v>1621</v>
      </c>
      <c r="CB141" s="72">
        <v>1621</v>
      </c>
      <c r="CC141" s="72">
        <v>1621</v>
      </c>
      <c r="CD141" s="72">
        <v>1621</v>
      </c>
      <c r="CE141" s="72">
        <v>1621</v>
      </c>
      <c r="CF141" s="72">
        <v>1955</v>
      </c>
      <c r="CG141" s="72">
        <v>1955</v>
      </c>
      <c r="CH141" s="72">
        <v>1955</v>
      </c>
      <c r="CI141" s="72">
        <v>1755</v>
      </c>
      <c r="CJ141" s="72">
        <v>1655</v>
      </c>
      <c r="CK141" s="72">
        <v>1655</v>
      </c>
      <c r="CL141" s="72">
        <v>1655</v>
      </c>
      <c r="CM141" s="72">
        <v>1655</v>
      </c>
      <c r="CN141" s="72">
        <v>1655</v>
      </c>
      <c r="CO141" s="72">
        <v>1655</v>
      </c>
      <c r="CP141" s="72">
        <v>1655</v>
      </c>
      <c r="CQ141" s="72">
        <v>1655</v>
      </c>
      <c r="CR141" s="72">
        <v>1655</v>
      </c>
      <c r="CS141" s="72">
        <v>1655</v>
      </c>
      <c r="CT141" s="72">
        <v>1655</v>
      </c>
      <c r="CU141" s="72">
        <v>1655</v>
      </c>
      <c r="CV141" s="72">
        <v>1655</v>
      </c>
      <c r="CW141" s="72">
        <v>1655</v>
      </c>
      <c r="CX141" s="72">
        <v>1655</v>
      </c>
      <c r="CY141" s="72">
        <v>1655</v>
      </c>
      <c r="CZ141" s="72">
        <v>1655</v>
      </c>
      <c r="DA141" s="72">
        <v>1655</v>
      </c>
      <c r="DB141" s="72">
        <v>1655</v>
      </c>
      <c r="DC141" s="72">
        <v>1655</v>
      </c>
      <c r="DD141" s="72">
        <v>1655</v>
      </c>
      <c r="DE141" s="72">
        <v>1655</v>
      </c>
      <c r="DF141" s="72">
        <v>1655</v>
      </c>
      <c r="DG141" s="72">
        <v>1655</v>
      </c>
      <c r="DH141" s="72">
        <v>1655</v>
      </c>
      <c r="DI141" s="72">
        <v>1655</v>
      </c>
      <c r="DJ141" s="72">
        <v>1655</v>
      </c>
      <c r="DK141" s="72">
        <v>1655</v>
      </c>
      <c r="DL141" s="72">
        <v>1630</v>
      </c>
    </row>
    <row r="142" spans="1:116" x14ac:dyDescent="0.35">
      <c r="A142" s="7"/>
      <c r="B142" s="8" t="s">
        <v>261</v>
      </c>
      <c r="C142" s="9" t="s">
        <v>262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1033</v>
      </c>
      <c r="J142" s="10"/>
      <c r="K142" s="10" t="s">
        <v>42</v>
      </c>
      <c r="L142" s="8"/>
      <c r="M142" s="12">
        <v>0.67247999999999997</v>
      </c>
      <c r="N142" s="12">
        <f t="shared" si="2"/>
        <v>528.56927999999994</v>
      </c>
      <c r="O142" s="11">
        <v>1068</v>
      </c>
      <c r="P142" s="11">
        <v>1068</v>
      </c>
      <c r="Q142" s="11">
        <v>1068</v>
      </c>
      <c r="R142" s="11">
        <v>1068</v>
      </c>
      <c r="S142" s="11">
        <v>1068</v>
      </c>
      <c r="T142" s="11">
        <v>1068</v>
      </c>
      <c r="U142" s="11">
        <v>1068</v>
      </c>
      <c r="V142" s="11">
        <v>1068</v>
      </c>
      <c r="W142" s="11">
        <v>1068</v>
      </c>
      <c r="X142" s="11">
        <v>1068</v>
      </c>
      <c r="Y142" s="11">
        <v>1068</v>
      </c>
      <c r="Z142" s="11">
        <v>1068</v>
      </c>
      <c r="AA142" s="11">
        <v>1068</v>
      </c>
      <c r="AB142" s="11">
        <v>1068</v>
      </c>
      <c r="AC142" s="11">
        <v>1068</v>
      </c>
      <c r="AD142" s="11">
        <v>1068</v>
      </c>
      <c r="AE142" s="11">
        <v>1063</v>
      </c>
      <c r="AF142" s="11">
        <v>1063</v>
      </c>
      <c r="AG142" s="11">
        <v>1033</v>
      </c>
      <c r="AH142" s="11">
        <v>1033</v>
      </c>
      <c r="AI142" s="11">
        <v>1033</v>
      </c>
      <c r="AJ142" s="11">
        <v>1033</v>
      </c>
      <c r="AK142" s="11">
        <v>1033</v>
      </c>
      <c r="AL142" s="11">
        <v>1032</v>
      </c>
      <c r="AM142" s="11">
        <v>1032</v>
      </c>
      <c r="AN142" s="72">
        <v>1032</v>
      </c>
      <c r="AO142" s="72">
        <v>992</v>
      </c>
      <c r="AP142" s="72">
        <v>992</v>
      </c>
      <c r="AQ142" s="72">
        <v>992</v>
      </c>
      <c r="AR142" s="72">
        <v>987</v>
      </c>
      <c r="AS142" s="72">
        <v>987</v>
      </c>
      <c r="AT142" s="72">
        <v>987</v>
      </c>
      <c r="AU142" s="72">
        <v>987</v>
      </c>
      <c r="AV142" s="72">
        <v>987</v>
      </c>
      <c r="AW142" s="72">
        <v>987</v>
      </c>
      <c r="AX142" s="72">
        <v>987</v>
      </c>
      <c r="AY142" s="72">
        <v>987</v>
      </c>
      <c r="AZ142" s="72">
        <v>987</v>
      </c>
      <c r="BA142" s="72">
        <v>987</v>
      </c>
      <c r="BB142" s="72">
        <v>987</v>
      </c>
      <c r="BC142" s="72">
        <v>987</v>
      </c>
      <c r="BD142" s="72">
        <v>987</v>
      </c>
      <c r="BE142" s="72">
        <v>987</v>
      </c>
      <c r="BF142" s="72">
        <v>987</v>
      </c>
      <c r="BG142" s="72">
        <v>987</v>
      </c>
      <c r="BH142" s="72">
        <v>899</v>
      </c>
      <c r="BI142" s="72">
        <v>899</v>
      </c>
      <c r="BJ142" s="72">
        <v>899</v>
      </c>
      <c r="BK142" s="72">
        <v>899</v>
      </c>
      <c r="BL142" s="72">
        <v>899</v>
      </c>
      <c r="BM142" s="72">
        <v>899</v>
      </c>
      <c r="BN142" s="72">
        <v>922</v>
      </c>
      <c r="BO142" s="72">
        <v>923</v>
      </c>
      <c r="BP142" s="72">
        <v>923</v>
      </c>
      <c r="BQ142" s="72">
        <v>923</v>
      </c>
      <c r="BR142" s="72">
        <v>923</v>
      </c>
      <c r="BS142" s="72">
        <v>923</v>
      </c>
      <c r="BT142" s="72">
        <v>923</v>
      </c>
      <c r="BU142" s="72">
        <f>923-18</f>
        <v>905</v>
      </c>
      <c r="BV142" s="72">
        <v>829</v>
      </c>
      <c r="BW142" s="72">
        <v>821</v>
      </c>
      <c r="BX142" s="72">
        <v>821</v>
      </c>
      <c r="BY142" s="72">
        <v>821</v>
      </c>
      <c r="BZ142" s="72">
        <v>813</v>
      </c>
      <c r="CA142" s="72">
        <v>801</v>
      </c>
      <c r="CB142" s="72">
        <v>801</v>
      </c>
      <c r="CC142" s="72">
        <v>801</v>
      </c>
      <c r="CD142" s="72">
        <v>796</v>
      </c>
      <c r="CE142" s="72">
        <v>796</v>
      </c>
      <c r="CF142" s="72">
        <v>796</v>
      </c>
      <c r="CG142" s="72">
        <v>796</v>
      </c>
      <c r="CH142" s="72">
        <v>796</v>
      </c>
      <c r="CI142" s="72">
        <v>796</v>
      </c>
      <c r="CJ142" s="72">
        <v>796</v>
      </c>
      <c r="CK142" s="72">
        <v>796</v>
      </c>
      <c r="CL142" s="72">
        <v>796</v>
      </c>
      <c r="CM142" s="72">
        <v>796</v>
      </c>
      <c r="CN142" s="72">
        <v>796</v>
      </c>
      <c r="CO142" s="72">
        <v>796</v>
      </c>
      <c r="CP142" s="72">
        <v>796</v>
      </c>
      <c r="CQ142" s="72">
        <v>796</v>
      </c>
      <c r="CR142" s="72">
        <v>796</v>
      </c>
      <c r="CS142" s="72">
        <v>796</v>
      </c>
      <c r="CT142" s="72">
        <v>796</v>
      </c>
      <c r="CU142" s="72">
        <v>796</v>
      </c>
      <c r="CV142" s="72">
        <v>796</v>
      </c>
      <c r="CW142" s="72">
        <v>796</v>
      </c>
      <c r="CX142" s="72">
        <v>796</v>
      </c>
      <c r="CY142" s="72">
        <v>796</v>
      </c>
      <c r="CZ142" s="72">
        <v>796</v>
      </c>
      <c r="DA142" s="72">
        <v>796</v>
      </c>
      <c r="DB142" s="72">
        <v>796</v>
      </c>
      <c r="DC142" s="72">
        <v>796</v>
      </c>
      <c r="DD142" s="72">
        <v>796</v>
      </c>
      <c r="DE142" s="72">
        <v>796</v>
      </c>
      <c r="DF142" s="72">
        <v>796</v>
      </c>
      <c r="DG142" s="72">
        <v>796</v>
      </c>
      <c r="DH142" s="72">
        <v>796</v>
      </c>
      <c r="DI142" s="72">
        <v>796</v>
      </c>
      <c r="DJ142" s="72">
        <v>796</v>
      </c>
      <c r="DK142" s="72">
        <v>796</v>
      </c>
      <c r="DL142" s="72">
        <v>786</v>
      </c>
    </row>
    <row r="143" spans="1:116" x14ac:dyDescent="0.35">
      <c r="A143" s="7"/>
      <c r="B143" s="8" t="s">
        <v>263</v>
      </c>
      <c r="C143" s="9" t="s">
        <v>264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347</v>
      </c>
      <c r="J143" s="10"/>
      <c r="K143" s="10" t="s">
        <v>42</v>
      </c>
      <c r="L143" s="8"/>
      <c r="M143" s="12">
        <v>0.82379999999999998</v>
      </c>
      <c r="N143" s="12">
        <f t="shared" si="2"/>
        <v>0</v>
      </c>
      <c r="O143" s="11">
        <v>347</v>
      </c>
      <c r="P143" s="11">
        <v>347</v>
      </c>
      <c r="Q143" s="11">
        <v>347</v>
      </c>
      <c r="R143" s="11">
        <v>347</v>
      </c>
      <c r="S143" s="11">
        <v>347</v>
      </c>
      <c r="T143" s="11">
        <v>347</v>
      </c>
      <c r="U143" s="11">
        <v>347</v>
      </c>
      <c r="V143" s="11">
        <v>347</v>
      </c>
      <c r="W143" s="11">
        <v>347</v>
      </c>
      <c r="X143" s="11">
        <v>347</v>
      </c>
      <c r="Y143" s="11">
        <v>347</v>
      </c>
      <c r="Z143" s="11">
        <v>347</v>
      </c>
      <c r="AA143" s="11">
        <v>347</v>
      </c>
      <c r="AB143" s="11">
        <v>347</v>
      </c>
      <c r="AC143" s="11">
        <v>347</v>
      </c>
      <c r="AD143" s="11">
        <v>347</v>
      </c>
      <c r="AE143" s="11">
        <v>347</v>
      </c>
      <c r="AF143" s="11">
        <v>347</v>
      </c>
      <c r="AG143" s="11">
        <v>347</v>
      </c>
      <c r="AH143" s="11">
        <v>347</v>
      </c>
      <c r="AI143" s="11">
        <v>347</v>
      </c>
      <c r="AJ143" s="11">
        <v>347</v>
      </c>
      <c r="AK143" s="11">
        <v>347</v>
      </c>
      <c r="AL143" s="11">
        <v>346</v>
      </c>
      <c r="AM143" s="11">
        <v>346</v>
      </c>
      <c r="AN143" s="72">
        <v>346</v>
      </c>
      <c r="AO143" s="72">
        <v>146</v>
      </c>
      <c r="AP143" s="72">
        <v>146</v>
      </c>
      <c r="AQ143" s="72">
        <v>146</v>
      </c>
      <c r="AR143" s="72">
        <v>141</v>
      </c>
      <c r="AS143" s="72">
        <v>141</v>
      </c>
      <c r="AT143" s="72">
        <v>141</v>
      </c>
      <c r="AU143" s="72">
        <v>141</v>
      </c>
      <c r="AV143" s="72">
        <v>0</v>
      </c>
      <c r="AW143" s="72">
        <v>0</v>
      </c>
      <c r="AX143" s="72">
        <v>0</v>
      </c>
      <c r="AY143" s="72">
        <v>0</v>
      </c>
      <c r="AZ143" s="72">
        <v>0</v>
      </c>
      <c r="BA143" s="72">
        <v>0</v>
      </c>
      <c r="BB143" s="72">
        <v>0</v>
      </c>
      <c r="BC143" s="72">
        <v>0</v>
      </c>
      <c r="BD143" s="72">
        <v>0</v>
      </c>
      <c r="BE143" s="72">
        <v>0</v>
      </c>
      <c r="BF143" s="72">
        <v>0</v>
      </c>
      <c r="BG143" s="72">
        <v>0</v>
      </c>
      <c r="BH143" s="72">
        <v>0</v>
      </c>
      <c r="BI143" s="72">
        <v>0</v>
      </c>
      <c r="BJ143" s="72">
        <v>0</v>
      </c>
      <c r="BK143" s="72">
        <v>0</v>
      </c>
      <c r="BL143" s="72">
        <v>0</v>
      </c>
      <c r="BM143" s="72">
        <v>0</v>
      </c>
      <c r="BN143" s="72">
        <v>0</v>
      </c>
      <c r="BO143" s="72">
        <v>0</v>
      </c>
      <c r="BP143" s="72">
        <v>0</v>
      </c>
      <c r="BQ143" s="72">
        <v>0</v>
      </c>
      <c r="BR143" s="72">
        <v>0</v>
      </c>
      <c r="BS143" s="72">
        <v>0</v>
      </c>
      <c r="BT143" s="72">
        <v>0</v>
      </c>
      <c r="BU143" s="72">
        <v>0</v>
      </c>
      <c r="BV143" s="72">
        <v>0</v>
      </c>
      <c r="BW143" s="72">
        <v>0</v>
      </c>
      <c r="BX143" s="72">
        <v>0</v>
      </c>
      <c r="BY143" s="72">
        <v>0</v>
      </c>
      <c r="BZ143" s="72">
        <v>0</v>
      </c>
      <c r="CA143" s="72">
        <v>0</v>
      </c>
      <c r="CB143" s="72">
        <v>0</v>
      </c>
      <c r="CC143" s="72">
        <v>0</v>
      </c>
      <c r="CD143" s="72">
        <v>0</v>
      </c>
      <c r="CE143" s="72">
        <v>0</v>
      </c>
      <c r="CF143" s="72">
        <v>0</v>
      </c>
      <c r="CG143" s="72">
        <v>0</v>
      </c>
      <c r="CH143" s="72">
        <v>0</v>
      </c>
      <c r="CI143" s="72">
        <v>0</v>
      </c>
      <c r="CJ143" s="72">
        <v>0</v>
      </c>
      <c r="CK143" s="72">
        <v>0</v>
      </c>
      <c r="CL143" s="72">
        <v>0</v>
      </c>
      <c r="CM143" s="72">
        <v>0</v>
      </c>
      <c r="CN143" s="72">
        <v>0</v>
      </c>
      <c r="CO143" s="72">
        <v>0</v>
      </c>
      <c r="CP143" s="72">
        <v>0</v>
      </c>
      <c r="CQ143" s="72">
        <v>0</v>
      </c>
      <c r="CR143" s="72">
        <v>0</v>
      </c>
      <c r="CS143" s="72">
        <v>0</v>
      </c>
      <c r="CT143" s="72">
        <v>0</v>
      </c>
      <c r="CU143" s="72">
        <v>0</v>
      </c>
      <c r="CV143" s="72">
        <v>0</v>
      </c>
      <c r="CW143" s="72">
        <v>0</v>
      </c>
      <c r="CX143" s="72">
        <v>0</v>
      </c>
      <c r="CY143" s="72">
        <v>0</v>
      </c>
      <c r="CZ143" s="72">
        <v>0</v>
      </c>
      <c r="DA143" s="72">
        <v>0</v>
      </c>
      <c r="DB143" s="72">
        <v>0</v>
      </c>
      <c r="DC143" s="72">
        <v>0</v>
      </c>
      <c r="DD143" s="72">
        <v>0</v>
      </c>
      <c r="DE143" s="72">
        <v>0</v>
      </c>
      <c r="DF143" s="72">
        <v>0</v>
      </c>
      <c r="DG143" s="72">
        <v>0</v>
      </c>
      <c r="DH143" s="72">
        <v>0</v>
      </c>
      <c r="DI143" s="72">
        <v>0</v>
      </c>
      <c r="DJ143" s="72">
        <v>0</v>
      </c>
      <c r="DK143" s="72">
        <v>0</v>
      </c>
      <c r="DL143" s="72">
        <v>0</v>
      </c>
    </row>
    <row r="144" spans="1:116" x14ac:dyDescent="0.35">
      <c r="A144" s="7"/>
      <c r="B144" s="8" t="s">
        <v>265</v>
      </c>
      <c r="C144" s="9" t="s">
        <v>266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364</v>
      </c>
      <c r="J144" s="10"/>
      <c r="K144" s="10" t="s">
        <v>42</v>
      </c>
      <c r="L144" s="8"/>
      <c r="M144" s="12">
        <v>1.2661199999999999</v>
      </c>
      <c r="N144" s="12">
        <f t="shared" si="2"/>
        <v>6.3305999999999996</v>
      </c>
      <c r="O144" s="11">
        <v>369</v>
      </c>
      <c r="P144" s="11">
        <v>369</v>
      </c>
      <c r="Q144" s="11">
        <v>369</v>
      </c>
      <c r="R144" s="11">
        <v>369</v>
      </c>
      <c r="S144" s="11">
        <v>369</v>
      </c>
      <c r="T144" s="11">
        <v>369</v>
      </c>
      <c r="U144" s="11">
        <v>369</v>
      </c>
      <c r="V144" s="11">
        <v>369</v>
      </c>
      <c r="W144" s="11">
        <v>369</v>
      </c>
      <c r="X144" s="11">
        <v>369</v>
      </c>
      <c r="Y144" s="11">
        <v>364</v>
      </c>
      <c r="Z144" s="11">
        <v>364</v>
      </c>
      <c r="AA144" s="11">
        <v>364</v>
      </c>
      <c r="AB144" s="11">
        <v>364</v>
      </c>
      <c r="AC144" s="11">
        <v>364</v>
      </c>
      <c r="AD144" s="11">
        <v>364</v>
      </c>
      <c r="AE144" s="11">
        <v>364</v>
      </c>
      <c r="AF144" s="11">
        <v>364</v>
      </c>
      <c r="AG144" s="11">
        <v>364</v>
      </c>
      <c r="AH144" s="11">
        <v>364</v>
      </c>
      <c r="AI144" s="11">
        <v>364</v>
      </c>
      <c r="AJ144" s="11">
        <v>364</v>
      </c>
      <c r="AK144" s="11">
        <v>364</v>
      </c>
      <c r="AL144" s="11">
        <v>364</v>
      </c>
      <c r="AM144" s="11">
        <v>164</v>
      </c>
      <c r="AN144" s="72">
        <v>164</v>
      </c>
      <c r="AO144" s="72">
        <v>164</v>
      </c>
      <c r="AP144" s="72">
        <v>164</v>
      </c>
      <c r="AQ144" s="72">
        <v>164</v>
      </c>
      <c r="AR144" s="72">
        <v>159</v>
      </c>
      <c r="AS144" s="72">
        <v>159</v>
      </c>
      <c r="AT144" s="72">
        <v>159</v>
      </c>
      <c r="AU144" s="72">
        <v>159</v>
      </c>
      <c r="AV144" s="72">
        <v>159</v>
      </c>
      <c r="AW144" s="72">
        <v>159</v>
      </c>
      <c r="AX144" s="72">
        <v>159</v>
      </c>
      <c r="AY144" s="72">
        <v>159</v>
      </c>
      <c r="AZ144" s="72">
        <v>159</v>
      </c>
      <c r="BA144" s="72">
        <v>159</v>
      </c>
      <c r="BB144" s="72">
        <v>159</v>
      </c>
      <c r="BC144" s="72">
        <v>159</v>
      </c>
      <c r="BD144" s="72">
        <v>159</v>
      </c>
      <c r="BE144" s="72">
        <v>159</v>
      </c>
      <c r="BF144" s="72">
        <v>159</v>
      </c>
      <c r="BG144" s="72">
        <v>159</v>
      </c>
      <c r="BH144" s="72">
        <v>159</v>
      </c>
      <c r="BI144" s="72">
        <v>159</v>
      </c>
      <c r="BJ144" s="72">
        <v>159</v>
      </c>
      <c r="BK144" s="72">
        <v>159</v>
      </c>
      <c r="BL144" s="72">
        <v>159</v>
      </c>
      <c r="BM144" s="72">
        <v>159</v>
      </c>
      <c r="BN144" s="72">
        <v>159</v>
      </c>
      <c r="BO144" s="72">
        <v>159</v>
      </c>
      <c r="BP144" s="72">
        <v>159</v>
      </c>
      <c r="BQ144" s="72">
        <v>159</v>
      </c>
      <c r="BR144" s="72">
        <v>159</v>
      </c>
      <c r="BS144" s="72">
        <v>119</v>
      </c>
      <c r="BT144" s="72">
        <v>119</v>
      </c>
      <c r="BU144" s="72">
        <v>119</v>
      </c>
      <c r="BV144" s="72">
        <v>119</v>
      </c>
      <c r="BW144" s="72">
        <v>119</v>
      </c>
      <c r="BX144" s="72">
        <v>119</v>
      </c>
      <c r="BY144" s="72">
        <v>119</v>
      </c>
      <c r="BZ144" s="72">
        <v>119</v>
      </c>
      <c r="CA144" s="72">
        <v>105</v>
      </c>
      <c r="CB144" s="72">
        <v>105</v>
      </c>
      <c r="CC144" s="72">
        <v>105</v>
      </c>
      <c r="CD144" s="72">
        <v>105</v>
      </c>
      <c r="CE144" s="72">
        <v>105</v>
      </c>
      <c r="CF144" s="72">
        <v>5</v>
      </c>
      <c r="CG144" s="72">
        <v>5</v>
      </c>
      <c r="CH144" s="72">
        <v>5</v>
      </c>
      <c r="CI144" s="72">
        <v>5</v>
      </c>
      <c r="CJ144" s="72">
        <v>5</v>
      </c>
      <c r="CK144" s="72">
        <v>5</v>
      </c>
      <c r="CL144" s="72">
        <v>5</v>
      </c>
      <c r="CM144" s="72">
        <v>5</v>
      </c>
      <c r="CN144" s="72">
        <v>5</v>
      </c>
      <c r="CO144" s="72">
        <v>5</v>
      </c>
      <c r="CP144" s="72">
        <v>5</v>
      </c>
      <c r="CQ144" s="72">
        <v>5</v>
      </c>
      <c r="CR144" s="72">
        <v>5</v>
      </c>
      <c r="CS144" s="72">
        <v>5</v>
      </c>
      <c r="CT144" s="72">
        <v>5</v>
      </c>
      <c r="CU144" s="72">
        <v>5</v>
      </c>
      <c r="CV144" s="72">
        <v>5</v>
      </c>
      <c r="CW144" s="72">
        <v>5</v>
      </c>
      <c r="CX144" s="72">
        <v>5</v>
      </c>
      <c r="CY144" s="72">
        <v>5</v>
      </c>
      <c r="CZ144" s="72">
        <v>5</v>
      </c>
      <c r="DA144" s="72">
        <v>5</v>
      </c>
      <c r="DB144" s="72">
        <v>5</v>
      </c>
      <c r="DC144" s="72">
        <v>5</v>
      </c>
      <c r="DD144" s="72">
        <v>5</v>
      </c>
      <c r="DE144" s="72">
        <v>5</v>
      </c>
      <c r="DF144" s="72">
        <v>5</v>
      </c>
      <c r="DG144" s="72">
        <v>5</v>
      </c>
      <c r="DH144" s="72">
        <v>5</v>
      </c>
      <c r="DI144" s="72">
        <v>5</v>
      </c>
      <c r="DJ144" s="72">
        <v>5</v>
      </c>
      <c r="DK144" s="72">
        <v>5</v>
      </c>
      <c r="DL144" s="72">
        <v>5</v>
      </c>
    </row>
    <row r="145" spans="1:116" x14ac:dyDescent="0.35">
      <c r="A145" s="7"/>
      <c r="B145" s="8" t="s">
        <v>267</v>
      </c>
      <c r="C145" s="9" t="s">
        <v>268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434</v>
      </c>
      <c r="J145" s="10"/>
      <c r="K145" s="10" t="s">
        <v>42</v>
      </c>
      <c r="L145" s="8"/>
      <c r="M145" s="12">
        <v>1.6967999999999999</v>
      </c>
      <c r="N145" s="12">
        <f t="shared" si="2"/>
        <v>363.11519999999996</v>
      </c>
      <c r="O145" s="11">
        <v>443</v>
      </c>
      <c r="P145" s="11">
        <v>443</v>
      </c>
      <c r="Q145" s="11">
        <v>443</v>
      </c>
      <c r="R145" s="11">
        <v>443</v>
      </c>
      <c r="S145" s="11">
        <v>443</v>
      </c>
      <c r="T145" s="11">
        <v>443</v>
      </c>
      <c r="U145" s="11">
        <v>439</v>
      </c>
      <c r="V145" s="11">
        <v>439</v>
      </c>
      <c r="W145" s="11">
        <v>439</v>
      </c>
      <c r="X145" s="11">
        <v>439</v>
      </c>
      <c r="Y145" s="11">
        <v>434</v>
      </c>
      <c r="Z145" s="11">
        <v>434</v>
      </c>
      <c r="AA145" s="11">
        <v>434</v>
      </c>
      <c r="AB145" s="11">
        <v>434</v>
      </c>
      <c r="AC145" s="11">
        <v>434</v>
      </c>
      <c r="AD145" s="11">
        <v>434</v>
      </c>
      <c r="AE145" s="11">
        <v>434</v>
      </c>
      <c r="AF145" s="11">
        <v>434</v>
      </c>
      <c r="AG145" s="11">
        <v>434</v>
      </c>
      <c r="AH145" s="11">
        <v>434</v>
      </c>
      <c r="AI145" s="11">
        <v>434</v>
      </c>
      <c r="AJ145" s="11">
        <v>434</v>
      </c>
      <c r="AK145" s="11">
        <v>434</v>
      </c>
      <c r="AL145" s="11">
        <v>434</v>
      </c>
      <c r="AM145" s="11">
        <v>434</v>
      </c>
      <c r="AN145" s="72">
        <v>434</v>
      </c>
      <c r="AO145" s="72">
        <v>434</v>
      </c>
      <c r="AP145" s="72">
        <v>434</v>
      </c>
      <c r="AQ145" s="72">
        <v>434</v>
      </c>
      <c r="AR145" s="72">
        <v>434</v>
      </c>
      <c r="AS145" s="72">
        <v>434</v>
      </c>
      <c r="AT145" s="72">
        <v>434</v>
      </c>
      <c r="AU145" s="72">
        <v>434</v>
      </c>
      <c r="AV145" s="72">
        <v>434</v>
      </c>
      <c r="AW145" s="72">
        <v>434</v>
      </c>
      <c r="AX145" s="72">
        <v>434</v>
      </c>
      <c r="AY145" s="72">
        <v>434</v>
      </c>
      <c r="AZ145" s="72">
        <v>434</v>
      </c>
      <c r="BA145" s="72">
        <v>434</v>
      </c>
      <c r="BB145" s="72">
        <v>434</v>
      </c>
      <c r="BC145" s="72">
        <v>434</v>
      </c>
      <c r="BD145" s="72">
        <v>434</v>
      </c>
      <c r="BE145" s="72">
        <v>434</v>
      </c>
      <c r="BF145" s="72">
        <v>434</v>
      </c>
      <c r="BG145" s="72">
        <v>434</v>
      </c>
      <c r="BH145" s="72">
        <v>434</v>
      </c>
      <c r="BI145" s="72">
        <v>434</v>
      </c>
      <c r="BJ145" s="72">
        <v>434</v>
      </c>
      <c r="BK145" s="72">
        <v>434</v>
      </c>
      <c r="BL145" s="72">
        <v>434</v>
      </c>
      <c r="BM145" s="72">
        <v>434</v>
      </c>
      <c r="BN145" s="72">
        <v>434</v>
      </c>
      <c r="BO145" s="72">
        <v>434</v>
      </c>
      <c r="BP145" s="72">
        <v>434</v>
      </c>
      <c r="BQ145" s="72">
        <v>434</v>
      </c>
      <c r="BR145" s="72">
        <v>434</v>
      </c>
      <c r="BS145" s="72">
        <v>434</v>
      </c>
      <c r="BT145" s="72">
        <v>434</v>
      </c>
      <c r="BU145" s="72">
        <v>434</v>
      </c>
      <c r="BV145" s="72">
        <v>434</v>
      </c>
      <c r="BW145" s="72">
        <v>434</v>
      </c>
      <c r="BX145" s="72">
        <v>434</v>
      </c>
      <c r="BY145" s="72">
        <v>434</v>
      </c>
      <c r="BZ145" s="72">
        <v>434</v>
      </c>
      <c r="CA145" s="72">
        <v>434</v>
      </c>
      <c r="CB145" s="72">
        <v>434</v>
      </c>
      <c r="CC145" s="72">
        <v>434</v>
      </c>
      <c r="CD145" s="72">
        <v>434</v>
      </c>
      <c r="CE145" s="72">
        <v>434</v>
      </c>
      <c r="CF145" s="72">
        <v>434</v>
      </c>
      <c r="CG145" s="72">
        <v>434</v>
      </c>
      <c r="CH145" s="72">
        <v>434</v>
      </c>
      <c r="CI145" s="72">
        <v>314</v>
      </c>
      <c r="CJ145" s="72">
        <v>214</v>
      </c>
      <c r="CK145" s="72">
        <v>214</v>
      </c>
      <c r="CL145" s="72">
        <v>214</v>
      </c>
      <c r="CM145" s="72">
        <v>214</v>
      </c>
      <c r="CN145" s="72">
        <v>214</v>
      </c>
      <c r="CO145" s="72">
        <v>214</v>
      </c>
      <c r="CP145" s="72">
        <v>214</v>
      </c>
      <c r="CQ145" s="72">
        <v>214</v>
      </c>
      <c r="CR145" s="72">
        <v>214</v>
      </c>
      <c r="CS145" s="72">
        <v>214</v>
      </c>
      <c r="CT145" s="72">
        <v>214</v>
      </c>
      <c r="CU145" s="72">
        <v>214</v>
      </c>
      <c r="CV145" s="72">
        <v>214</v>
      </c>
      <c r="CW145" s="72">
        <v>214</v>
      </c>
      <c r="CX145" s="72">
        <v>214</v>
      </c>
      <c r="CY145" s="72">
        <v>214</v>
      </c>
      <c r="CZ145" s="72">
        <v>214</v>
      </c>
      <c r="DA145" s="72">
        <v>214</v>
      </c>
      <c r="DB145" s="72">
        <v>214</v>
      </c>
      <c r="DC145" s="72">
        <v>214</v>
      </c>
      <c r="DD145" s="72">
        <v>214</v>
      </c>
      <c r="DE145" s="72">
        <v>214</v>
      </c>
      <c r="DF145" s="72">
        <v>214</v>
      </c>
      <c r="DG145" s="72">
        <v>214</v>
      </c>
      <c r="DH145" s="72">
        <v>214</v>
      </c>
      <c r="DI145" s="72">
        <v>214</v>
      </c>
      <c r="DJ145" s="72">
        <v>214</v>
      </c>
      <c r="DK145" s="72">
        <v>214</v>
      </c>
      <c r="DL145" s="72">
        <v>214</v>
      </c>
    </row>
    <row r="146" spans="1:116" x14ac:dyDescent="0.35">
      <c r="A146" s="7"/>
      <c r="B146" s="8" t="s">
        <v>269</v>
      </c>
      <c r="C146" s="9" t="s">
        <v>270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2.5930799999999996</v>
      </c>
      <c r="N146" s="12">
        <f t="shared" si="2"/>
        <v>77.792399999999986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30</v>
      </c>
      <c r="AS146" s="72">
        <v>30</v>
      </c>
      <c r="AT146" s="72">
        <v>30</v>
      </c>
      <c r="AU146" s="72">
        <v>30</v>
      </c>
      <c r="AV146" s="72">
        <v>30</v>
      </c>
      <c r="AW146" s="72">
        <v>30</v>
      </c>
      <c r="AX146" s="72">
        <v>30</v>
      </c>
      <c r="AY146" s="72">
        <v>30</v>
      </c>
      <c r="AZ146" s="72">
        <v>30</v>
      </c>
      <c r="BA146" s="72">
        <v>30</v>
      </c>
      <c r="BB146" s="72">
        <v>30</v>
      </c>
      <c r="BC146" s="72">
        <v>30</v>
      </c>
      <c r="BD146" s="72">
        <v>30</v>
      </c>
      <c r="BE146" s="72">
        <v>30</v>
      </c>
      <c r="BF146" s="72">
        <v>30</v>
      </c>
      <c r="BG146" s="72">
        <v>30</v>
      </c>
      <c r="BH146" s="72">
        <v>30</v>
      </c>
      <c r="BI146" s="72">
        <v>30</v>
      </c>
      <c r="BJ146" s="72">
        <v>30</v>
      </c>
      <c r="BK146" s="72">
        <v>30</v>
      </c>
      <c r="BL146" s="72">
        <v>30</v>
      </c>
      <c r="BM146" s="72">
        <v>30</v>
      </c>
      <c r="BN146" s="72">
        <v>30</v>
      </c>
      <c r="BO146" s="72">
        <v>30</v>
      </c>
      <c r="BP146" s="72">
        <v>30</v>
      </c>
      <c r="BQ146" s="72">
        <v>30</v>
      </c>
      <c r="BR146" s="72">
        <v>30</v>
      </c>
      <c r="BS146" s="72">
        <v>30</v>
      </c>
      <c r="BT146" s="72">
        <v>30</v>
      </c>
      <c r="BU146" s="72">
        <v>30</v>
      </c>
      <c r="BV146" s="72">
        <v>30</v>
      </c>
      <c r="BW146" s="72">
        <v>30</v>
      </c>
      <c r="BX146" s="72">
        <v>30</v>
      </c>
      <c r="BY146" s="72">
        <v>30</v>
      </c>
      <c r="BZ146" s="72">
        <v>30</v>
      </c>
      <c r="CA146" s="72">
        <v>30</v>
      </c>
      <c r="CB146" s="72">
        <v>30</v>
      </c>
      <c r="CC146" s="72">
        <v>30</v>
      </c>
      <c r="CD146" s="72">
        <v>30</v>
      </c>
      <c r="CE146" s="72">
        <v>30</v>
      </c>
      <c r="CF146" s="72">
        <v>30</v>
      </c>
      <c r="CG146" s="72">
        <v>30</v>
      </c>
      <c r="CH146" s="72">
        <v>30</v>
      </c>
      <c r="CI146" s="72">
        <v>30</v>
      </c>
      <c r="CJ146" s="72">
        <v>30</v>
      </c>
      <c r="CK146" s="72">
        <v>30</v>
      </c>
      <c r="CL146" s="72">
        <v>30</v>
      </c>
      <c r="CM146" s="72">
        <v>30</v>
      </c>
      <c r="CN146" s="72">
        <v>30</v>
      </c>
      <c r="CO146" s="72">
        <v>30</v>
      </c>
      <c r="CP146" s="72">
        <v>30</v>
      </c>
      <c r="CQ146" s="72">
        <v>30</v>
      </c>
      <c r="CR146" s="72">
        <v>30</v>
      </c>
      <c r="CS146" s="72">
        <v>30</v>
      </c>
      <c r="CT146" s="72">
        <v>30</v>
      </c>
      <c r="CU146" s="72">
        <v>30</v>
      </c>
      <c r="CV146" s="72">
        <v>30</v>
      </c>
      <c r="CW146" s="72">
        <v>30</v>
      </c>
      <c r="CX146" s="72">
        <v>30</v>
      </c>
      <c r="CY146" s="72">
        <v>30</v>
      </c>
      <c r="CZ146" s="72">
        <v>30</v>
      </c>
      <c r="DA146" s="72">
        <v>30</v>
      </c>
      <c r="DB146" s="72">
        <v>30</v>
      </c>
      <c r="DC146" s="72">
        <v>30</v>
      </c>
      <c r="DD146" s="72">
        <v>30</v>
      </c>
      <c r="DE146" s="72">
        <v>30</v>
      </c>
      <c r="DF146" s="72">
        <v>30</v>
      </c>
      <c r="DG146" s="72">
        <v>30</v>
      </c>
      <c r="DH146" s="72">
        <v>30</v>
      </c>
      <c r="DI146" s="72">
        <v>30</v>
      </c>
      <c r="DJ146" s="72">
        <v>30</v>
      </c>
      <c r="DK146" s="72">
        <v>30</v>
      </c>
      <c r="DL146" s="72">
        <v>30</v>
      </c>
    </row>
    <row r="147" spans="1:116" x14ac:dyDescent="0.35">
      <c r="A147" s="7"/>
      <c r="B147" s="8" t="s">
        <v>271</v>
      </c>
      <c r="C147" s="9" t="s">
        <v>272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50</v>
      </c>
      <c r="J147" s="10"/>
      <c r="K147" s="10"/>
      <c r="L147" s="8"/>
      <c r="M147" s="12">
        <v>3.48936</v>
      </c>
      <c r="N147" s="12">
        <f t="shared" si="2"/>
        <v>174.46799999999999</v>
      </c>
      <c r="O147" s="11">
        <v>50</v>
      </c>
      <c r="P147" s="11">
        <v>50</v>
      </c>
      <c r="Q147" s="11">
        <v>50</v>
      </c>
      <c r="R147" s="11">
        <v>50</v>
      </c>
      <c r="S147" s="11">
        <v>50</v>
      </c>
      <c r="T147" s="11">
        <v>50</v>
      </c>
      <c r="U147" s="11">
        <v>50</v>
      </c>
      <c r="V147" s="11">
        <v>50</v>
      </c>
      <c r="W147" s="11">
        <v>50</v>
      </c>
      <c r="X147" s="11">
        <v>50</v>
      </c>
      <c r="Y147" s="11">
        <v>50</v>
      </c>
      <c r="Z147" s="11">
        <v>50</v>
      </c>
      <c r="AA147" s="11">
        <v>50</v>
      </c>
      <c r="AB147" s="11">
        <v>50</v>
      </c>
      <c r="AC147" s="11">
        <v>50</v>
      </c>
      <c r="AD147" s="11">
        <v>50</v>
      </c>
      <c r="AE147" s="11">
        <v>50</v>
      </c>
      <c r="AF147" s="11">
        <v>50</v>
      </c>
      <c r="AG147" s="11">
        <v>50</v>
      </c>
      <c r="AH147" s="11">
        <v>50</v>
      </c>
      <c r="AI147" s="11">
        <v>50</v>
      </c>
      <c r="AJ147" s="11">
        <v>50</v>
      </c>
      <c r="AK147" s="11">
        <v>50</v>
      </c>
      <c r="AL147" s="11">
        <v>50</v>
      </c>
      <c r="AM147" s="11">
        <v>50</v>
      </c>
      <c r="AN147" s="72">
        <v>50</v>
      </c>
      <c r="AO147" s="72">
        <v>50</v>
      </c>
      <c r="AP147" s="72">
        <v>50</v>
      </c>
      <c r="AQ147" s="72">
        <v>50</v>
      </c>
      <c r="AR147" s="72">
        <v>50</v>
      </c>
      <c r="AS147" s="72">
        <v>50</v>
      </c>
      <c r="AT147" s="72">
        <v>50</v>
      </c>
      <c r="AU147" s="72">
        <v>50</v>
      </c>
      <c r="AV147" s="72">
        <v>50</v>
      </c>
      <c r="AW147" s="72">
        <v>50</v>
      </c>
      <c r="AX147" s="72">
        <v>50</v>
      </c>
      <c r="AY147" s="72">
        <v>50</v>
      </c>
      <c r="AZ147" s="72">
        <v>50</v>
      </c>
      <c r="BA147" s="72">
        <v>50</v>
      </c>
      <c r="BB147" s="72">
        <v>50</v>
      </c>
      <c r="BC147" s="72">
        <v>50</v>
      </c>
      <c r="BD147" s="72">
        <v>50</v>
      </c>
      <c r="BE147" s="72">
        <v>50</v>
      </c>
      <c r="BF147" s="72">
        <v>50</v>
      </c>
      <c r="BG147" s="72">
        <v>50</v>
      </c>
      <c r="BH147" s="72">
        <v>50</v>
      </c>
      <c r="BI147" s="72">
        <v>50</v>
      </c>
      <c r="BJ147" s="72">
        <v>50</v>
      </c>
      <c r="BK147" s="72">
        <v>50</v>
      </c>
      <c r="BL147" s="72">
        <v>50</v>
      </c>
      <c r="BM147" s="72">
        <v>50</v>
      </c>
      <c r="BN147" s="72">
        <v>50</v>
      </c>
      <c r="BO147" s="72">
        <v>50</v>
      </c>
      <c r="BP147" s="72">
        <v>50</v>
      </c>
      <c r="BQ147" s="72">
        <v>50</v>
      </c>
      <c r="BR147" s="72">
        <v>50</v>
      </c>
      <c r="BS147" s="72">
        <v>50</v>
      </c>
      <c r="BT147" s="72">
        <v>50</v>
      </c>
      <c r="BU147" s="72">
        <v>50</v>
      </c>
      <c r="BV147" s="72">
        <v>50</v>
      </c>
      <c r="BW147" s="72">
        <v>50</v>
      </c>
      <c r="BX147" s="72">
        <v>50</v>
      </c>
      <c r="BY147" s="72">
        <v>50</v>
      </c>
      <c r="BZ147" s="72">
        <v>50</v>
      </c>
      <c r="CA147" s="72">
        <v>50</v>
      </c>
      <c r="CB147" s="72">
        <v>50</v>
      </c>
      <c r="CC147" s="72">
        <v>50</v>
      </c>
      <c r="CD147" s="72">
        <v>50</v>
      </c>
      <c r="CE147" s="72">
        <v>50</v>
      </c>
      <c r="CF147" s="72">
        <v>50</v>
      </c>
      <c r="CG147" s="72">
        <v>50</v>
      </c>
      <c r="CH147" s="72">
        <v>50</v>
      </c>
      <c r="CI147" s="72">
        <v>50</v>
      </c>
      <c r="CJ147" s="72">
        <v>50</v>
      </c>
      <c r="CK147" s="72">
        <v>50</v>
      </c>
      <c r="CL147" s="72">
        <v>50</v>
      </c>
      <c r="CM147" s="72">
        <v>50</v>
      </c>
      <c r="CN147" s="72">
        <v>50</v>
      </c>
      <c r="CO147" s="72">
        <v>50</v>
      </c>
      <c r="CP147" s="72">
        <v>50</v>
      </c>
      <c r="CQ147" s="72">
        <v>50</v>
      </c>
      <c r="CR147" s="72">
        <v>50</v>
      </c>
      <c r="CS147" s="72">
        <v>50</v>
      </c>
      <c r="CT147" s="72">
        <v>50</v>
      </c>
      <c r="CU147" s="72">
        <v>50</v>
      </c>
      <c r="CV147" s="72">
        <v>50</v>
      </c>
      <c r="CW147" s="72">
        <v>50</v>
      </c>
      <c r="CX147" s="72">
        <v>50</v>
      </c>
      <c r="CY147" s="72">
        <v>50</v>
      </c>
      <c r="CZ147" s="72">
        <v>50</v>
      </c>
      <c r="DA147" s="72">
        <v>50</v>
      </c>
      <c r="DB147" s="72">
        <v>50</v>
      </c>
      <c r="DC147" s="72">
        <v>50</v>
      </c>
      <c r="DD147" s="72">
        <v>50</v>
      </c>
      <c r="DE147" s="72">
        <v>50</v>
      </c>
      <c r="DF147" s="72">
        <v>50</v>
      </c>
      <c r="DG147" s="72">
        <v>50</v>
      </c>
      <c r="DH147" s="72">
        <v>50</v>
      </c>
      <c r="DI147" s="72">
        <v>50</v>
      </c>
      <c r="DJ147" s="72">
        <v>50</v>
      </c>
      <c r="DK147" s="72">
        <v>50</v>
      </c>
      <c r="DL147" s="72">
        <v>50</v>
      </c>
    </row>
    <row r="148" spans="1:116" x14ac:dyDescent="0.35">
      <c r="A148" s="7"/>
      <c r="B148" s="8" t="s">
        <v>273</v>
      </c>
      <c r="C148" s="9" t="s">
        <v>274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30</v>
      </c>
      <c r="J148" s="10"/>
      <c r="K148" s="10"/>
      <c r="L148" s="8"/>
      <c r="M148" s="12">
        <v>4.82796</v>
      </c>
      <c r="N148" s="12">
        <f t="shared" si="2"/>
        <v>144.83879999999999</v>
      </c>
      <c r="O148" s="11">
        <v>30</v>
      </c>
      <c r="P148" s="11">
        <v>30</v>
      </c>
      <c r="Q148" s="11">
        <v>30</v>
      </c>
      <c r="R148" s="11">
        <v>30</v>
      </c>
      <c r="S148" s="11">
        <v>30</v>
      </c>
      <c r="T148" s="11">
        <v>30</v>
      </c>
      <c r="U148" s="11">
        <v>30</v>
      </c>
      <c r="V148" s="11">
        <v>30</v>
      </c>
      <c r="W148" s="11">
        <v>30</v>
      </c>
      <c r="X148" s="11">
        <v>30</v>
      </c>
      <c r="Y148" s="11">
        <v>30</v>
      </c>
      <c r="Z148" s="11">
        <v>30</v>
      </c>
      <c r="AA148" s="11">
        <v>30</v>
      </c>
      <c r="AB148" s="11">
        <v>30</v>
      </c>
      <c r="AC148" s="11">
        <v>30</v>
      </c>
      <c r="AD148" s="11">
        <v>30</v>
      </c>
      <c r="AE148" s="11">
        <v>30</v>
      </c>
      <c r="AF148" s="11">
        <v>30</v>
      </c>
      <c r="AG148" s="11">
        <v>30</v>
      </c>
      <c r="AH148" s="11">
        <v>30</v>
      </c>
      <c r="AI148" s="11">
        <v>30</v>
      </c>
      <c r="AJ148" s="11">
        <v>30</v>
      </c>
      <c r="AK148" s="11">
        <v>30</v>
      </c>
      <c r="AL148" s="11">
        <v>30</v>
      </c>
      <c r="AM148" s="11">
        <v>30</v>
      </c>
      <c r="AN148" s="72">
        <v>30</v>
      </c>
      <c r="AO148" s="72">
        <v>30</v>
      </c>
      <c r="AP148" s="72">
        <v>30</v>
      </c>
      <c r="AQ148" s="72">
        <v>30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</row>
    <row r="149" spans="1:116" x14ac:dyDescent="0.35">
      <c r="A149" s="7"/>
      <c r="B149" s="8" t="s">
        <v>275</v>
      </c>
      <c r="C149" s="9" t="s">
        <v>276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20</v>
      </c>
      <c r="J149" s="10"/>
      <c r="K149" s="10"/>
      <c r="L149" s="8"/>
      <c r="M149" s="12">
        <v>7.1093999999999999</v>
      </c>
      <c r="N149" s="12">
        <f t="shared" si="2"/>
        <v>142.18799999999999</v>
      </c>
      <c r="O149" s="11">
        <v>20</v>
      </c>
      <c r="P149" s="11">
        <v>20</v>
      </c>
      <c r="Q149" s="11">
        <v>20</v>
      </c>
      <c r="R149" s="11">
        <v>20</v>
      </c>
      <c r="S149" s="11">
        <v>20</v>
      </c>
      <c r="T149" s="11">
        <v>20</v>
      </c>
      <c r="U149" s="11">
        <v>20</v>
      </c>
      <c r="V149" s="11">
        <v>20</v>
      </c>
      <c r="W149" s="11">
        <v>20</v>
      </c>
      <c r="X149" s="11">
        <v>20</v>
      </c>
      <c r="Y149" s="11">
        <v>20</v>
      </c>
      <c r="Z149" s="11">
        <v>20</v>
      </c>
      <c r="AA149" s="11">
        <v>20</v>
      </c>
      <c r="AB149" s="11">
        <v>20</v>
      </c>
      <c r="AC149" s="11">
        <v>20</v>
      </c>
      <c r="AD149" s="11">
        <v>20</v>
      </c>
      <c r="AE149" s="11">
        <v>20</v>
      </c>
      <c r="AF149" s="11">
        <v>20</v>
      </c>
      <c r="AG149" s="11">
        <v>20</v>
      </c>
      <c r="AH149" s="11">
        <v>20</v>
      </c>
      <c r="AI149" s="11">
        <v>20</v>
      </c>
      <c r="AJ149" s="11">
        <v>20</v>
      </c>
      <c r="AK149" s="11">
        <v>20</v>
      </c>
      <c r="AL149" s="11">
        <v>20</v>
      </c>
      <c r="AM149" s="11">
        <v>20</v>
      </c>
      <c r="AN149" s="72">
        <v>20</v>
      </c>
      <c r="AO149" s="72">
        <v>20</v>
      </c>
      <c r="AP149" s="72">
        <v>20</v>
      </c>
      <c r="AQ149" s="72">
        <v>20</v>
      </c>
      <c r="AR149" s="72">
        <v>20</v>
      </c>
      <c r="AS149" s="72">
        <v>20</v>
      </c>
      <c r="AT149" s="72">
        <v>20</v>
      </c>
      <c r="AU149" s="72">
        <v>20</v>
      </c>
      <c r="AV149" s="72">
        <v>20</v>
      </c>
      <c r="AW149" s="72">
        <v>20</v>
      </c>
      <c r="AX149" s="72">
        <v>20</v>
      </c>
      <c r="AY149" s="72">
        <v>20</v>
      </c>
      <c r="AZ149" s="72">
        <v>20</v>
      </c>
      <c r="BA149" s="72">
        <v>20</v>
      </c>
      <c r="BB149" s="72">
        <v>20</v>
      </c>
      <c r="BC149" s="72">
        <v>20</v>
      </c>
      <c r="BD149" s="72">
        <v>20</v>
      </c>
      <c r="BE149" s="72">
        <v>20</v>
      </c>
      <c r="BF149" s="72">
        <v>20</v>
      </c>
      <c r="BG149" s="72">
        <v>20</v>
      </c>
      <c r="BH149" s="72">
        <v>20</v>
      </c>
      <c r="BI149" s="72">
        <v>20</v>
      </c>
      <c r="BJ149" s="72">
        <v>20</v>
      </c>
      <c r="BK149" s="72">
        <v>20</v>
      </c>
      <c r="BL149" s="72">
        <v>20</v>
      </c>
      <c r="BM149" s="72">
        <v>20</v>
      </c>
      <c r="BN149" s="72">
        <v>20</v>
      </c>
      <c r="BO149" s="72">
        <v>20</v>
      </c>
      <c r="BP149" s="72">
        <v>20</v>
      </c>
      <c r="BQ149" s="72">
        <v>20</v>
      </c>
      <c r="BR149" s="72">
        <v>20</v>
      </c>
      <c r="BS149" s="72">
        <v>20</v>
      </c>
      <c r="BT149" s="72">
        <v>20</v>
      </c>
      <c r="BU149" s="72">
        <v>20</v>
      </c>
      <c r="BV149" s="72">
        <v>20</v>
      </c>
      <c r="BW149" s="72">
        <v>20</v>
      </c>
      <c r="BX149" s="72">
        <v>20</v>
      </c>
      <c r="BY149" s="72">
        <v>20</v>
      </c>
      <c r="BZ149" s="72">
        <v>20</v>
      </c>
      <c r="CA149" s="72">
        <v>20</v>
      </c>
      <c r="CB149" s="72">
        <v>20</v>
      </c>
      <c r="CC149" s="72">
        <v>20</v>
      </c>
      <c r="CD149" s="72">
        <v>20</v>
      </c>
      <c r="CE149" s="72">
        <v>20</v>
      </c>
      <c r="CF149" s="72">
        <v>20</v>
      </c>
      <c r="CG149" s="72">
        <v>20</v>
      </c>
      <c r="CH149" s="72">
        <v>20</v>
      </c>
      <c r="CI149" s="72">
        <v>20</v>
      </c>
      <c r="CJ149" s="72">
        <v>20</v>
      </c>
      <c r="CK149" s="72">
        <v>20</v>
      </c>
      <c r="CL149" s="72">
        <v>20</v>
      </c>
      <c r="CM149" s="72">
        <v>20</v>
      </c>
      <c r="CN149" s="72">
        <v>20</v>
      </c>
      <c r="CO149" s="72">
        <v>20</v>
      </c>
      <c r="CP149" s="72">
        <v>20</v>
      </c>
      <c r="CQ149" s="72">
        <v>20</v>
      </c>
      <c r="CR149" s="72">
        <v>20</v>
      </c>
      <c r="CS149" s="72">
        <v>20</v>
      </c>
      <c r="CT149" s="72">
        <v>20</v>
      </c>
      <c r="CU149" s="72">
        <v>20</v>
      </c>
      <c r="CV149" s="72">
        <v>20</v>
      </c>
      <c r="CW149" s="72">
        <v>20</v>
      </c>
      <c r="CX149" s="72">
        <v>20</v>
      </c>
      <c r="CY149" s="72">
        <v>20</v>
      </c>
      <c r="CZ149" s="72">
        <v>20</v>
      </c>
      <c r="DA149" s="72">
        <v>20</v>
      </c>
      <c r="DB149" s="72">
        <v>20</v>
      </c>
      <c r="DC149" s="72">
        <v>20</v>
      </c>
      <c r="DD149" s="72">
        <v>20</v>
      </c>
      <c r="DE149" s="72">
        <v>20</v>
      </c>
      <c r="DF149" s="72">
        <v>20</v>
      </c>
      <c r="DG149" s="72">
        <v>20</v>
      </c>
      <c r="DH149" s="72">
        <v>20</v>
      </c>
      <c r="DI149" s="72">
        <v>20</v>
      </c>
      <c r="DJ149" s="72">
        <v>20</v>
      </c>
      <c r="DK149" s="72">
        <v>20</v>
      </c>
      <c r="DL149" s="72">
        <v>20</v>
      </c>
    </row>
    <row r="150" spans="1:116" x14ac:dyDescent="0.35">
      <c r="A150" s="7"/>
      <c r="B150" s="8" t="s">
        <v>277</v>
      </c>
      <c r="C150" s="9" t="s">
        <v>278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0</v>
      </c>
      <c r="J150" s="10">
        <v>1</v>
      </c>
      <c r="K150" s="10" t="s">
        <v>42</v>
      </c>
      <c r="L150" s="8" t="s">
        <v>206</v>
      </c>
      <c r="M150" s="12">
        <v>0.53878423999999969</v>
      </c>
      <c r="N150" s="12">
        <f t="shared" si="2"/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  <c r="T150" s="11">
        <v>0</v>
      </c>
      <c r="U150" s="11">
        <v>0</v>
      </c>
      <c r="V150" s="11">
        <v>0</v>
      </c>
      <c r="W150" s="11">
        <v>0</v>
      </c>
      <c r="X150" s="11">
        <v>0</v>
      </c>
      <c r="Y150" s="11">
        <v>0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v>0</v>
      </c>
      <c r="AG150" s="11">
        <v>0</v>
      </c>
      <c r="AH150" s="11">
        <v>0</v>
      </c>
      <c r="AI150" s="11">
        <v>0</v>
      </c>
      <c r="AJ150" s="11">
        <v>0</v>
      </c>
      <c r="AK150" s="11">
        <v>0</v>
      </c>
      <c r="AL150" s="11">
        <v>0</v>
      </c>
      <c r="AM150" s="11">
        <v>0</v>
      </c>
      <c r="AN150" s="72">
        <v>0</v>
      </c>
      <c r="AO150" s="72">
        <v>0</v>
      </c>
      <c r="AP150" s="72">
        <v>0</v>
      </c>
      <c r="AQ150" s="72">
        <v>0</v>
      </c>
      <c r="AR150" s="72">
        <v>0</v>
      </c>
      <c r="AS150" s="72">
        <v>0</v>
      </c>
      <c r="AT150" s="72">
        <v>0</v>
      </c>
      <c r="AU150" s="72">
        <v>0</v>
      </c>
      <c r="AV150" s="72">
        <v>0</v>
      </c>
      <c r="AW150" s="72">
        <v>0</v>
      </c>
      <c r="AX150" s="72">
        <v>0</v>
      </c>
      <c r="AY150" s="72">
        <v>0</v>
      </c>
      <c r="AZ150" s="72">
        <v>0</v>
      </c>
      <c r="BA150" s="72">
        <v>0</v>
      </c>
      <c r="BB150" s="72">
        <v>0</v>
      </c>
      <c r="BC150" s="72">
        <v>0</v>
      </c>
      <c r="BD150" s="72">
        <v>0</v>
      </c>
      <c r="BE150" s="72">
        <v>0</v>
      </c>
      <c r="BF150" s="72">
        <v>0</v>
      </c>
      <c r="BG150" s="72">
        <v>0</v>
      </c>
      <c r="BH150" s="72">
        <v>0</v>
      </c>
      <c r="BI150" s="72">
        <v>0</v>
      </c>
      <c r="BJ150" s="72">
        <v>0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  <c r="DJ150" s="72">
        <v>0</v>
      </c>
      <c r="DK150" s="72">
        <v>0</v>
      </c>
      <c r="DL150" s="72">
        <v>0</v>
      </c>
    </row>
    <row r="151" spans="1:116" x14ac:dyDescent="0.35">
      <c r="A151" s="7"/>
      <c r="B151" s="8" t="s">
        <v>279</v>
      </c>
      <c r="C151" s="9" t="s">
        <v>280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76</v>
      </c>
      <c r="J151" s="10"/>
      <c r="K151" s="10" t="s">
        <v>42</v>
      </c>
      <c r="L151" s="8"/>
      <c r="M151" s="12">
        <v>0.67247999999999997</v>
      </c>
      <c r="N151" s="12">
        <f t="shared" si="2"/>
        <v>0</v>
      </c>
      <c r="O151" s="11">
        <v>76</v>
      </c>
      <c r="P151" s="11">
        <v>76</v>
      </c>
      <c r="Q151" s="11">
        <v>76</v>
      </c>
      <c r="R151" s="11">
        <v>76</v>
      </c>
      <c r="S151" s="11">
        <v>76</v>
      </c>
      <c r="T151" s="11">
        <v>76</v>
      </c>
      <c r="U151" s="11">
        <v>76</v>
      </c>
      <c r="V151" s="11">
        <v>76</v>
      </c>
      <c r="W151" s="11">
        <v>76</v>
      </c>
      <c r="X151" s="11">
        <v>76</v>
      </c>
      <c r="Y151" s="11">
        <v>76</v>
      </c>
      <c r="Z151" s="11">
        <v>76</v>
      </c>
      <c r="AA151" s="11">
        <v>76</v>
      </c>
      <c r="AB151" s="11">
        <v>76</v>
      </c>
      <c r="AC151" s="11">
        <v>76</v>
      </c>
      <c r="AD151" s="11">
        <v>76</v>
      </c>
      <c r="AE151" s="11">
        <v>76</v>
      </c>
      <c r="AF151" s="11">
        <v>76</v>
      </c>
      <c r="AG151" s="11">
        <v>76</v>
      </c>
      <c r="AH151" s="11">
        <v>76</v>
      </c>
      <c r="AI151" s="11">
        <v>76</v>
      </c>
      <c r="AJ151" s="11">
        <v>76</v>
      </c>
      <c r="AK151" s="11">
        <v>76</v>
      </c>
      <c r="AL151" s="11">
        <v>76</v>
      </c>
      <c r="AM151" s="11">
        <v>76</v>
      </c>
      <c r="AN151" s="72">
        <v>76</v>
      </c>
      <c r="AO151" s="72">
        <v>76</v>
      </c>
      <c r="AP151" s="72">
        <v>76</v>
      </c>
      <c r="AQ151" s="72">
        <v>76</v>
      </c>
      <c r="AR151" s="72">
        <v>76</v>
      </c>
      <c r="AS151" s="72">
        <v>76</v>
      </c>
      <c r="AT151" s="72">
        <v>76</v>
      </c>
      <c r="AU151" s="72">
        <v>76</v>
      </c>
      <c r="AV151" s="72">
        <v>76</v>
      </c>
      <c r="AW151" s="72">
        <v>76</v>
      </c>
      <c r="AX151" s="72">
        <v>76</v>
      </c>
      <c r="AY151" s="72">
        <v>76</v>
      </c>
      <c r="AZ151" s="72">
        <v>76</v>
      </c>
      <c r="BA151" s="72">
        <v>76</v>
      </c>
      <c r="BB151" s="72">
        <v>76</v>
      </c>
      <c r="BC151" s="72">
        <v>76</v>
      </c>
      <c r="BD151" s="72">
        <v>76</v>
      </c>
      <c r="BE151" s="72">
        <v>76</v>
      </c>
      <c r="BF151" s="72">
        <v>76</v>
      </c>
      <c r="BG151" s="72">
        <v>76</v>
      </c>
      <c r="BH151" s="72">
        <v>76</v>
      </c>
      <c r="BI151" s="72">
        <v>76</v>
      </c>
      <c r="BJ151" s="72">
        <v>76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0</v>
      </c>
      <c r="DJ151" s="72">
        <v>0</v>
      </c>
      <c r="DK151" s="72">
        <v>0</v>
      </c>
      <c r="DL151" s="72">
        <v>0</v>
      </c>
    </row>
    <row r="152" spans="1:116" x14ac:dyDescent="0.35">
      <c r="A152" s="7"/>
      <c r="B152" s="8" t="s">
        <v>281</v>
      </c>
      <c r="C152" s="9" t="s">
        <v>282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219</v>
      </c>
      <c r="J152" s="10"/>
      <c r="K152" s="10" t="s">
        <v>42</v>
      </c>
      <c r="L152" s="8"/>
      <c r="M152" s="12">
        <v>0.82379999999999998</v>
      </c>
      <c r="N152" s="12">
        <f t="shared" si="2"/>
        <v>0</v>
      </c>
      <c r="O152" s="11">
        <v>221</v>
      </c>
      <c r="P152" s="11">
        <v>221</v>
      </c>
      <c r="Q152" s="11">
        <v>221</v>
      </c>
      <c r="R152" s="11">
        <v>221</v>
      </c>
      <c r="S152" s="11">
        <v>221</v>
      </c>
      <c r="T152" s="11">
        <v>219</v>
      </c>
      <c r="U152" s="11">
        <v>219</v>
      </c>
      <c r="V152" s="11">
        <v>219</v>
      </c>
      <c r="W152" s="11">
        <v>219</v>
      </c>
      <c r="X152" s="11">
        <v>219</v>
      </c>
      <c r="Y152" s="11">
        <v>219</v>
      </c>
      <c r="Z152" s="11">
        <v>219</v>
      </c>
      <c r="AA152" s="11">
        <v>219</v>
      </c>
      <c r="AB152" s="11">
        <v>219</v>
      </c>
      <c r="AC152" s="11">
        <v>219</v>
      </c>
      <c r="AD152" s="11">
        <v>219</v>
      </c>
      <c r="AE152" s="11">
        <v>219</v>
      </c>
      <c r="AF152" s="11">
        <v>219</v>
      </c>
      <c r="AG152" s="11">
        <v>219</v>
      </c>
      <c r="AH152" s="11">
        <v>219</v>
      </c>
      <c r="AI152" s="11">
        <v>219</v>
      </c>
      <c r="AJ152" s="11">
        <v>219</v>
      </c>
      <c r="AK152" s="11">
        <v>219</v>
      </c>
      <c r="AL152" s="11">
        <v>219</v>
      </c>
      <c r="AM152" s="11">
        <v>219</v>
      </c>
      <c r="AN152" s="72">
        <v>219</v>
      </c>
      <c r="AO152" s="72">
        <v>219</v>
      </c>
      <c r="AP152" s="72">
        <v>219</v>
      </c>
      <c r="AQ152" s="72">
        <v>219</v>
      </c>
      <c r="AR152" s="72">
        <v>219</v>
      </c>
      <c r="AS152" s="72">
        <v>219</v>
      </c>
      <c r="AT152" s="72">
        <v>219</v>
      </c>
      <c r="AU152" s="72">
        <v>219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</row>
    <row r="153" spans="1:116" x14ac:dyDescent="0.35">
      <c r="A153" s="7"/>
      <c r="B153" s="8" t="s">
        <v>283</v>
      </c>
      <c r="C153" s="9" t="s">
        <v>284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311</v>
      </c>
      <c r="J153" s="10"/>
      <c r="K153" s="10" t="s">
        <v>42</v>
      </c>
      <c r="L153" s="8"/>
      <c r="M153" s="12">
        <v>1.2661199999999999</v>
      </c>
      <c r="N153" s="12">
        <f t="shared" si="2"/>
        <v>24.056279999999997</v>
      </c>
      <c r="O153" s="11">
        <v>311</v>
      </c>
      <c r="P153" s="11">
        <v>311</v>
      </c>
      <c r="Q153" s="11">
        <v>311</v>
      </c>
      <c r="R153" s="11">
        <v>311</v>
      </c>
      <c r="S153" s="11">
        <v>311</v>
      </c>
      <c r="T153" s="11">
        <v>311</v>
      </c>
      <c r="U153" s="11">
        <v>311</v>
      </c>
      <c r="V153" s="11">
        <v>311</v>
      </c>
      <c r="W153" s="11">
        <v>311</v>
      </c>
      <c r="X153" s="11">
        <v>311</v>
      </c>
      <c r="Y153" s="11">
        <v>311</v>
      </c>
      <c r="Z153" s="11">
        <v>311</v>
      </c>
      <c r="AA153" s="11">
        <v>311</v>
      </c>
      <c r="AB153" s="11">
        <v>311</v>
      </c>
      <c r="AC153" s="11">
        <v>311</v>
      </c>
      <c r="AD153" s="11">
        <v>311</v>
      </c>
      <c r="AE153" s="11">
        <v>311</v>
      </c>
      <c r="AF153" s="11">
        <v>311</v>
      </c>
      <c r="AG153" s="11">
        <v>311</v>
      </c>
      <c r="AH153" s="11">
        <v>311</v>
      </c>
      <c r="AI153" s="11">
        <v>311</v>
      </c>
      <c r="AJ153" s="11">
        <v>311</v>
      </c>
      <c r="AK153" s="11">
        <v>311</v>
      </c>
      <c r="AL153" s="11">
        <v>310</v>
      </c>
      <c r="AM153" s="11">
        <v>310</v>
      </c>
      <c r="AN153" s="72">
        <v>310</v>
      </c>
      <c r="AO153" s="72">
        <v>310</v>
      </c>
      <c r="AP153" s="72">
        <v>310</v>
      </c>
      <c r="AQ153" s="72">
        <v>310</v>
      </c>
      <c r="AR153" s="72">
        <v>310</v>
      </c>
      <c r="AS153" s="72">
        <v>310</v>
      </c>
      <c r="AT153" s="72">
        <v>310</v>
      </c>
      <c r="AU153" s="72">
        <v>310</v>
      </c>
      <c r="AV153" s="72">
        <v>310</v>
      </c>
      <c r="AW153" s="72">
        <v>310</v>
      </c>
      <c r="AX153" s="72">
        <v>310</v>
      </c>
      <c r="AY153" s="72">
        <v>310</v>
      </c>
      <c r="AZ153" s="72">
        <v>310</v>
      </c>
      <c r="BA153" s="72">
        <v>310</v>
      </c>
      <c r="BB153" s="72">
        <v>310</v>
      </c>
      <c r="BC153" s="72">
        <v>310</v>
      </c>
      <c r="BD153" s="72">
        <v>160</v>
      </c>
      <c r="BE153" s="72">
        <v>160</v>
      </c>
      <c r="BF153" s="72">
        <v>160</v>
      </c>
      <c r="BG153" s="72">
        <v>160</v>
      </c>
      <c r="BH153" s="72">
        <v>160</v>
      </c>
      <c r="BI153" s="72">
        <v>160</v>
      </c>
      <c r="BJ153" s="72">
        <v>160</v>
      </c>
      <c r="BK153" s="72">
        <v>160</v>
      </c>
      <c r="BL153" s="72">
        <v>160</v>
      </c>
      <c r="BM153" s="72">
        <v>160</v>
      </c>
      <c r="BN153" s="72">
        <v>160</v>
      </c>
      <c r="BO153" s="72">
        <v>160</v>
      </c>
      <c r="BP153" s="72">
        <v>160</v>
      </c>
      <c r="BQ153" s="72">
        <v>160</v>
      </c>
      <c r="BR153" s="72">
        <v>160</v>
      </c>
      <c r="BS153" s="72">
        <v>160</v>
      </c>
      <c r="BT153" s="72">
        <v>160</v>
      </c>
      <c r="BU153" s="72">
        <v>160</v>
      </c>
      <c r="BV153" s="72">
        <v>154</v>
      </c>
      <c r="BW153" s="72">
        <v>120</v>
      </c>
      <c r="BX153" s="72">
        <v>120</v>
      </c>
      <c r="BY153" s="72">
        <v>120</v>
      </c>
      <c r="BZ153" s="72">
        <v>120</v>
      </c>
      <c r="CA153" s="72">
        <v>120</v>
      </c>
      <c r="CB153" s="72">
        <v>120</v>
      </c>
      <c r="CC153" s="72">
        <v>120</v>
      </c>
      <c r="CD153" s="72">
        <v>120</v>
      </c>
      <c r="CE153" s="72">
        <v>120</v>
      </c>
      <c r="CF153" s="72">
        <v>19</v>
      </c>
      <c r="CG153" s="72">
        <v>19</v>
      </c>
      <c r="CH153" s="72">
        <v>19</v>
      </c>
      <c r="CI153" s="72">
        <v>19</v>
      </c>
      <c r="CJ153" s="72">
        <v>19</v>
      </c>
      <c r="CK153" s="72">
        <v>19</v>
      </c>
      <c r="CL153" s="72">
        <v>19</v>
      </c>
      <c r="CM153" s="72">
        <v>19</v>
      </c>
      <c r="CN153" s="72">
        <v>19</v>
      </c>
      <c r="CO153" s="72">
        <v>19</v>
      </c>
      <c r="CP153" s="72">
        <v>19</v>
      </c>
      <c r="CQ153" s="72">
        <v>19</v>
      </c>
      <c r="CR153" s="72">
        <v>19</v>
      </c>
      <c r="CS153" s="72">
        <v>19</v>
      </c>
      <c r="CT153" s="72">
        <v>19</v>
      </c>
      <c r="CU153" s="72">
        <v>19</v>
      </c>
      <c r="CV153" s="72">
        <v>19</v>
      </c>
      <c r="CW153" s="72">
        <v>19</v>
      </c>
      <c r="CX153" s="72">
        <v>19</v>
      </c>
      <c r="CY153" s="72">
        <v>19</v>
      </c>
      <c r="CZ153" s="72">
        <v>19</v>
      </c>
      <c r="DA153" s="72">
        <v>19</v>
      </c>
      <c r="DB153" s="72">
        <v>19</v>
      </c>
      <c r="DC153" s="72">
        <v>19</v>
      </c>
      <c r="DD153" s="72">
        <v>19</v>
      </c>
      <c r="DE153" s="72">
        <v>19</v>
      </c>
      <c r="DF153" s="72">
        <v>19</v>
      </c>
      <c r="DG153" s="72">
        <v>19</v>
      </c>
      <c r="DH153" s="72">
        <v>19</v>
      </c>
      <c r="DI153" s="72">
        <v>19</v>
      </c>
      <c r="DJ153" s="72">
        <v>19</v>
      </c>
      <c r="DK153" s="72">
        <v>19</v>
      </c>
      <c r="DL153" s="72">
        <v>19</v>
      </c>
    </row>
    <row r="154" spans="1:116" x14ac:dyDescent="0.35">
      <c r="A154" s="7"/>
      <c r="B154" s="8" t="s">
        <v>285</v>
      </c>
      <c r="C154" s="9" t="s">
        <v>286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390</v>
      </c>
      <c r="J154" s="10"/>
      <c r="K154" s="10" t="s">
        <v>42</v>
      </c>
      <c r="L154" s="8"/>
      <c r="M154" s="12">
        <v>1.6967999999999999</v>
      </c>
      <c r="N154" s="12">
        <f t="shared" si="2"/>
        <v>118.776</v>
      </c>
      <c r="O154" s="11">
        <v>395</v>
      </c>
      <c r="P154" s="11">
        <v>390</v>
      </c>
      <c r="Q154" s="11">
        <v>390</v>
      </c>
      <c r="R154" s="11">
        <v>390</v>
      </c>
      <c r="S154" s="11">
        <v>390</v>
      </c>
      <c r="T154" s="11">
        <v>390</v>
      </c>
      <c r="U154" s="11">
        <v>390</v>
      </c>
      <c r="V154" s="11">
        <v>390</v>
      </c>
      <c r="W154" s="11">
        <v>390</v>
      </c>
      <c r="X154" s="11">
        <v>390</v>
      </c>
      <c r="Y154" s="11">
        <v>390</v>
      </c>
      <c r="Z154" s="11">
        <v>390</v>
      </c>
      <c r="AA154" s="11">
        <v>390</v>
      </c>
      <c r="AB154" s="11">
        <v>390</v>
      </c>
      <c r="AC154" s="11">
        <v>390</v>
      </c>
      <c r="AD154" s="11">
        <v>390</v>
      </c>
      <c r="AE154" s="11">
        <v>390</v>
      </c>
      <c r="AF154" s="11">
        <v>390</v>
      </c>
      <c r="AG154" s="11">
        <v>390</v>
      </c>
      <c r="AH154" s="11">
        <v>390</v>
      </c>
      <c r="AI154" s="11">
        <v>390</v>
      </c>
      <c r="AJ154" s="11">
        <v>390</v>
      </c>
      <c r="AK154" s="11">
        <v>390</v>
      </c>
      <c r="AL154" s="11">
        <v>390</v>
      </c>
      <c r="AM154" s="11">
        <v>390</v>
      </c>
      <c r="AN154" s="72">
        <v>390</v>
      </c>
      <c r="AO154" s="72">
        <v>390</v>
      </c>
      <c r="AP154" s="72">
        <v>390</v>
      </c>
      <c r="AQ154" s="72">
        <v>390</v>
      </c>
      <c r="AR154" s="72">
        <v>390</v>
      </c>
      <c r="AS154" s="72">
        <v>390</v>
      </c>
      <c r="AT154" s="72">
        <v>390</v>
      </c>
      <c r="AU154" s="72">
        <v>390</v>
      </c>
      <c r="AV154" s="72">
        <v>390</v>
      </c>
      <c r="AW154" s="72">
        <v>390</v>
      </c>
      <c r="AX154" s="72">
        <v>390</v>
      </c>
      <c r="AY154" s="72">
        <v>390</v>
      </c>
      <c r="AZ154" s="72">
        <v>390</v>
      </c>
      <c r="BA154" s="72">
        <v>390</v>
      </c>
      <c r="BB154" s="72">
        <v>390</v>
      </c>
      <c r="BC154" s="72">
        <v>390</v>
      </c>
      <c r="BD154" s="72">
        <v>390</v>
      </c>
      <c r="BE154" s="72">
        <v>390</v>
      </c>
      <c r="BF154" s="72">
        <v>390</v>
      </c>
      <c r="BG154" s="72">
        <v>390</v>
      </c>
      <c r="BH154" s="72">
        <v>390</v>
      </c>
      <c r="BI154" s="72">
        <v>390</v>
      </c>
      <c r="BJ154" s="72">
        <v>390</v>
      </c>
      <c r="BK154" s="72">
        <v>390</v>
      </c>
      <c r="BL154" s="72">
        <v>390</v>
      </c>
      <c r="BM154" s="72">
        <v>390</v>
      </c>
      <c r="BN154" s="72">
        <v>390</v>
      </c>
      <c r="BO154" s="72">
        <v>390</v>
      </c>
      <c r="BP154" s="72">
        <v>390</v>
      </c>
      <c r="BQ154" s="72">
        <v>390</v>
      </c>
      <c r="BR154" s="72">
        <v>390</v>
      </c>
      <c r="BS154" s="72">
        <v>390</v>
      </c>
      <c r="BT154" s="72">
        <v>390</v>
      </c>
      <c r="BU154" s="72">
        <v>390</v>
      </c>
      <c r="BV154" s="72">
        <v>390</v>
      </c>
      <c r="BW154" s="72">
        <v>390</v>
      </c>
      <c r="BX154" s="72">
        <v>390</v>
      </c>
      <c r="BY154" s="72">
        <v>390</v>
      </c>
      <c r="BZ154" s="72">
        <v>390</v>
      </c>
      <c r="CA154" s="72">
        <v>390</v>
      </c>
      <c r="CB154" s="72">
        <v>390</v>
      </c>
      <c r="CC154" s="72">
        <v>390</v>
      </c>
      <c r="CD154" s="72">
        <v>390</v>
      </c>
      <c r="CE154" s="72">
        <v>390</v>
      </c>
      <c r="CF154" s="72">
        <v>390</v>
      </c>
      <c r="CG154" s="72">
        <v>390</v>
      </c>
      <c r="CH154" s="72">
        <v>390</v>
      </c>
      <c r="CI154" s="72">
        <v>270</v>
      </c>
      <c r="CJ154" s="72">
        <v>70</v>
      </c>
      <c r="CK154" s="72">
        <v>70</v>
      </c>
      <c r="CL154" s="72">
        <v>70</v>
      </c>
      <c r="CM154" s="72">
        <v>70</v>
      </c>
      <c r="CN154" s="72">
        <v>70</v>
      </c>
      <c r="CO154" s="72">
        <v>70</v>
      </c>
      <c r="CP154" s="72">
        <v>70</v>
      </c>
      <c r="CQ154" s="72">
        <v>70</v>
      </c>
      <c r="CR154" s="72">
        <v>70</v>
      </c>
      <c r="CS154" s="72">
        <v>70</v>
      </c>
      <c r="CT154" s="72">
        <v>70</v>
      </c>
      <c r="CU154" s="72">
        <v>70</v>
      </c>
      <c r="CV154" s="72">
        <v>70</v>
      </c>
      <c r="CW154" s="72">
        <v>70</v>
      </c>
      <c r="CX154" s="72">
        <v>70</v>
      </c>
      <c r="CY154" s="72">
        <v>70</v>
      </c>
      <c r="CZ154" s="72">
        <v>70</v>
      </c>
      <c r="DA154" s="72">
        <v>70</v>
      </c>
      <c r="DB154" s="72">
        <v>70</v>
      </c>
      <c r="DC154" s="72">
        <v>70</v>
      </c>
      <c r="DD154" s="72">
        <v>70</v>
      </c>
      <c r="DE154" s="72">
        <v>70</v>
      </c>
      <c r="DF154" s="72">
        <v>70</v>
      </c>
      <c r="DG154" s="72">
        <v>70</v>
      </c>
      <c r="DH154" s="72">
        <v>70</v>
      </c>
      <c r="DI154" s="72">
        <v>70</v>
      </c>
      <c r="DJ154" s="72">
        <v>70</v>
      </c>
      <c r="DK154" s="72">
        <v>70</v>
      </c>
      <c r="DL154" s="72">
        <v>70</v>
      </c>
    </row>
    <row r="155" spans="1:116" x14ac:dyDescent="0.35">
      <c r="A155" s="7"/>
      <c r="B155" s="8" t="s">
        <v>287</v>
      </c>
      <c r="C155" s="9" t="s">
        <v>288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1432</v>
      </c>
      <c r="J155" s="10"/>
      <c r="K155" s="10"/>
      <c r="L155" s="8"/>
      <c r="M155" s="12">
        <v>0.504</v>
      </c>
      <c r="N155" s="12">
        <f t="shared" si="2"/>
        <v>27.216000000000001</v>
      </c>
      <c r="O155" s="11">
        <v>1423</v>
      </c>
      <c r="P155" s="11">
        <v>1423</v>
      </c>
      <c r="Q155" s="11">
        <v>1423</v>
      </c>
      <c r="R155" s="11">
        <v>1423</v>
      </c>
      <c r="S155" s="11">
        <v>1423</v>
      </c>
      <c r="T155" s="11">
        <v>1472</v>
      </c>
      <c r="U155" s="11">
        <v>1452</v>
      </c>
      <c r="V155" s="11">
        <v>1452</v>
      </c>
      <c r="W155" s="11">
        <v>1452</v>
      </c>
      <c r="X155" s="11">
        <v>1452</v>
      </c>
      <c r="Y155" s="11">
        <v>1452</v>
      </c>
      <c r="Z155" s="11">
        <v>1432</v>
      </c>
      <c r="AA155" s="11">
        <v>1432</v>
      </c>
      <c r="AB155" s="11">
        <v>1432</v>
      </c>
      <c r="AC155" s="11">
        <v>1432</v>
      </c>
      <c r="AD155" s="11">
        <v>1432</v>
      </c>
      <c r="AE155" s="11">
        <v>1432</v>
      </c>
      <c r="AF155" s="11">
        <v>1432</v>
      </c>
      <c r="AG155" s="11">
        <v>1432</v>
      </c>
      <c r="AH155" s="11">
        <v>1432</v>
      </c>
      <c r="AI155" s="11">
        <v>1432</v>
      </c>
      <c r="AJ155" s="11">
        <v>1432</v>
      </c>
      <c r="AK155" s="11">
        <v>1432</v>
      </c>
      <c r="AL155" s="11">
        <v>1450</v>
      </c>
      <c r="AM155" s="11">
        <v>1450</v>
      </c>
      <c r="AN155" s="72">
        <v>1450</v>
      </c>
      <c r="AO155" s="72">
        <v>1444</v>
      </c>
      <c r="AP155" s="72">
        <v>1444</v>
      </c>
      <c r="AQ155" s="72">
        <v>1444</v>
      </c>
      <c r="AR155" s="72">
        <v>1444</v>
      </c>
      <c r="AS155" s="72">
        <v>1444</v>
      </c>
      <c r="AT155" s="72">
        <v>1444</v>
      </c>
      <c r="AU155" s="72">
        <v>444</v>
      </c>
      <c r="AV155" s="72">
        <v>444</v>
      </c>
      <c r="AW155" s="72">
        <v>444</v>
      </c>
      <c r="AX155" s="72">
        <v>444</v>
      </c>
      <c r="AY155" s="72">
        <v>444</v>
      </c>
      <c r="AZ155" s="72">
        <v>444</v>
      </c>
      <c r="BA155" s="72">
        <v>444</v>
      </c>
      <c r="BB155" s="72">
        <v>444</v>
      </c>
      <c r="BC155" s="72">
        <v>444</v>
      </c>
      <c r="BD155" s="72">
        <v>444</v>
      </c>
      <c r="BE155" s="72">
        <v>444</v>
      </c>
      <c r="BF155" s="72">
        <v>444</v>
      </c>
      <c r="BG155" s="72">
        <v>444</v>
      </c>
      <c r="BH155" s="72">
        <v>444</v>
      </c>
      <c r="BI155" s="72">
        <v>444</v>
      </c>
      <c r="BJ155" s="72">
        <v>444</v>
      </c>
      <c r="BK155" s="72">
        <v>414</v>
      </c>
      <c r="BL155" s="72">
        <v>414</v>
      </c>
      <c r="BM155" s="72">
        <v>414</v>
      </c>
      <c r="BN155" s="72">
        <v>414</v>
      </c>
      <c r="BO155" s="72">
        <v>414</v>
      </c>
      <c r="BP155" s="72">
        <v>186</v>
      </c>
      <c r="BQ155" s="72">
        <v>186</v>
      </c>
      <c r="BR155" s="72">
        <v>186</v>
      </c>
      <c r="BS155" s="72">
        <v>187</v>
      </c>
      <c r="BT155" s="72">
        <v>187</v>
      </c>
      <c r="BU155" s="72">
        <v>167</v>
      </c>
      <c r="BV155" s="72">
        <v>167</v>
      </c>
      <c r="BW155" s="72">
        <v>167</v>
      </c>
      <c r="BX155" s="72">
        <v>167</v>
      </c>
      <c r="BY155" s="72">
        <v>167</v>
      </c>
      <c r="BZ155" s="72">
        <v>85</v>
      </c>
      <c r="CA155" s="72">
        <v>85</v>
      </c>
      <c r="CB155" s="72">
        <v>85</v>
      </c>
      <c r="CC155" s="72">
        <v>85</v>
      </c>
      <c r="CD155" s="72">
        <v>73</v>
      </c>
      <c r="CE155" s="72">
        <v>73</v>
      </c>
      <c r="CF155" s="72">
        <v>54</v>
      </c>
      <c r="CG155" s="72">
        <v>54</v>
      </c>
      <c r="CH155" s="72">
        <v>54</v>
      </c>
      <c r="CI155" s="72">
        <v>54</v>
      </c>
      <c r="CJ155" s="72">
        <v>54</v>
      </c>
      <c r="CK155" s="72">
        <v>54</v>
      </c>
      <c r="CL155" s="72">
        <v>54</v>
      </c>
      <c r="CM155" s="72">
        <v>54</v>
      </c>
      <c r="CN155" s="72">
        <v>54</v>
      </c>
      <c r="CO155" s="72">
        <v>54</v>
      </c>
      <c r="CP155" s="72">
        <v>54</v>
      </c>
      <c r="CQ155" s="72">
        <v>54</v>
      </c>
      <c r="CR155" s="72">
        <v>54</v>
      </c>
      <c r="CS155" s="72">
        <v>54</v>
      </c>
      <c r="CT155" s="72">
        <v>54</v>
      </c>
      <c r="CU155" s="72">
        <v>54</v>
      </c>
      <c r="CV155" s="72">
        <v>54</v>
      </c>
      <c r="CW155" s="72">
        <v>54</v>
      </c>
      <c r="CX155" s="72">
        <v>54</v>
      </c>
      <c r="CY155" s="72">
        <v>54</v>
      </c>
      <c r="CZ155" s="72">
        <v>54</v>
      </c>
      <c r="DA155" s="72">
        <v>54</v>
      </c>
      <c r="DB155" s="72">
        <v>54</v>
      </c>
      <c r="DC155" s="72">
        <v>54</v>
      </c>
      <c r="DD155" s="72">
        <v>54</v>
      </c>
      <c r="DE155" s="72">
        <v>54</v>
      </c>
      <c r="DF155" s="72">
        <v>54</v>
      </c>
      <c r="DG155" s="72">
        <v>54</v>
      </c>
      <c r="DH155" s="72">
        <v>54</v>
      </c>
      <c r="DI155" s="72">
        <v>54</v>
      </c>
      <c r="DJ155" s="72">
        <v>54</v>
      </c>
      <c r="DK155" s="72">
        <v>54</v>
      </c>
      <c r="DL155" s="72">
        <v>54</v>
      </c>
    </row>
    <row r="156" spans="1:116" x14ac:dyDescent="0.35">
      <c r="A156" s="7"/>
      <c r="B156" s="8" t="s">
        <v>289</v>
      </c>
      <c r="C156" s="9" t="s">
        <v>290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1308</v>
      </c>
      <c r="J156" s="10"/>
      <c r="K156" s="10"/>
      <c r="L156" s="8"/>
      <c r="M156" s="12">
        <v>0.53878423999999969</v>
      </c>
      <c r="N156" s="12">
        <f t="shared" si="2"/>
        <v>626.60607111999968</v>
      </c>
      <c r="O156" s="11">
        <v>1498</v>
      </c>
      <c r="P156" s="11">
        <v>1498</v>
      </c>
      <c r="Q156" s="11">
        <v>1498</v>
      </c>
      <c r="R156" s="11">
        <v>1498</v>
      </c>
      <c r="S156" s="11">
        <v>1488</v>
      </c>
      <c r="T156" s="11">
        <v>1488</v>
      </c>
      <c r="U156" s="11">
        <v>1458</v>
      </c>
      <c r="V156" s="11">
        <v>1458</v>
      </c>
      <c r="W156" s="11">
        <v>1458</v>
      </c>
      <c r="X156" s="11">
        <v>1458</v>
      </c>
      <c r="Y156" s="11">
        <v>1458</v>
      </c>
      <c r="Z156" s="11">
        <v>1458</v>
      </c>
      <c r="AA156" s="11">
        <v>1458</v>
      </c>
      <c r="AB156" s="11">
        <v>1458</v>
      </c>
      <c r="AC156" s="11">
        <v>1458</v>
      </c>
      <c r="AD156" s="11">
        <v>1458</v>
      </c>
      <c r="AE156" s="11">
        <v>1458</v>
      </c>
      <c r="AF156" s="11">
        <v>1458</v>
      </c>
      <c r="AG156" s="11">
        <v>1458</v>
      </c>
      <c r="AH156" s="11">
        <v>1308</v>
      </c>
      <c r="AI156" s="11">
        <v>1308</v>
      </c>
      <c r="AJ156" s="11">
        <v>1308</v>
      </c>
      <c r="AK156" s="11">
        <v>1308</v>
      </c>
      <c r="AL156" s="11">
        <v>1308</v>
      </c>
      <c r="AM156" s="11">
        <v>1308</v>
      </c>
      <c r="AN156" s="72">
        <v>1308</v>
      </c>
      <c r="AO156" s="72">
        <v>1308</v>
      </c>
      <c r="AP156" s="72">
        <v>1308</v>
      </c>
      <c r="AQ156" s="72">
        <v>1308</v>
      </c>
      <c r="AR156" s="72">
        <v>1308</v>
      </c>
      <c r="AS156" s="72">
        <v>1308</v>
      </c>
      <c r="AT156" s="72">
        <v>1308</v>
      </c>
      <c r="AU156" s="72">
        <v>1308</v>
      </c>
      <c r="AV156" s="72">
        <v>1308</v>
      </c>
      <c r="AW156" s="72">
        <v>1308</v>
      </c>
      <c r="AX156" s="72">
        <v>1308</v>
      </c>
      <c r="AY156" s="72">
        <v>1308</v>
      </c>
      <c r="AZ156" s="72">
        <v>1308</v>
      </c>
      <c r="BA156" s="72">
        <v>1308</v>
      </c>
      <c r="BB156" s="72">
        <v>1308</v>
      </c>
      <c r="BC156" s="72">
        <v>1308</v>
      </c>
      <c r="BD156" s="72">
        <v>1308</v>
      </c>
      <c r="BE156" s="72">
        <v>1308</v>
      </c>
      <c r="BF156" s="72">
        <v>1308</v>
      </c>
      <c r="BG156" s="72">
        <v>1308</v>
      </c>
      <c r="BH156" s="72">
        <v>1308</v>
      </c>
      <c r="BI156" s="72">
        <v>1308</v>
      </c>
      <c r="BJ156" s="72">
        <v>1308</v>
      </c>
      <c r="BK156" s="72">
        <v>1288</v>
      </c>
      <c r="BL156" s="72">
        <v>1288</v>
      </c>
      <c r="BM156" s="72">
        <v>1288</v>
      </c>
      <c r="BN156" s="72">
        <v>1372</v>
      </c>
      <c r="BO156" s="72">
        <v>1372</v>
      </c>
      <c r="BP156" s="72">
        <v>1372</v>
      </c>
      <c r="BQ156" s="72">
        <v>1372</v>
      </c>
      <c r="BR156" s="72">
        <v>1372</v>
      </c>
      <c r="BS156" s="72">
        <v>1372</v>
      </c>
      <c r="BT156" s="72">
        <v>1372</v>
      </c>
      <c r="BU156" s="72">
        <v>1372</v>
      </c>
      <c r="BV156" s="72">
        <v>1372</v>
      </c>
      <c r="BW156" s="72">
        <v>1372</v>
      </c>
      <c r="BX156" s="72">
        <v>1272</v>
      </c>
      <c r="BY156" s="72">
        <v>1272</v>
      </c>
      <c r="BZ156" s="72">
        <v>1172</v>
      </c>
      <c r="CA156" s="72">
        <v>1172</v>
      </c>
      <c r="CB156" s="72">
        <v>1172</v>
      </c>
      <c r="CC156" s="72">
        <v>1172</v>
      </c>
      <c r="CD156" s="72">
        <v>1172</v>
      </c>
      <c r="CE156" s="72">
        <v>1172</v>
      </c>
      <c r="CF156" s="72">
        <v>1173</v>
      </c>
      <c r="CG156" s="72">
        <v>1173</v>
      </c>
      <c r="CH156" s="72">
        <v>1173</v>
      </c>
      <c r="CI156" s="72">
        <v>1173</v>
      </c>
      <c r="CJ156" s="72">
        <v>1173</v>
      </c>
      <c r="CK156" s="72">
        <v>1173</v>
      </c>
      <c r="CL156" s="72">
        <v>1173</v>
      </c>
      <c r="CM156" s="72">
        <v>1173</v>
      </c>
      <c r="CN156" s="72">
        <v>1173</v>
      </c>
      <c r="CO156" s="72">
        <v>1173</v>
      </c>
      <c r="CP156" s="72">
        <v>1173</v>
      </c>
      <c r="CQ156" s="72">
        <v>1173</v>
      </c>
      <c r="CR156" s="72">
        <v>1173</v>
      </c>
      <c r="CS156" s="72">
        <v>1173</v>
      </c>
      <c r="CT156" s="72">
        <v>1173</v>
      </c>
      <c r="CU156" s="72">
        <v>1173</v>
      </c>
      <c r="CV156" s="72">
        <v>1173</v>
      </c>
      <c r="CW156" s="72">
        <v>1173</v>
      </c>
      <c r="CX156" s="72">
        <v>1173</v>
      </c>
      <c r="CY156" s="72">
        <v>1173</v>
      </c>
      <c r="CZ156" s="72">
        <v>1173</v>
      </c>
      <c r="DA156" s="72">
        <v>1173</v>
      </c>
      <c r="DB156" s="72">
        <v>1173</v>
      </c>
      <c r="DC156" s="72">
        <v>1173</v>
      </c>
      <c r="DD156" s="72">
        <v>1173</v>
      </c>
      <c r="DE156" s="72">
        <v>1173</v>
      </c>
      <c r="DF156" s="72">
        <v>1173</v>
      </c>
      <c r="DG156" s="72">
        <v>1173</v>
      </c>
      <c r="DH156" s="72">
        <v>1173</v>
      </c>
      <c r="DI156" s="72">
        <v>1173</v>
      </c>
      <c r="DJ156" s="72">
        <v>1173</v>
      </c>
      <c r="DK156" s="72">
        <v>1173</v>
      </c>
      <c r="DL156" s="72">
        <v>1163</v>
      </c>
    </row>
    <row r="157" spans="1:116" x14ac:dyDescent="0.35">
      <c r="A157" s="7"/>
      <c r="B157" s="8" t="s">
        <v>291</v>
      </c>
      <c r="C157" s="9" t="s">
        <v>292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963</v>
      </c>
      <c r="J157" s="10">
        <v>1</v>
      </c>
      <c r="K157" s="10"/>
      <c r="L157" s="8" t="s">
        <v>206</v>
      </c>
      <c r="M157" s="12">
        <v>0.67247999999999997</v>
      </c>
      <c r="N157" s="12">
        <f t="shared" si="2"/>
        <v>445.18176</v>
      </c>
      <c r="O157" s="11">
        <v>1000</v>
      </c>
      <c r="P157" s="11">
        <v>1000</v>
      </c>
      <c r="Q157" s="11">
        <v>1000</v>
      </c>
      <c r="R157" s="11">
        <v>999</v>
      </c>
      <c r="S157" s="11">
        <v>979</v>
      </c>
      <c r="T157" s="11">
        <v>999</v>
      </c>
      <c r="U157" s="11">
        <v>969</v>
      </c>
      <c r="V157" s="11">
        <v>969</v>
      </c>
      <c r="W157" s="11">
        <v>969</v>
      </c>
      <c r="X157" s="11">
        <v>969</v>
      </c>
      <c r="Y157" s="11">
        <v>969</v>
      </c>
      <c r="Z157" s="11">
        <v>969</v>
      </c>
      <c r="AA157" s="11">
        <v>969</v>
      </c>
      <c r="AB157" s="11">
        <v>969</v>
      </c>
      <c r="AC157" s="11">
        <v>969</v>
      </c>
      <c r="AD157" s="11">
        <v>969</v>
      </c>
      <c r="AE157" s="11">
        <v>969</v>
      </c>
      <c r="AF157" s="11">
        <v>963</v>
      </c>
      <c r="AG157" s="11">
        <v>963</v>
      </c>
      <c r="AH157" s="11">
        <v>963</v>
      </c>
      <c r="AI157" s="11">
        <v>963</v>
      </c>
      <c r="AJ157" s="11">
        <v>963</v>
      </c>
      <c r="AK157" s="11">
        <v>963</v>
      </c>
      <c r="AL157" s="11">
        <v>962</v>
      </c>
      <c r="AM157" s="11">
        <v>962</v>
      </c>
      <c r="AN157" s="72">
        <v>962</v>
      </c>
      <c r="AO157" s="72">
        <v>962</v>
      </c>
      <c r="AP157" s="72">
        <v>962</v>
      </c>
      <c r="AQ157" s="72">
        <v>962</v>
      </c>
      <c r="AR157" s="72">
        <v>957</v>
      </c>
      <c r="AS157" s="72">
        <v>957</v>
      </c>
      <c r="AT157" s="72">
        <v>957</v>
      </c>
      <c r="AU157" s="72">
        <v>957</v>
      </c>
      <c r="AV157" s="72">
        <v>957</v>
      </c>
      <c r="AW157" s="72">
        <v>907</v>
      </c>
      <c r="AX157" s="72">
        <v>907</v>
      </c>
      <c r="AY157" s="72">
        <v>907</v>
      </c>
      <c r="AZ157" s="72">
        <v>907</v>
      </c>
      <c r="BA157" s="72">
        <v>907</v>
      </c>
      <c r="BB157" s="72">
        <v>907</v>
      </c>
      <c r="BC157" s="72">
        <v>907</v>
      </c>
      <c r="BD157" s="72">
        <v>907</v>
      </c>
      <c r="BE157" s="72">
        <v>907</v>
      </c>
      <c r="BF157" s="72">
        <v>907</v>
      </c>
      <c r="BG157" s="72">
        <v>907</v>
      </c>
      <c r="BH157" s="72">
        <v>820</v>
      </c>
      <c r="BI157" s="72">
        <v>820</v>
      </c>
      <c r="BJ157" s="72">
        <v>820</v>
      </c>
      <c r="BK157" s="72">
        <v>800</v>
      </c>
      <c r="BL157" s="72">
        <v>800</v>
      </c>
      <c r="BM157" s="72">
        <v>800</v>
      </c>
      <c r="BN157" s="72">
        <v>563</v>
      </c>
      <c r="BO157" s="72">
        <v>563</v>
      </c>
      <c r="BP157" s="72">
        <v>650</v>
      </c>
      <c r="BQ157" s="72">
        <v>650</v>
      </c>
      <c r="BR157" s="72">
        <v>650</v>
      </c>
      <c r="BS157" s="72">
        <v>650</v>
      </c>
      <c r="BT157" s="72">
        <v>650</v>
      </c>
      <c r="BU157" s="72">
        <v>642</v>
      </c>
      <c r="BV157" s="72">
        <v>642</v>
      </c>
      <c r="BW157" s="72">
        <v>634</v>
      </c>
      <c r="BX157" s="72">
        <v>584</v>
      </c>
      <c r="BY157" s="72">
        <v>584</v>
      </c>
      <c r="BZ157" s="72">
        <v>568</v>
      </c>
      <c r="CA157" s="72">
        <v>568</v>
      </c>
      <c r="CB157" s="72">
        <v>568</v>
      </c>
      <c r="CC157" s="72">
        <v>568</v>
      </c>
      <c r="CD157" s="72">
        <v>568</v>
      </c>
      <c r="CE157" s="72">
        <v>568</v>
      </c>
      <c r="CF157" s="72">
        <v>862</v>
      </c>
      <c r="CG157" s="72">
        <v>862</v>
      </c>
      <c r="CH157" s="72">
        <v>862</v>
      </c>
      <c r="CI157" s="72">
        <v>862</v>
      </c>
      <c r="CJ157" s="72">
        <v>862</v>
      </c>
      <c r="CK157" s="72">
        <v>662</v>
      </c>
      <c r="CL157" s="72">
        <v>662</v>
      </c>
      <c r="CM157" s="72">
        <v>662</v>
      </c>
      <c r="CN157" s="72">
        <v>662</v>
      </c>
      <c r="CO157" s="72">
        <v>662</v>
      </c>
      <c r="CP157" s="72">
        <v>662</v>
      </c>
      <c r="CQ157" s="72">
        <v>662</v>
      </c>
      <c r="CR157" s="72">
        <v>662</v>
      </c>
      <c r="CS157" s="72">
        <v>662</v>
      </c>
      <c r="CT157" s="72">
        <v>662</v>
      </c>
      <c r="CU157" s="72">
        <v>662</v>
      </c>
      <c r="CV157" s="72">
        <v>662</v>
      </c>
      <c r="CW157" s="72">
        <v>662</v>
      </c>
      <c r="CX157" s="72">
        <v>662</v>
      </c>
      <c r="CY157" s="72">
        <v>662</v>
      </c>
      <c r="CZ157" s="72">
        <v>662</v>
      </c>
      <c r="DA157" s="72">
        <v>662</v>
      </c>
      <c r="DB157" s="72">
        <v>662</v>
      </c>
      <c r="DC157" s="72">
        <v>662</v>
      </c>
      <c r="DD157" s="72">
        <v>662</v>
      </c>
      <c r="DE157" s="72">
        <v>662</v>
      </c>
      <c r="DF157" s="72">
        <v>662</v>
      </c>
      <c r="DG157" s="72">
        <v>662</v>
      </c>
      <c r="DH157" s="72">
        <v>662</v>
      </c>
      <c r="DI157" s="72">
        <v>662</v>
      </c>
      <c r="DJ157" s="72">
        <v>662</v>
      </c>
      <c r="DK157" s="72">
        <v>662</v>
      </c>
      <c r="DL157" s="72">
        <v>662</v>
      </c>
    </row>
    <row r="158" spans="1:116" x14ac:dyDescent="0.35">
      <c r="A158" s="7"/>
      <c r="B158" s="8" t="s">
        <v>293</v>
      </c>
      <c r="C158" s="9" t="s">
        <v>294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481</v>
      </c>
      <c r="J158" s="10"/>
      <c r="K158" s="10"/>
      <c r="L158" s="8"/>
      <c r="M158" s="12">
        <v>0.82379999999999998</v>
      </c>
      <c r="N158" s="12">
        <f t="shared" si="2"/>
        <v>0</v>
      </c>
      <c r="O158" s="11">
        <v>479</v>
      </c>
      <c r="P158" s="11">
        <v>479</v>
      </c>
      <c r="Q158" s="11">
        <v>479</v>
      </c>
      <c r="R158" s="11">
        <v>479</v>
      </c>
      <c r="S158" s="11">
        <v>454</v>
      </c>
      <c r="T158" s="11">
        <v>481</v>
      </c>
      <c r="U158" s="11">
        <v>481</v>
      </c>
      <c r="V158" s="11">
        <v>481</v>
      </c>
      <c r="W158" s="11">
        <v>481</v>
      </c>
      <c r="X158" s="11">
        <v>481</v>
      </c>
      <c r="Y158" s="11">
        <v>481</v>
      </c>
      <c r="Z158" s="11">
        <v>481</v>
      </c>
      <c r="AA158" s="11">
        <v>481</v>
      </c>
      <c r="AB158" s="11">
        <v>481</v>
      </c>
      <c r="AC158" s="11">
        <v>481</v>
      </c>
      <c r="AD158" s="11">
        <v>481</v>
      </c>
      <c r="AE158" s="11">
        <v>481</v>
      </c>
      <c r="AF158" s="11">
        <v>481</v>
      </c>
      <c r="AG158" s="11">
        <v>481</v>
      </c>
      <c r="AH158" s="11">
        <v>481</v>
      </c>
      <c r="AI158" s="11">
        <v>481</v>
      </c>
      <c r="AJ158" s="11">
        <v>481</v>
      </c>
      <c r="AK158" s="11">
        <v>481</v>
      </c>
      <c r="AL158" s="11">
        <v>461</v>
      </c>
      <c r="AM158" s="11">
        <v>461</v>
      </c>
      <c r="AN158" s="72">
        <v>461</v>
      </c>
      <c r="AO158" s="72">
        <v>461</v>
      </c>
      <c r="AP158" s="72">
        <v>461</v>
      </c>
      <c r="AQ158" s="72">
        <v>461</v>
      </c>
      <c r="AR158" s="72">
        <v>451</v>
      </c>
      <c r="AS158" s="72">
        <v>113</v>
      </c>
      <c r="AT158" s="72">
        <v>113</v>
      </c>
      <c r="AU158" s="72">
        <v>113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  <c r="DL158" s="72">
        <v>0</v>
      </c>
    </row>
    <row r="159" spans="1:116" x14ac:dyDescent="0.35">
      <c r="A159" s="7"/>
      <c r="B159" s="8" t="s">
        <v>295</v>
      </c>
      <c r="C159" s="9" t="s">
        <v>296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186</v>
      </c>
      <c r="J159" s="10"/>
      <c r="K159" s="10"/>
      <c r="L159" s="8"/>
      <c r="M159" s="12">
        <v>1.2661199999999999</v>
      </c>
      <c r="N159" s="12">
        <f t="shared" si="2"/>
        <v>6.3305999999999996</v>
      </c>
      <c r="O159" s="11">
        <v>185</v>
      </c>
      <c r="P159" s="11">
        <v>185</v>
      </c>
      <c r="Q159" s="11">
        <v>185</v>
      </c>
      <c r="R159" s="11">
        <v>185</v>
      </c>
      <c r="S159" s="11">
        <v>175</v>
      </c>
      <c r="T159" s="11">
        <v>194</v>
      </c>
      <c r="U159" s="11">
        <v>186</v>
      </c>
      <c r="V159" s="11">
        <v>186</v>
      </c>
      <c r="W159" s="11">
        <v>186</v>
      </c>
      <c r="X159" s="11">
        <v>186</v>
      </c>
      <c r="Y159" s="11">
        <v>186</v>
      </c>
      <c r="Z159" s="11">
        <v>186</v>
      </c>
      <c r="AA159" s="11">
        <v>186</v>
      </c>
      <c r="AB159" s="11">
        <v>186</v>
      </c>
      <c r="AC159" s="11">
        <v>186</v>
      </c>
      <c r="AD159" s="11">
        <v>186</v>
      </c>
      <c r="AE159" s="11">
        <v>186</v>
      </c>
      <c r="AF159" s="11">
        <v>186</v>
      </c>
      <c r="AG159" s="11">
        <v>186</v>
      </c>
      <c r="AH159" s="11">
        <v>186</v>
      </c>
      <c r="AI159" s="11">
        <v>186</v>
      </c>
      <c r="AJ159" s="11">
        <v>186</v>
      </c>
      <c r="AK159" s="11">
        <v>186</v>
      </c>
      <c r="AL159" s="11">
        <v>193</v>
      </c>
      <c r="AM159" s="11">
        <v>193</v>
      </c>
      <c r="AN159" s="72">
        <v>193</v>
      </c>
      <c r="AO159" s="72">
        <v>193</v>
      </c>
      <c r="AP159" s="72">
        <v>193</v>
      </c>
      <c r="AQ159" s="72">
        <v>193</v>
      </c>
      <c r="AR159" s="72">
        <v>183</v>
      </c>
      <c r="AS159" s="72">
        <v>183</v>
      </c>
      <c r="AT159" s="72">
        <v>183</v>
      </c>
      <c r="AU159" s="72">
        <v>183</v>
      </c>
      <c r="AV159" s="72">
        <v>183</v>
      </c>
      <c r="AW159" s="72">
        <v>183</v>
      </c>
      <c r="AX159" s="72">
        <v>183</v>
      </c>
      <c r="AY159" s="72">
        <v>183</v>
      </c>
      <c r="AZ159" s="72">
        <v>183</v>
      </c>
      <c r="BA159" s="72">
        <v>183</v>
      </c>
      <c r="BB159" s="72">
        <v>183</v>
      </c>
      <c r="BC159" s="72">
        <v>183</v>
      </c>
      <c r="BD159" s="72">
        <v>53</v>
      </c>
      <c r="BE159" s="72">
        <v>53</v>
      </c>
      <c r="BF159" s="72">
        <v>53</v>
      </c>
      <c r="BG159" s="72">
        <v>53</v>
      </c>
      <c r="BH159" s="72">
        <v>53</v>
      </c>
      <c r="BI159" s="72">
        <v>53</v>
      </c>
      <c r="BJ159" s="72">
        <v>53</v>
      </c>
      <c r="BK159" s="72">
        <v>53</v>
      </c>
      <c r="BL159" s="72">
        <v>53</v>
      </c>
      <c r="BM159" s="72">
        <v>53</v>
      </c>
      <c r="BN159" s="72">
        <v>53</v>
      </c>
      <c r="BO159" s="72">
        <v>53</v>
      </c>
      <c r="BP159" s="72">
        <v>53</v>
      </c>
      <c r="BQ159" s="72">
        <v>53</v>
      </c>
      <c r="BR159" s="72">
        <v>52</v>
      </c>
      <c r="BS159" s="72">
        <v>12</v>
      </c>
      <c r="BT159" s="72">
        <v>12</v>
      </c>
      <c r="BU159" s="72">
        <v>12</v>
      </c>
      <c r="BV159" s="72">
        <v>12</v>
      </c>
      <c r="BW159" s="72">
        <v>12</v>
      </c>
      <c r="BX159" s="72">
        <v>12</v>
      </c>
      <c r="BY159" s="72">
        <v>12</v>
      </c>
      <c r="BZ159" s="72">
        <v>12</v>
      </c>
      <c r="CA159" s="72">
        <v>12</v>
      </c>
      <c r="CB159" s="72">
        <v>12</v>
      </c>
      <c r="CC159" s="72">
        <v>12</v>
      </c>
      <c r="CD159" s="72">
        <v>12</v>
      </c>
      <c r="CE159" s="72">
        <v>12</v>
      </c>
      <c r="CF159" s="72">
        <v>6</v>
      </c>
      <c r="CG159" s="72">
        <v>6</v>
      </c>
      <c r="CH159" s="72">
        <v>6</v>
      </c>
      <c r="CI159" s="72">
        <v>6</v>
      </c>
      <c r="CJ159" s="72">
        <v>6</v>
      </c>
      <c r="CK159" s="72">
        <v>6</v>
      </c>
      <c r="CL159" s="72">
        <v>6</v>
      </c>
      <c r="CM159" s="72">
        <v>6</v>
      </c>
      <c r="CN159" s="72">
        <v>6</v>
      </c>
      <c r="CO159" s="72">
        <v>6</v>
      </c>
      <c r="CP159" s="72">
        <v>6</v>
      </c>
      <c r="CQ159" s="72">
        <v>6</v>
      </c>
      <c r="CR159" s="72">
        <v>6</v>
      </c>
      <c r="CS159" s="72">
        <v>6</v>
      </c>
      <c r="CT159" s="72">
        <v>6</v>
      </c>
      <c r="CU159" s="72">
        <v>6</v>
      </c>
      <c r="CV159" s="72">
        <v>6</v>
      </c>
      <c r="CW159" s="72">
        <v>6</v>
      </c>
      <c r="CX159" s="72">
        <v>6</v>
      </c>
      <c r="CY159" s="72">
        <v>6</v>
      </c>
      <c r="CZ159" s="72">
        <v>6</v>
      </c>
      <c r="DA159" s="72">
        <v>6</v>
      </c>
      <c r="DB159" s="72">
        <v>6</v>
      </c>
      <c r="DC159" s="72">
        <v>6</v>
      </c>
      <c r="DD159" s="72">
        <v>6</v>
      </c>
      <c r="DE159" s="72">
        <v>6</v>
      </c>
      <c r="DF159" s="72">
        <v>6</v>
      </c>
      <c r="DG159" s="72">
        <v>6</v>
      </c>
      <c r="DH159" s="72">
        <v>5</v>
      </c>
      <c r="DI159" s="72">
        <v>5</v>
      </c>
      <c r="DJ159" s="72">
        <v>5</v>
      </c>
      <c r="DK159" s="72">
        <v>5</v>
      </c>
      <c r="DL159" s="72">
        <v>5</v>
      </c>
    </row>
    <row r="160" spans="1:116" x14ac:dyDescent="0.35">
      <c r="A160" s="7"/>
      <c r="B160" s="8" t="s">
        <v>297</v>
      </c>
      <c r="C160" s="9" t="s">
        <v>298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199</v>
      </c>
      <c r="J160" s="10"/>
      <c r="K160" s="10"/>
      <c r="L160" s="8"/>
      <c r="M160" s="12">
        <v>1.6967999999999999</v>
      </c>
      <c r="N160" s="12">
        <f t="shared" si="2"/>
        <v>174.7704</v>
      </c>
      <c r="O160" s="11">
        <v>195</v>
      </c>
      <c r="P160" s="11">
        <v>195</v>
      </c>
      <c r="Q160" s="11">
        <v>195</v>
      </c>
      <c r="R160" s="11">
        <v>195</v>
      </c>
      <c r="S160" s="11">
        <v>195</v>
      </c>
      <c r="T160" s="11">
        <v>199</v>
      </c>
      <c r="U160" s="11">
        <v>199</v>
      </c>
      <c r="V160" s="11">
        <v>199</v>
      </c>
      <c r="W160" s="11">
        <v>199</v>
      </c>
      <c r="X160" s="11">
        <v>199</v>
      </c>
      <c r="Y160" s="11">
        <v>199</v>
      </c>
      <c r="Z160" s="11">
        <v>199</v>
      </c>
      <c r="AA160" s="11">
        <v>199</v>
      </c>
      <c r="AB160" s="11">
        <v>199</v>
      </c>
      <c r="AC160" s="11">
        <v>199</v>
      </c>
      <c r="AD160" s="11">
        <v>199</v>
      </c>
      <c r="AE160" s="11">
        <v>199</v>
      </c>
      <c r="AF160" s="11">
        <v>199</v>
      </c>
      <c r="AG160" s="11">
        <v>199</v>
      </c>
      <c r="AH160" s="11">
        <v>199</v>
      </c>
      <c r="AI160" s="11">
        <v>199</v>
      </c>
      <c r="AJ160" s="11">
        <v>199</v>
      </c>
      <c r="AK160" s="11">
        <v>199</v>
      </c>
      <c r="AL160" s="11">
        <v>199</v>
      </c>
      <c r="AM160" s="11">
        <v>199</v>
      </c>
      <c r="AN160" s="72">
        <v>199</v>
      </c>
      <c r="AO160" s="72">
        <v>199</v>
      </c>
      <c r="AP160" s="72">
        <v>199</v>
      </c>
      <c r="AQ160" s="72">
        <v>199</v>
      </c>
      <c r="AR160" s="72">
        <v>199</v>
      </c>
      <c r="AS160" s="72">
        <v>199</v>
      </c>
      <c r="AT160" s="72">
        <v>199</v>
      </c>
      <c r="AU160" s="72">
        <v>199</v>
      </c>
      <c r="AV160" s="72">
        <v>199</v>
      </c>
      <c r="AW160" s="72">
        <v>199</v>
      </c>
      <c r="AX160" s="72">
        <v>199</v>
      </c>
      <c r="AY160" s="72">
        <v>199</v>
      </c>
      <c r="AZ160" s="72">
        <v>199</v>
      </c>
      <c r="BA160" s="72">
        <v>199</v>
      </c>
      <c r="BB160" s="72">
        <v>199</v>
      </c>
      <c r="BC160" s="72">
        <v>199</v>
      </c>
      <c r="BD160" s="72">
        <v>199</v>
      </c>
      <c r="BE160" s="72">
        <v>199</v>
      </c>
      <c r="BF160" s="72">
        <v>199</v>
      </c>
      <c r="BG160" s="72">
        <v>199</v>
      </c>
      <c r="BH160" s="72">
        <v>199</v>
      </c>
      <c r="BI160" s="72">
        <v>199</v>
      </c>
      <c r="BJ160" s="72">
        <v>199</v>
      </c>
      <c r="BK160" s="72">
        <v>199</v>
      </c>
      <c r="BL160" s="72">
        <v>199</v>
      </c>
      <c r="BM160" s="72">
        <v>199</v>
      </c>
      <c r="BN160" s="72">
        <v>199</v>
      </c>
      <c r="BO160" s="72">
        <v>199</v>
      </c>
      <c r="BP160" s="72">
        <v>199</v>
      </c>
      <c r="BQ160" s="72">
        <v>199</v>
      </c>
      <c r="BR160" s="72">
        <v>199</v>
      </c>
      <c r="BS160" s="72">
        <v>199</v>
      </c>
      <c r="BT160" s="72">
        <v>199</v>
      </c>
      <c r="BU160" s="72">
        <v>199</v>
      </c>
      <c r="BV160" s="72">
        <v>199</v>
      </c>
      <c r="BW160" s="72">
        <v>199</v>
      </c>
      <c r="BX160" s="72">
        <v>199</v>
      </c>
      <c r="BY160" s="72">
        <v>199</v>
      </c>
      <c r="BZ160" s="72">
        <v>199</v>
      </c>
      <c r="CA160" s="72">
        <v>199</v>
      </c>
      <c r="CB160" s="72">
        <v>199</v>
      </c>
      <c r="CC160" s="72">
        <v>199</v>
      </c>
      <c r="CD160" s="72">
        <v>199</v>
      </c>
      <c r="CE160" s="72">
        <v>199</v>
      </c>
      <c r="CF160" s="72">
        <v>199</v>
      </c>
      <c r="CG160" s="72">
        <v>199</v>
      </c>
      <c r="CH160" s="72">
        <v>199</v>
      </c>
      <c r="CI160" s="72">
        <v>199</v>
      </c>
      <c r="CJ160" s="72">
        <v>109</v>
      </c>
      <c r="CK160" s="72">
        <v>109</v>
      </c>
      <c r="CL160" s="72">
        <v>109</v>
      </c>
      <c r="CM160" s="72">
        <v>109</v>
      </c>
      <c r="CN160" s="72">
        <v>109</v>
      </c>
      <c r="CO160" s="72">
        <v>109</v>
      </c>
      <c r="CP160" s="72">
        <v>109</v>
      </c>
      <c r="CQ160" s="72">
        <v>109</v>
      </c>
      <c r="CR160" s="72">
        <v>109</v>
      </c>
      <c r="CS160" s="72">
        <v>109</v>
      </c>
      <c r="CT160" s="72">
        <v>109</v>
      </c>
      <c r="CU160" s="72">
        <v>109</v>
      </c>
      <c r="CV160" s="72">
        <v>109</v>
      </c>
      <c r="CW160" s="72">
        <v>109</v>
      </c>
      <c r="CX160" s="72">
        <v>109</v>
      </c>
      <c r="CY160" s="72">
        <v>109</v>
      </c>
      <c r="CZ160" s="72">
        <v>109</v>
      </c>
      <c r="DA160" s="72">
        <v>109</v>
      </c>
      <c r="DB160" s="72">
        <v>109</v>
      </c>
      <c r="DC160" s="72">
        <v>109</v>
      </c>
      <c r="DD160" s="72">
        <v>109</v>
      </c>
      <c r="DE160" s="72">
        <v>109</v>
      </c>
      <c r="DF160" s="72">
        <v>109</v>
      </c>
      <c r="DG160" s="72">
        <v>109</v>
      </c>
      <c r="DH160" s="72">
        <v>103</v>
      </c>
      <c r="DI160" s="72">
        <v>103</v>
      </c>
      <c r="DJ160" s="72">
        <v>103</v>
      </c>
      <c r="DK160" s="72">
        <v>103</v>
      </c>
      <c r="DL160" s="72">
        <v>103</v>
      </c>
    </row>
    <row r="161" spans="1:116" x14ac:dyDescent="0.35">
      <c r="A161" s="7"/>
      <c r="B161" s="8" t="s">
        <v>299</v>
      </c>
      <c r="C161" s="9" t="s">
        <v>300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2.5930799999999996</v>
      </c>
      <c r="N161" s="12">
        <f t="shared" si="2"/>
        <v>77.792399999999986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28</v>
      </c>
      <c r="AP161" s="72">
        <v>28</v>
      </c>
      <c r="AQ161" s="72">
        <v>28</v>
      </c>
      <c r="AR161" s="72">
        <v>28</v>
      </c>
      <c r="AS161" s="72">
        <v>28</v>
      </c>
      <c r="AT161" s="72">
        <v>28</v>
      </c>
      <c r="AU161" s="72">
        <v>28</v>
      </c>
      <c r="AV161" s="72">
        <v>28</v>
      </c>
      <c r="AW161" s="72">
        <v>28</v>
      </c>
      <c r="AX161" s="72">
        <v>28</v>
      </c>
      <c r="AY161" s="72">
        <v>28</v>
      </c>
      <c r="AZ161" s="72">
        <v>28</v>
      </c>
      <c r="BA161" s="72">
        <v>28</v>
      </c>
      <c r="BB161" s="72">
        <v>28</v>
      </c>
      <c r="BC161" s="72">
        <v>28</v>
      </c>
      <c r="BD161" s="72">
        <v>28</v>
      </c>
      <c r="BE161" s="72">
        <v>28</v>
      </c>
      <c r="BF161" s="72">
        <v>28</v>
      </c>
      <c r="BG161" s="72">
        <v>28</v>
      </c>
      <c r="BH161" s="72">
        <v>28</v>
      </c>
      <c r="BI161" s="72">
        <v>28</v>
      </c>
      <c r="BJ161" s="72">
        <v>28</v>
      </c>
      <c r="BK161" s="72">
        <v>28</v>
      </c>
      <c r="BL161" s="72">
        <v>28</v>
      </c>
      <c r="BM161" s="72">
        <v>28</v>
      </c>
      <c r="BN161" s="72">
        <v>28</v>
      </c>
      <c r="BO161" s="72">
        <v>28</v>
      </c>
      <c r="BP161" s="72">
        <v>28</v>
      </c>
      <c r="BQ161" s="72">
        <v>28</v>
      </c>
      <c r="BR161" s="72">
        <v>28</v>
      </c>
      <c r="BS161" s="72">
        <v>28</v>
      </c>
      <c r="BT161" s="72">
        <v>28</v>
      </c>
      <c r="BU161" s="72">
        <v>28</v>
      </c>
      <c r="BV161" s="72">
        <v>28</v>
      </c>
      <c r="BW161" s="72">
        <v>28</v>
      </c>
      <c r="BX161" s="72">
        <v>28</v>
      </c>
      <c r="BY161" s="72">
        <v>28</v>
      </c>
      <c r="BZ161" s="72">
        <v>28</v>
      </c>
      <c r="CA161" s="72">
        <v>28</v>
      </c>
      <c r="CB161" s="72">
        <v>28</v>
      </c>
      <c r="CC161" s="72">
        <v>28</v>
      </c>
      <c r="CD161" s="72">
        <v>28</v>
      </c>
      <c r="CE161" s="72">
        <v>28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  <c r="DI161" s="72">
        <v>30</v>
      </c>
      <c r="DJ161" s="72">
        <v>30</v>
      </c>
      <c r="DK161" s="72">
        <v>30</v>
      </c>
      <c r="DL161" s="72">
        <v>30</v>
      </c>
    </row>
    <row r="162" spans="1:116" x14ac:dyDescent="0.35">
      <c r="A162" s="7"/>
      <c r="B162" s="8" t="s">
        <v>301</v>
      </c>
      <c r="C162" s="9" t="s">
        <v>302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30</v>
      </c>
      <c r="J162" s="10"/>
      <c r="K162" s="10"/>
      <c r="L162" s="8"/>
      <c r="M162" s="12">
        <v>3.48936</v>
      </c>
      <c r="N162" s="12">
        <f t="shared" si="2"/>
        <v>104.6808</v>
      </c>
      <c r="O162" s="11">
        <v>30</v>
      </c>
      <c r="P162" s="11">
        <v>30</v>
      </c>
      <c r="Q162" s="11">
        <v>30</v>
      </c>
      <c r="R162" s="11">
        <v>30</v>
      </c>
      <c r="S162" s="11">
        <v>30</v>
      </c>
      <c r="T162" s="11">
        <v>30</v>
      </c>
      <c r="U162" s="11">
        <v>30</v>
      </c>
      <c r="V162" s="11">
        <v>30</v>
      </c>
      <c r="W162" s="11">
        <v>30</v>
      </c>
      <c r="X162" s="11">
        <v>30</v>
      </c>
      <c r="Y162" s="11">
        <v>30</v>
      </c>
      <c r="Z162" s="11">
        <v>30</v>
      </c>
      <c r="AA162" s="11">
        <v>30</v>
      </c>
      <c r="AB162" s="11">
        <v>30</v>
      </c>
      <c r="AC162" s="11">
        <v>30</v>
      </c>
      <c r="AD162" s="11">
        <v>30</v>
      </c>
      <c r="AE162" s="11">
        <v>30</v>
      </c>
      <c r="AF162" s="11">
        <v>30</v>
      </c>
      <c r="AG162" s="11">
        <v>30</v>
      </c>
      <c r="AH162" s="11">
        <v>30</v>
      </c>
      <c r="AI162" s="11">
        <v>30</v>
      </c>
      <c r="AJ162" s="11">
        <v>30</v>
      </c>
      <c r="AK162" s="11">
        <v>30</v>
      </c>
      <c r="AL162" s="11">
        <v>30</v>
      </c>
      <c r="AM162" s="11">
        <v>30</v>
      </c>
      <c r="AN162" s="72">
        <v>30</v>
      </c>
      <c r="AO162" s="72">
        <v>30</v>
      </c>
      <c r="AP162" s="72">
        <v>30</v>
      </c>
      <c r="AQ162" s="72">
        <v>30</v>
      </c>
      <c r="AR162" s="72">
        <v>25</v>
      </c>
      <c r="AS162" s="72">
        <v>25</v>
      </c>
      <c r="AT162" s="72">
        <v>25</v>
      </c>
      <c r="AU162" s="72">
        <v>25</v>
      </c>
      <c r="AV162" s="72">
        <v>25</v>
      </c>
      <c r="AW162" s="72">
        <v>25</v>
      </c>
      <c r="AX162" s="72">
        <v>25</v>
      </c>
      <c r="AY162" s="72">
        <v>25</v>
      </c>
      <c r="AZ162" s="72">
        <v>25</v>
      </c>
      <c r="BA162" s="72">
        <v>25</v>
      </c>
      <c r="BB162" s="72">
        <v>25</v>
      </c>
      <c r="BC162" s="72">
        <v>25</v>
      </c>
      <c r="BD162" s="72">
        <v>25</v>
      </c>
      <c r="BE162" s="72">
        <v>25</v>
      </c>
      <c r="BF162" s="72">
        <v>25</v>
      </c>
      <c r="BG162" s="72">
        <v>25</v>
      </c>
      <c r="BH162" s="72">
        <v>25</v>
      </c>
      <c r="BI162" s="72">
        <v>25</v>
      </c>
      <c r="BJ162" s="72">
        <v>25</v>
      </c>
      <c r="BK162" s="72">
        <v>25</v>
      </c>
      <c r="BL162" s="72">
        <v>25</v>
      </c>
      <c r="BM162" s="72">
        <v>25</v>
      </c>
      <c r="BN162" s="72">
        <v>25</v>
      </c>
      <c r="BO162" s="72">
        <v>25</v>
      </c>
      <c r="BP162" s="72">
        <v>25</v>
      </c>
      <c r="BQ162" s="72">
        <v>25</v>
      </c>
      <c r="BR162" s="72">
        <v>25</v>
      </c>
      <c r="BS162" s="72">
        <v>25</v>
      </c>
      <c r="BT162" s="72">
        <v>25</v>
      </c>
      <c r="BU162" s="72">
        <v>25</v>
      </c>
      <c r="BV162" s="72">
        <v>25</v>
      </c>
      <c r="BW162" s="72">
        <v>25</v>
      </c>
      <c r="BX162" s="72">
        <v>25</v>
      </c>
      <c r="BY162" s="72">
        <v>25</v>
      </c>
      <c r="BZ162" s="72">
        <v>25</v>
      </c>
      <c r="CA162" s="72">
        <v>25</v>
      </c>
      <c r="CB162" s="72">
        <v>25</v>
      </c>
      <c r="CC162" s="72">
        <v>25</v>
      </c>
      <c r="CD162" s="72">
        <v>25</v>
      </c>
      <c r="CE162" s="72">
        <v>25</v>
      </c>
      <c r="CF162" s="72">
        <v>30</v>
      </c>
      <c r="CG162" s="72">
        <v>30</v>
      </c>
      <c r="CH162" s="72">
        <v>30</v>
      </c>
      <c r="CI162" s="72">
        <v>30</v>
      </c>
      <c r="CJ162" s="72">
        <v>30</v>
      </c>
      <c r="CK162" s="72">
        <v>30</v>
      </c>
      <c r="CL162" s="72">
        <v>30</v>
      </c>
      <c r="CM162" s="72">
        <v>30</v>
      </c>
      <c r="CN162" s="72">
        <v>30</v>
      </c>
      <c r="CO162" s="72">
        <v>30</v>
      </c>
      <c r="CP162" s="72">
        <v>30</v>
      </c>
      <c r="CQ162" s="72">
        <v>30</v>
      </c>
      <c r="CR162" s="72">
        <v>30</v>
      </c>
      <c r="CS162" s="72">
        <v>30</v>
      </c>
      <c r="CT162" s="72">
        <v>30</v>
      </c>
      <c r="CU162" s="72">
        <v>30</v>
      </c>
      <c r="CV162" s="72">
        <v>30</v>
      </c>
      <c r="CW162" s="72">
        <v>30</v>
      </c>
      <c r="CX162" s="72">
        <v>30</v>
      </c>
      <c r="CY162" s="72">
        <v>30</v>
      </c>
      <c r="CZ162" s="72">
        <v>30</v>
      </c>
      <c r="DA162" s="72">
        <v>30</v>
      </c>
      <c r="DB162" s="72">
        <v>30</v>
      </c>
      <c r="DC162" s="72">
        <v>30</v>
      </c>
      <c r="DD162" s="72">
        <v>30</v>
      </c>
      <c r="DE162" s="72">
        <v>30</v>
      </c>
      <c r="DF162" s="72">
        <v>30</v>
      </c>
      <c r="DG162" s="72">
        <v>30</v>
      </c>
      <c r="DH162" s="72">
        <v>30</v>
      </c>
      <c r="DI162" s="72">
        <v>30</v>
      </c>
      <c r="DJ162" s="72">
        <v>30</v>
      </c>
      <c r="DK162" s="72">
        <v>30</v>
      </c>
      <c r="DL162" s="72">
        <v>30</v>
      </c>
    </row>
    <row r="163" spans="1:116" x14ac:dyDescent="0.35">
      <c r="A163" s="7"/>
      <c r="B163" s="8" t="s">
        <v>303</v>
      </c>
      <c r="C163" s="9" t="s">
        <v>304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4.82796</v>
      </c>
      <c r="N163" s="12">
        <f t="shared" si="2"/>
        <v>48.279600000000002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5</v>
      </c>
      <c r="AS163" s="72">
        <v>5</v>
      </c>
      <c r="AT163" s="72">
        <v>5</v>
      </c>
      <c r="AU163" s="72">
        <v>5</v>
      </c>
      <c r="AV163" s="72">
        <v>5</v>
      </c>
      <c r="AW163" s="72">
        <v>5</v>
      </c>
      <c r="AX163" s="72">
        <v>5</v>
      </c>
      <c r="AY163" s="72">
        <v>5</v>
      </c>
      <c r="AZ163" s="72">
        <v>5</v>
      </c>
      <c r="BA163" s="72">
        <v>5</v>
      </c>
      <c r="BB163" s="72">
        <v>5</v>
      </c>
      <c r="BC163" s="72">
        <v>5</v>
      </c>
      <c r="BD163" s="72">
        <v>5</v>
      </c>
      <c r="BE163" s="72">
        <v>5</v>
      </c>
      <c r="BF163" s="72">
        <v>5</v>
      </c>
      <c r="BG163" s="72">
        <v>5</v>
      </c>
      <c r="BH163" s="72">
        <v>5</v>
      </c>
      <c r="BI163" s="72">
        <v>5</v>
      </c>
      <c r="BJ163" s="72">
        <v>5</v>
      </c>
      <c r="BK163" s="72">
        <v>5</v>
      </c>
      <c r="BL163" s="72">
        <v>5</v>
      </c>
      <c r="BM163" s="72">
        <v>5</v>
      </c>
      <c r="BN163" s="72">
        <v>5</v>
      </c>
      <c r="BO163" s="72">
        <v>5</v>
      </c>
      <c r="BP163" s="72">
        <v>5</v>
      </c>
      <c r="BQ163" s="72">
        <v>5</v>
      </c>
      <c r="BR163" s="72">
        <v>5</v>
      </c>
      <c r="BS163" s="72">
        <v>5</v>
      </c>
      <c r="BT163" s="72">
        <v>5</v>
      </c>
      <c r="BU163" s="72">
        <v>5</v>
      </c>
      <c r="BV163" s="72">
        <v>5</v>
      </c>
      <c r="BW163" s="72">
        <v>5</v>
      </c>
      <c r="BX163" s="72">
        <v>5</v>
      </c>
      <c r="BY163" s="72">
        <v>5</v>
      </c>
      <c r="BZ163" s="72">
        <v>5</v>
      </c>
      <c r="CA163" s="72">
        <v>5</v>
      </c>
      <c r="CB163" s="72">
        <v>5</v>
      </c>
      <c r="CC163" s="72">
        <v>5</v>
      </c>
      <c r="CD163" s="72">
        <v>5</v>
      </c>
      <c r="CE163" s="72">
        <v>5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  <c r="DI163" s="72">
        <v>10</v>
      </c>
      <c r="DJ163" s="72">
        <v>10</v>
      </c>
      <c r="DK163" s="72">
        <v>10</v>
      </c>
      <c r="DL163" s="72">
        <v>10</v>
      </c>
    </row>
    <row r="164" spans="1:116" x14ac:dyDescent="0.35">
      <c r="A164" s="7"/>
      <c r="B164" s="8" t="s">
        <v>305</v>
      </c>
      <c r="C164" s="9" t="s">
        <v>306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10</v>
      </c>
      <c r="J164" s="10"/>
      <c r="K164" s="10"/>
      <c r="L164" s="8"/>
      <c r="M164" s="12">
        <v>7.1093999999999999</v>
      </c>
      <c r="N164" s="12">
        <f t="shared" si="2"/>
        <v>71.093999999999994</v>
      </c>
      <c r="O164" s="11">
        <v>10</v>
      </c>
      <c r="P164" s="11">
        <v>10</v>
      </c>
      <c r="Q164" s="11">
        <v>10</v>
      </c>
      <c r="R164" s="11">
        <v>10</v>
      </c>
      <c r="S164" s="11">
        <v>10</v>
      </c>
      <c r="T164" s="11">
        <v>10</v>
      </c>
      <c r="U164" s="11">
        <v>10</v>
      </c>
      <c r="V164" s="11">
        <v>10</v>
      </c>
      <c r="W164" s="11">
        <v>10</v>
      </c>
      <c r="X164" s="11">
        <v>10</v>
      </c>
      <c r="Y164" s="11">
        <v>10</v>
      </c>
      <c r="Z164" s="11">
        <v>10</v>
      </c>
      <c r="AA164" s="11">
        <v>10</v>
      </c>
      <c r="AB164" s="11">
        <v>10</v>
      </c>
      <c r="AC164" s="11">
        <v>10</v>
      </c>
      <c r="AD164" s="11">
        <v>10</v>
      </c>
      <c r="AE164" s="11">
        <v>10</v>
      </c>
      <c r="AF164" s="11">
        <v>10</v>
      </c>
      <c r="AG164" s="11">
        <v>10</v>
      </c>
      <c r="AH164" s="11">
        <v>10</v>
      </c>
      <c r="AI164" s="11">
        <v>10</v>
      </c>
      <c r="AJ164" s="11">
        <v>10</v>
      </c>
      <c r="AK164" s="11">
        <v>10</v>
      </c>
      <c r="AL164" s="11">
        <v>10</v>
      </c>
      <c r="AM164" s="11">
        <v>10</v>
      </c>
      <c r="AN164" s="72">
        <v>10</v>
      </c>
      <c r="AO164" s="72">
        <v>10</v>
      </c>
      <c r="AP164" s="72">
        <v>10</v>
      </c>
      <c r="AQ164" s="72">
        <v>10</v>
      </c>
      <c r="AR164" s="72">
        <v>10</v>
      </c>
      <c r="AS164" s="72">
        <v>10</v>
      </c>
      <c r="AT164" s="72">
        <v>10</v>
      </c>
      <c r="AU164" s="72">
        <v>10</v>
      </c>
      <c r="AV164" s="72">
        <v>10</v>
      </c>
      <c r="AW164" s="72">
        <v>10</v>
      </c>
      <c r="AX164" s="72">
        <v>10</v>
      </c>
      <c r="AY164" s="72">
        <v>10</v>
      </c>
      <c r="AZ164" s="72">
        <v>10</v>
      </c>
      <c r="BA164" s="72">
        <v>10</v>
      </c>
      <c r="BB164" s="72">
        <v>10</v>
      </c>
      <c r="BC164" s="72">
        <v>10</v>
      </c>
      <c r="BD164" s="72">
        <v>10</v>
      </c>
      <c r="BE164" s="72">
        <v>10</v>
      </c>
      <c r="BF164" s="72">
        <v>10</v>
      </c>
      <c r="BG164" s="72">
        <v>10</v>
      </c>
      <c r="BH164" s="72">
        <v>10</v>
      </c>
      <c r="BI164" s="72">
        <v>10</v>
      </c>
      <c r="BJ164" s="72">
        <v>10</v>
      </c>
      <c r="BK164" s="72">
        <v>10</v>
      </c>
      <c r="BL164" s="72">
        <v>10</v>
      </c>
      <c r="BM164" s="72">
        <v>10</v>
      </c>
      <c r="BN164" s="72">
        <v>10</v>
      </c>
      <c r="BO164" s="72">
        <v>10</v>
      </c>
      <c r="BP164" s="72">
        <v>10</v>
      </c>
      <c r="BQ164" s="72">
        <v>10</v>
      </c>
      <c r="BR164" s="72">
        <v>10</v>
      </c>
      <c r="BS164" s="72">
        <v>10</v>
      </c>
      <c r="BT164" s="72">
        <v>10</v>
      </c>
      <c r="BU164" s="72">
        <v>10</v>
      </c>
      <c r="BV164" s="72">
        <v>10</v>
      </c>
      <c r="BW164" s="72">
        <v>10</v>
      </c>
      <c r="BX164" s="72">
        <v>10</v>
      </c>
      <c r="BY164" s="72">
        <v>10</v>
      </c>
      <c r="BZ164" s="72">
        <v>10</v>
      </c>
      <c r="CA164" s="72">
        <v>10</v>
      </c>
      <c r="CB164" s="72">
        <v>10</v>
      </c>
      <c r="CC164" s="72">
        <v>10</v>
      </c>
      <c r="CD164" s="72">
        <v>10</v>
      </c>
      <c r="CE164" s="72">
        <v>10</v>
      </c>
      <c r="CF164" s="72">
        <v>10</v>
      </c>
      <c r="CG164" s="72">
        <v>10</v>
      </c>
      <c r="CH164" s="72">
        <v>10</v>
      </c>
      <c r="CI164" s="72">
        <v>10</v>
      </c>
      <c r="CJ164" s="72">
        <v>10</v>
      </c>
      <c r="CK164" s="72">
        <v>10</v>
      </c>
      <c r="CL164" s="72">
        <v>10</v>
      </c>
      <c r="CM164" s="72">
        <v>10</v>
      </c>
      <c r="CN164" s="72">
        <v>10</v>
      </c>
      <c r="CO164" s="72">
        <v>10</v>
      </c>
      <c r="CP164" s="72">
        <v>10</v>
      </c>
      <c r="CQ164" s="72">
        <v>10</v>
      </c>
      <c r="CR164" s="72">
        <v>10</v>
      </c>
      <c r="CS164" s="72">
        <v>10</v>
      </c>
      <c r="CT164" s="72">
        <v>10</v>
      </c>
      <c r="CU164" s="72">
        <v>10</v>
      </c>
      <c r="CV164" s="72">
        <v>10</v>
      </c>
      <c r="CW164" s="72">
        <v>10</v>
      </c>
      <c r="CX164" s="72">
        <v>10</v>
      </c>
      <c r="CY164" s="72">
        <v>10</v>
      </c>
      <c r="CZ164" s="72">
        <v>10</v>
      </c>
      <c r="DA164" s="72">
        <v>10</v>
      </c>
      <c r="DB164" s="72">
        <v>10</v>
      </c>
      <c r="DC164" s="72">
        <v>10</v>
      </c>
      <c r="DD164" s="72">
        <v>10</v>
      </c>
      <c r="DE164" s="72">
        <v>10</v>
      </c>
      <c r="DF164" s="72">
        <v>10</v>
      </c>
      <c r="DG164" s="72">
        <v>10</v>
      </c>
      <c r="DH164" s="72">
        <v>10</v>
      </c>
      <c r="DI164" s="72">
        <v>10</v>
      </c>
      <c r="DJ164" s="72">
        <v>10</v>
      </c>
      <c r="DK164" s="72">
        <v>10</v>
      </c>
      <c r="DL164" s="72">
        <v>10</v>
      </c>
    </row>
    <row r="165" spans="1:116" x14ac:dyDescent="0.35">
      <c r="A165" s="7"/>
      <c r="B165" s="26" t="s">
        <v>307</v>
      </c>
      <c r="C165" s="27" t="s">
        <v>308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0</v>
      </c>
      <c r="J165" s="10">
        <v>1</v>
      </c>
      <c r="K165" s="10" t="s">
        <v>42</v>
      </c>
      <c r="L165" s="8" t="s">
        <v>206</v>
      </c>
      <c r="M165" s="12">
        <v>0.53878423999999969</v>
      </c>
      <c r="N165" s="12">
        <f t="shared" si="2"/>
        <v>2.1551369599999988</v>
      </c>
      <c r="O165" s="29">
        <v>0</v>
      </c>
      <c r="P165" s="29">
        <v>0</v>
      </c>
      <c r="Q165" s="29">
        <v>0</v>
      </c>
      <c r="R165" s="29">
        <v>0</v>
      </c>
      <c r="S165" s="29">
        <v>0</v>
      </c>
      <c r="T165" s="29">
        <v>0</v>
      </c>
      <c r="U165" s="29">
        <v>0</v>
      </c>
      <c r="V165" s="29">
        <v>0</v>
      </c>
      <c r="W165" s="29">
        <v>0</v>
      </c>
      <c r="X165" s="29">
        <v>0</v>
      </c>
      <c r="Y165" s="29">
        <v>0</v>
      </c>
      <c r="Z165" s="29">
        <v>0</v>
      </c>
      <c r="AA165" s="29">
        <v>0</v>
      </c>
      <c r="AB165" s="29">
        <v>0</v>
      </c>
      <c r="AC165" s="29">
        <v>0</v>
      </c>
      <c r="AD165" s="29">
        <v>0</v>
      </c>
      <c r="AE165" s="29">
        <v>0</v>
      </c>
      <c r="AF165" s="29">
        <v>0</v>
      </c>
      <c r="AG165" s="29">
        <v>0</v>
      </c>
      <c r="AH165" s="29">
        <v>0</v>
      </c>
      <c r="AI165" s="29">
        <v>0</v>
      </c>
      <c r="AJ165" s="29">
        <v>0</v>
      </c>
      <c r="AK165" s="29">
        <v>0</v>
      </c>
      <c r="AL165" s="29">
        <v>0</v>
      </c>
      <c r="AM165" s="29">
        <v>0</v>
      </c>
      <c r="AN165" s="75">
        <v>0</v>
      </c>
      <c r="AO165" s="75">
        <v>0</v>
      </c>
      <c r="AP165" s="75">
        <v>0</v>
      </c>
      <c r="AQ165" s="75">
        <v>0</v>
      </c>
      <c r="AR165" s="75">
        <v>0</v>
      </c>
      <c r="AS165" s="75">
        <v>0</v>
      </c>
      <c r="AT165" s="75">
        <v>0</v>
      </c>
      <c r="AU165" s="75">
        <v>0</v>
      </c>
      <c r="AV165" s="75">
        <v>0</v>
      </c>
      <c r="AW165" s="75">
        <v>0</v>
      </c>
      <c r="AX165" s="75">
        <v>0</v>
      </c>
      <c r="AY165" s="75">
        <v>0</v>
      </c>
      <c r="AZ165" s="75">
        <v>0</v>
      </c>
      <c r="BA165" s="75">
        <v>0</v>
      </c>
      <c r="BB165" s="75">
        <v>0</v>
      </c>
      <c r="BC165" s="75">
        <v>0</v>
      </c>
      <c r="BD165" s="75">
        <v>0</v>
      </c>
      <c r="BE165" s="75">
        <v>0</v>
      </c>
      <c r="BF165" s="75">
        <v>0</v>
      </c>
      <c r="BG165" s="75">
        <v>0</v>
      </c>
      <c r="BH165" s="75">
        <v>0</v>
      </c>
      <c r="BI165" s="75">
        <v>0</v>
      </c>
      <c r="BJ165" s="75">
        <v>0</v>
      </c>
      <c r="BK165" s="75">
        <v>0</v>
      </c>
      <c r="BL165" s="75">
        <v>0</v>
      </c>
      <c r="BM165" s="75">
        <v>0</v>
      </c>
      <c r="BN165" s="75">
        <v>0</v>
      </c>
      <c r="BO165" s="75">
        <v>0</v>
      </c>
      <c r="BP165" s="75">
        <v>0</v>
      </c>
      <c r="BQ165" s="75">
        <v>0</v>
      </c>
      <c r="BR165" s="75">
        <v>0</v>
      </c>
      <c r="BS165" s="75">
        <v>0</v>
      </c>
      <c r="BT165" s="75">
        <v>0</v>
      </c>
      <c r="BU165" s="75">
        <v>0</v>
      </c>
      <c r="BV165" s="75">
        <v>0</v>
      </c>
      <c r="BW165" s="75">
        <v>0</v>
      </c>
      <c r="BX165" s="75">
        <v>0</v>
      </c>
      <c r="BY165" s="75">
        <v>0</v>
      </c>
      <c r="BZ165" s="75">
        <v>0</v>
      </c>
      <c r="CA165" s="75">
        <v>0</v>
      </c>
      <c r="CB165" s="75">
        <v>0</v>
      </c>
      <c r="CC165" s="75">
        <v>0</v>
      </c>
      <c r="CD165" s="75">
        <v>0</v>
      </c>
      <c r="CE165" s="75">
        <v>0</v>
      </c>
      <c r="CF165" s="75">
        <v>4</v>
      </c>
      <c r="CG165" s="75">
        <v>4</v>
      </c>
      <c r="CH165" s="75">
        <v>4</v>
      </c>
      <c r="CI165" s="75">
        <v>4</v>
      </c>
      <c r="CJ165" s="75">
        <v>4</v>
      </c>
      <c r="CK165" s="75">
        <v>4</v>
      </c>
      <c r="CL165" s="75">
        <v>4</v>
      </c>
      <c r="CM165" s="75">
        <v>4</v>
      </c>
      <c r="CN165" s="75">
        <v>4</v>
      </c>
      <c r="CO165" s="75">
        <v>4</v>
      </c>
      <c r="CP165" s="75">
        <v>4</v>
      </c>
      <c r="CQ165" s="75">
        <v>4</v>
      </c>
      <c r="CR165" s="75">
        <v>4</v>
      </c>
      <c r="CS165" s="75">
        <v>4</v>
      </c>
      <c r="CT165" s="75">
        <v>4</v>
      </c>
      <c r="CU165" s="75">
        <v>4</v>
      </c>
      <c r="CV165" s="75">
        <v>4</v>
      </c>
      <c r="CW165" s="75">
        <v>4</v>
      </c>
      <c r="CX165" s="75">
        <v>4</v>
      </c>
      <c r="CY165" s="75">
        <v>4</v>
      </c>
      <c r="CZ165" s="75">
        <v>4</v>
      </c>
      <c r="DA165" s="75">
        <v>4</v>
      </c>
      <c r="DB165" s="75">
        <v>4</v>
      </c>
      <c r="DC165" s="75">
        <v>4</v>
      </c>
      <c r="DD165" s="75">
        <v>4</v>
      </c>
      <c r="DE165" s="75">
        <v>4</v>
      </c>
      <c r="DF165" s="75">
        <v>4</v>
      </c>
      <c r="DG165" s="75">
        <v>4</v>
      </c>
      <c r="DH165" s="75">
        <v>4</v>
      </c>
      <c r="DI165" s="75">
        <v>4</v>
      </c>
      <c r="DJ165" s="75">
        <v>4</v>
      </c>
      <c r="DK165" s="75">
        <v>4</v>
      </c>
      <c r="DL165" s="75">
        <v>4</v>
      </c>
    </row>
    <row r="166" spans="1:116" x14ac:dyDescent="0.35">
      <c r="A166" s="7"/>
      <c r="B166" s="26" t="s">
        <v>309</v>
      </c>
      <c r="C166" s="27" t="s">
        <v>310</v>
      </c>
      <c r="D166" s="28" t="s">
        <v>92</v>
      </c>
      <c r="E166" s="26" t="s">
        <v>1209</v>
      </c>
      <c r="F166" s="10">
        <v>1101</v>
      </c>
      <c r="G166" s="28" t="s">
        <v>92</v>
      </c>
      <c r="H166" s="28" t="s">
        <v>41</v>
      </c>
      <c r="I166" s="29">
        <v>14</v>
      </c>
      <c r="J166" s="10"/>
      <c r="K166" s="10" t="s">
        <v>42</v>
      </c>
      <c r="L166" s="8"/>
      <c r="M166" s="12">
        <v>0.67247999999999997</v>
      </c>
      <c r="N166" s="12">
        <f t="shared" si="2"/>
        <v>9.4147199999999991</v>
      </c>
      <c r="O166" s="29">
        <v>14</v>
      </c>
      <c r="P166" s="29">
        <v>14</v>
      </c>
      <c r="Q166" s="29">
        <v>14</v>
      </c>
      <c r="R166" s="29">
        <v>14</v>
      </c>
      <c r="S166" s="29">
        <v>14</v>
      </c>
      <c r="T166" s="29">
        <v>14</v>
      </c>
      <c r="U166" s="29">
        <v>14</v>
      </c>
      <c r="V166" s="29">
        <v>14</v>
      </c>
      <c r="W166" s="29">
        <v>14</v>
      </c>
      <c r="X166" s="29">
        <v>14</v>
      </c>
      <c r="Y166" s="29">
        <v>14</v>
      </c>
      <c r="Z166" s="29">
        <v>14</v>
      </c>
      <c r="AA166" s="29">
        <v>14</v>
      </c>
      <c r="AB166" s="29">
        <v>14</v>
      </c>
      <c r="AC166" s="29">
        <v>14</v>
      </c>
      <c r="AD166" s="29">
        <v>14</v>
      </c>
      <c r="AE166" s="29">
        <v>14</v>
      </c>
      <c r="AF166" s="29">
        <v>14</v>
      </c>
      <c r="AG166" s="29">
        <v>14</v>
      </c>
      <c r="AH166" s="29">
        <v>14</v>
      </c>
      <c r="AI166" s="29">
        <v>14</v>
      </c>
      <c r="AJ166" s="29">
        <v>14</v>
      </c>
      <c r="AK166" s="29">
        <v>14</v>
      </c>
      <c r="AL166" s="29">
        <v>14</v>
      </c>
      <c r="AM166" s="29">
        <v>14</v>
      </c>
      <c r="AN166" s="75">
        <v>14</v>
      </c>
      <c r="AO166" s="75">
        <v>14</v>
      </c>
      <c r="AP166" s="75">
        <v>14</v>
      </c>
      <c r="AQ166" s="75">
        <v>14</v>
      </c>
      <c r="AR166" s="75">
        <v>14</v>
      </c>
      <c r="AS166" s="75">
        <v>14</v>
      </c>
      <c r="AT166" s="75">
        <v>14</v>
      </c>
      <c r="AU166" s="75">
        <v>14</v>
      </c>
      <c r="AV166" s="75">
        <v>14</v>
      </c>
      <c r="AW166" s="75">
        <v>14</v>
      </c>
      <c r="AX166" s="75">
        <v>14</v>
      </c>
      <c r="AY166" s="75">
        <v>14</v>
      </c>
      <c r="AZ166" s="75">
        <v>14</v>
      </c>
      <c r="BA166" s="75">
        <v>14</v>
      </c>
      <c r="BB166" s="75">
        <v>14</v>
      </c>
      <c r="BC166" s="75">
        <v>14</v>
      </c>
      <c r="BD166" s="75">
        <v>14</v>
      </c>
      <c r="BE166" s="75">
        <v>14</v>
      </c>
      <c r="BF166" s="75">
        <v>14</v>
      </c>
      <c r="BG166" s="75">
        <v>14</v>
      </c>
      <c r="BH166" s="75">
        <v>14</v>
      </c>
      <c r="BI166" s="75">
        <v>14</v>
      </c>
      <c r="BJ166" s="75">
        <v>14</v>
      </c>
      <c r="BK166" s="75">
        <v>14</v>
      </c>
      <c r="BL166" s="75">
        <v>14</v>
      </c>
      <c r="BM166" s="75">
        <v>14</v>
      </c>
      <c r="BN166" s="75">
        <v>14</v>
      </c>
      <c r="BO166" s="75">
        <v>14</v>
      </c>
      <c r="BP166" s="75">
        <v>14</v>
      </c>
      <c r="BQ166" s="75">
        <v>14</v>
      </c>
      <c r="BR166" s="75">
        <v>14</v>
      </c>
      <c r="BS166" s="75">
        <v>14</v>
      </c>
      <c r="BT166" s="75">
        <v>14</v>
      </c>
      <c r="BU166" s="75">
        <v>14</v>
      </c>
      <c r="BV166" s="75">
        <v>14</v>
      </c>
      <c r="BW166" s="75">
        <v>14</v>
      </c>
      <c r="BX166" s="75">
        <v>14</v>
      </c>
      <c r="BY166" s="75">
        <v>14</v>
      </c>
      <c r="BZ166" s="75">
        <v>14</v>
      </c>
      <c r="CA166" s="75">
        <v>14</v>
      </c>
      <c r="CB166" s="75">
        <v>14</v>
      </c>
      <c r="CC166" s="75">
        <v>14</v>
      </c>
      <c r="CD166" s="75">
        <v>14</v>
      </c>
      <c r="CE166" s="75">
        <v>14</v>
      </c>
      <c r="CF166" s="75">
        <v>14</v>
      </c>
      <c r="CG166" s="75">
        <v>14</v>
      </c>
      <c r="CH166" s="75">
        <v>14</v>
      </c>
      <c r="CI166" s="75">
        <v>14</v>
      </c>
      <c r="CJ166" s="75">
        <v>14</v>
      </c>
      <c r="CK166" s="75">
        <v>14</v>
      </c>
      <c r="CL166" s="75">
        <v>14</v>
      </c>
      <c r="CM166" s="75">
        <v>14</v>
      </c>
      <c r="CN166" s="75">
        <v>14</v>
      </c>
      <c r="CO166" s="75">
        <v>14</v>
      </c>
      <c r="CP166" s="75">
        <v>14</v>
      </c>
      <c r="CQ166" s="75">
        <v>14</v>
      </c>
      <c r="CR166" s="75">
        <v>14</v>
      </c>
      <c r="CS166" s="75">
        <v>14</v>
      </c>
      <c r="CT166" s="75">
        <v>14</v>
      </c>
      <c r="CU166" s="75">
        <v>14</v>
      </c>
      <c r="CV166" s="75">
        <v>14</v>
      </c>
      <c r="CW166" s="75">
        <v>14</v>
      </c>
      <c r="CX166" s="75">
        <v>14</v>
      </c>
      <c r="CY166" s="75">
        <v>14</v>
      </c>
      <c r="CZ166" s="75">
        <v>14</v>
      </c>
      <c r="DA166" s="75">
        <v>14</v>
      </c>
      <c r="DB166" s="75">
        <v>14</v>
      </c>
      <c r="DC166" s="75">
        <v>14</v>
      </c>
      <c r="DD166" s="75">
        <v>14</v>
      </c>
      <c r="DE166" s="75">
        <v>14</v>
      </c>
      <c r="DF166" s="75">
        <v>14</v>
      </c>
      <c r="DG166" s="75">
        <v>14</v>
      </c>
      <c r="DH166" s="75">
        <v>14</v>
      </c>
      <c r="DI166" s="75">
        <v>14</v>
      </c>
      <c r="DJ166" s="75">
        <v>14</v>
      </c>
      <c r="DK166" s="75">
        <v>14</v>
      </c>
      <c r="DL166" s="75">
        <v>14</v>
      </c>
    </row>
    <row r="167" spans="1:116" x14ac:dyDescent="0.35">
      <c r="A167" s="7"/>
      <c r="B167" s="8" t="s">
        <v>311</v>
      </c>
      <c r="C167" s="9" t="s">
        <v>312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568</v>
      </c>
      <c r="J167" s="10">
        <v>1</v>
      </c>
      <c r="K167" s="10" t="s">
        <v>42</v>
      </c>
      <c r="L167" s="8" t="s">
        <v>206</v>
      </c>
      <c r="M167" s="12">
        <v>0.82379999999999998</v>
      </c>
      <c r="N167" s="12">
        <f t="shared" si="2"/>
        <v>404.48579999999998</v>
      </c>
      <c r="O167" s="11">
        <v>569</v>
      </c>
      <c r="P167" s="11">
        <v>569</v>
      </c>
      <c r="Q167" s="11">
        <v>569</v>
      </c>
      <c r="R167" s="11">
        <v>568</v>
      </c>
      <c r="S167" s="11">
        <v>568</v>
      </c>
      <c r="T167" s="11">
        <v>568</v>
      </c>
      <c r="U167" s="11">
        <v>568</v>
      </c>
      <c r="V167" s="11">
        <v>568</v>
      </c>
      <c r="W167" s="11">
        <v>568</v>
      </c>
      <c r="X167" s="11">
        <v>568</v>
      </c>
      <c r="Y167" s="11">
        <v>568</v>
      </c>
      <c r="Z167" s="11">
        <v>568</v>
      </c>
      <c r="AA167" s="11">
        <v>568</v>
      </c>
      <c r="AB167" s="11">
        <v>568</v>
      </c>
      <c r="AC167" s="11">
        <v>568</v>
      </c>
      <c r="AD167" s="11">
        <v>568</v>
      </c>
      <c r="AE167" s="11">
        <v>568</v>
      </c>
      <c r="AF167" s="11">
        <v>568</v>
      </c>
      <c r="AG167" s="11">
        <v>568</v>
      </c>
      <c r="AH167" s="11">
        <v>568</v>
      </c>
      <c r="AI167" s="11">
        <v>568</v>
      </c>
      <c r="AJ167" s="11">
        <v>568</v>
      </c>
      <c r="AK167" s="11">
        <v>568</v>
      </c>
      <c r="AL167" s="11">
        <v>568</v>
      </c>
      <c r="AM167" s="11">
        <v>568</v>
      </c>
      <c r="AN167" s="72">
        <v>568</v>
      </c>
      <c r="AO167" s="72">
        <v>568</v>
      </c>
      <c r="AP167" s="72">
        <v>568</v>
      </c>
      <c r="AQ167" s="72">
        <v>568</v>
      </c>
      <c r="AR167" s="72">
        <v>568</v>
      </c>
      <c r="AS167" s="72">
        <v>568</v>
      </c>
      <c r="AT167" s="72">
        <v>568</v>
      </c>
      <c r="AU167" s="72">
        <v>568</v>
      </c>
      <c r="AV167" s="72">
        <v>568</v>
      </c>
      <c r="AW167" s="72">
        <v>528</v>
      </c>
      <c r="AX167" s="72">
        <v>528</v>
      </c>
      <c r="AY167" s="72">
        <v>528</v>
      </c>
      <c r="AZ167" s="72">
        <v>528</v>
      </c>
      <c r="BA167" s="72">
        <v>528</v>
      </c>
      <c r="BB167" s="72">
        <v>528</v>
      </c>
      <c r="BC167" s="72">
        <v>528</v>
      </c>
      <c r="BD167" s="72">
        <v>528</v>
      </c>
      <c r="BE167" s="72">
        <v>528</v>
      </c>
      <c r="BF167" s="72">
        <v>528</v>
      </c>
      <c r="BG167" s="72">
        <v>528</v>
      </c>
      <c r="BH167" s="72">
        <v>528</v>
      </c>
      <c r="BI167" s="72">
        <v>528</v>
      </c>
      <c r="BJ167" s="72">
        <v>528</v>
      </c>
      <c r="BK167" s="72">
        <v>528</v>
      </c>
      <c r="BL167" s="72">
        <v>528</v>
      </c>
      <c r="BM167" s="72">
        <v>528</v>
      </c>
      <c r="BN167" s="72">
        <v>528</v>
      </c>
      <c r="BO167" s="72">
        <v>528</v>
      </c>
      <c r="BP167" s="72">
        <v>528</v>
      </c>
      <c r="BQ167" s="72">
        <v>528</v>
      </c>
      <c r="BR167" s="72">
        <v>528</v>
      </c>
      <c r="BS167" s="72">
        <v>528</v>
      </c>
      <c r="BT167" s="72">
        <v>528</v>
      </c>
      <c r="BU167" s="72">
        <v>528</v>
      </c>
      <c r="BV167" s="72">
        <v>528</v>
      </c>
      <c r="BW167" s="72">
        <v>528</v>
      </c>
      <c r="BX167" s="72">
        <v>528</v>
      </c>
      <c r="BY167" s="72">
        <v>526</v>
      </c>
      <c r="BZ167" s="72">
        <v>526</v>
      </c>
      <c r="CA167" s="72">
        <v>526</v>
      </c>
      <c r="CB167" s="72">
        <v>526</v>
      </c>
      <c r="CC167" s="72">
        <v>526</v>
      </c>
      <c r="CD167" s="72">
        <v>526</v>
      </c>
      <c r="CE167" s="72">
        <v>526</v>
      </c>
      <c r="CF167" s="72">
        <v>513</v>
      </c>
      <c r="CG167" s="72">
        <v>463</v>
      </c>
      <c r="CH167" s="72">
        <v>491</v>
      </c>
      <c r="CI167" s="72">
        <v>491</v>
      </c>
      <c r="CJ167" s="72">
        <v>491</v>
      </c>
      <c r="CK167" s="72">
        <v>491</v>
      </c>
      <c r="CL167" s="72">
        <v>491</v>
      </c>
      <c r="CM167" s="72">
        <v>491</v>
      </c>
      <c r="CN167" s="72">
        <v>491</v>
      </c>
      <c r="CO167" s="72">
        <v>491</v>
      </c>
      <c r="CP167" s="72">
        <v>491</v>
      </c>
      <c r="CQ167" s="72">
        <v>491</v>
      </c>
      <c r="CR167" s="72">
        <v>491</v>
      </c>
      <c r="CS167" s="72">
        <v>491</v>
      </c>
      <c r="CT167" s="72">
        <v>491</v>
      </c>
      <c r="CU167" s="72">
        <v>491</v>
      </c>
      <c r="CV167" s="72">
        <v>491</v>
      </c>
      <c r="CW167" s="72">
        <v>491</v>
      </c>
      <c r="CX167" s="72">
        <v>491</v>
      </c>
      <c r="CY167" s="72">
        <v>491</v>
      </c>
      <c r="CZ167" s="72">
        <v>491</v>
      </c>
      <c r="DA167" s="72">
        <v>491</v>
      </c>
      <c r="DB167" s="72">
        <v>491</v>
      </c>
      <c r="DC167" s="72">
        <v>491</v>
      </c>
      <c r="DD167" s="72">
        <v>491</v>
      </c>
      <c r="DE167" s="72">
        <v>491</v>
      </c>
      <c r="DF167" s="72">
        <v>491</v>
      </c>
      <c r="DG167" s="72">
        <v>491</v>
      </c>
      <c r="DH167" s="72">
        <v>491</v>
      </c>
      <c r="DI167" s="72">
        <v>491</v>
      </c>
      <c r="DJ167" s="72">
        <v>491</v>
      </c>
      <c r="DK167" s="72">
        <v>491</v>
      </c>
      <c r="DL167" s="72">
        <v>491</v>
      </c>
    </row>
    <row r="168" spans="1:116" x14ac:dyDescent="0.35">
      <c r="A168" s="7"/>
      <c r="B168" s="8" t="s">
        <v>313</v>
      </c>
      <c r="C168" s="9" t="s">
        <v>314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167</v>
      </c>
      <c r="J168" s="10">
        <v>1</v>
      </c>
      <c r="K168" s="10" t="s">
        <v>42</v>
      </c>
      <c r="L168" s="8" t="s">
        <v>206</v>
      </c>
      <c r="M168" s="12">
        <v>1.2661199999999999</v>
      </c>
      <c r="N168" s="12">
        <f t="shared" si="2"/>
        <v>88.628399999999999</v>
      </c>
      <c r="O168" s="11">
        <v>168</v>
      </c>
      <c r="P168" s="11">
        <v>168</v>
      </c>
      <c r="Q168" s="11">
        <v>168</v>
      </c>
      <c r="R168" s="11">
        <v>167</v>
      </c>
      <c r="S168" s="11">
        <v>167</v>
      </c>
      <c r="T168" s="11">
        <v>167</v>
      </c>
      <c r="U168" s="11">
        <v>167</v>
      </c>
      <c r="V168" s="11">
        <v>167</v>
      </c>
      <c r="W168" s="11">
        <v>167</v>
      </c>
      <c r="X168" s="11">
        <v>167</v>
      </c>
      <c r="Y168" s="11">
        <v>167</v>
      </c>
      <c r="Z168" s="11">
        <v>167</v>
      </c>
      <c r="AA168" s="11">
        <v>167</v>
      </c>
      <c r="AB168" s="11">
        <v>167</v>
      </c>
      <c r="AC168" s="11">
        <v>167</v>
      </c>
      <c r="AD168" s="11">
        <v>167</v>
      </c>
      <c r="AE168" s="11">
        <v>167</v>
      </c>
      <c r="AF168" s="11">
        <v>167</v>
      </c>
      <c r="AG168" s="11">
        <v>167</v>
      </c>
      <c r="AH168" s="11">
        <v>167</v>
      </c>
      <c r="AI168" s="11">
        <v>167</v>
      </c>
      <c r="AJ168" s="11">
        <v>167</v>
      </c>
      <c r="AK168" s="11">
        <v>167</v>
      </c>
      <c r="AL168" s="11">
        <v>167</v>
      </c>
      <c r="AM168" s="11">
        <v>167</v>
      </c>
      <c r="AN168" s="72">
        <v>167</v>
      </c>
      <c r="AO168" s="72">
        <v>167</v>
      </c>
      <c r="AP168" s="72">
        <v>167</v>
      </c>
      <c r="AQ168" s="72">
        <v>167</v>
      </c>
      <c r="AR168" s="72">
        <v>167</v>
      </c>
      <c r="AS168" s="72">
        <v>167</v>
      </c>
      <c r="AT168" s="72">
        <v>167</v>
      </c>
      <c r="AU168" s="72">
        <v>167</v>
      </c>
      <c r="AV168" s="72">
        <v>167</v>
      </c>
      <c r="AW168" s="72">
        <v>167</v>
      </c>
      <c r="AX168" s="72">
        <v>167</v>
      </c>
      <c r="AY168" s="72">
        <v>167</v>
      </c>
      <c r="AZ168" s="72">
        <v>167</v>
      </c>
      <c r="BA168" s="72">
        <v>167</v>
      </c>
      <c r="BB168" s="72">
        <v>167</v>
      </c>
      <c r="BC168" s="72">
        <v>167</v>
      </c>
      <c r="BD168" s="72">
        <v>167</v>
      </c>
      <c r="BE168" s="72">
        <v>167</v>
      </c>
      <c r="BF168" s="72">
        <v>167</v>
      </c>
      <c r="BG168" s="72">
        <v>167</v>
      </c>
      <c r="BH168" s="72">
        <v>167</v>
      </c>
      <c r="BI168" s="72">
        <v>167</v>
      </c>
      <c r="BJ168" s="72">
        <v>167</v>
      </c>
      <c r="BK168" s="72">
        <v>167</v>
      </c>
      <c r="BL168" s="72">
        <v>167</v>
      </c>
      <c r="BM168" s="72">
        <v>167</v>
      </c>
      <c r="BN168" s="72">
        <v>167</v>
      </c>
      <c r="BO168" s="72">
        <v>167</v>
      </c>
      <c r="BP168" s="72">
        <v>167</v>
      </c>
      <c r="BQ168" s="72">
        <v>167</v>
      </c>
      <c r="BR168" s="72">
        <v>167</v>
      </c>
      <c r="BS168" s="72">
        <v>167</v>
      </c>
      <c r="BT168" s="72">
        <v>167</v>
      </c>
      <c r="BU168" s="72">
        <v>167</v>
      </c>
      <c r="BV168" s="72">
        <v>117</v>
      </c>
      <c r="BW168" s="72">
        <v>117</v>
      </c>
      <c r="BX168" s="72">
        <v>75</v>
      </c>
      <c r="BY168" s="72">
        <v>75</v>
      </c>
      <c r="BZ168" s="72">
        <v>75</v>
      </c>
      <c r="CA168" s="72">
        <v>75</v>
      </c>
      <c r="CB168" s="72">
        <v>75</v>
      </c>
      <c r="CC168" s="72">
        <v>75</v>
      </c>
      <c r="CD168" s="72">
        <v>75</v>
      </c>
      <c r="CE168" s="72">
        <v>75</v>
      </c>
      <c r="CF168" s="72">
        <v>70</v>
      </c>
      <c r="CG168" s="72">
        <v>70</v>
      </c>
      <c r="CH168" s="72">
        <v>70</v>
      </c>
      <c r="CI168" s="72">
        <v>70</v>
      </c>
      <c r="CJ168" s="72">
        <v>70</v>
      </c>
      <c r="CK168" s="72">
        <v>70</v>
      </c>
      <c r="CL168" s="72">
        <v>70</v>
      </c>
      <c r="CM168" s="72">
        <v>70</v>
      </c>
      <c r="CN168" s="72">
        <v>70</v>
      </c>
      <c r="CO168" s="72">
        <v>70</v>
      </c>
      <c r="CP168" s="72">
        <v>70</v>
      </c>
      <c r="CQ168" s="72">
        <v>70</v>
      </c>
      <c r="CR168" s="72">
        <v>70</v>
      </c>
      <c r="CS168" s="72">
        <v>70</v>
      </c>
      <c r="CT168" s="72">
        <v>70</v>
      </c>
      <c r="CU168" s="72">
        <v>70</v>
      </c>
      <c r="CV168" s="72">
        <v>70</v>
      </c>
      <c r="CW168" s="72">
        <v>70</v>
      </c>
      <c r="CX168" s="72">
        <v>70</v>
      </c>
      <c r="CY168" s="72">
        <v>70</v>
      </c>
      <c r="CZ168" s="72">
        <v>70</v>
      </c>
      <c r="DA168" s="72">
        <v>70</v>
      </c>
      <c r="DB168" s="72">
        <v>70</v>
      </c>
      <c r="DC168" s="72">
        <v>70</v>
      </c>
      <c r="DD168" s="72">
        <v>70</v>
      </c>
      <c r="DE168" s="72">
        <v>70</v>
      </c>
      <c r="DF168" s="72">
        <v>70</v>
      </c>
      <c r="DG168" s="72">
        <v>70</v>
      </c>
      <c r="DH168" s="72">
        <v>70</v>
      </c>
      <c r="DI168" s="72">
        <v>70</v>
      </c>
      <c r="DJ168" s="72">
        <v>70</v>
      </c>
      <c r="DK168" s="72">
        <v>70</v>
      </c>
      <c r="DL168" s="72">
        <v>70</v>
      </c>
    </row>
    <row r="169" spans="1:116" x14ac:dyDescent="0.35">
      <c r="A169" s="7"/>
      <c r="B169" s="8" t="s">
        <v>315</v>
      </c>
      <c r="C169" s="9" t="s">
        <v>316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150</v>
      </c>
      <c r="J169" s="10">
        <v>1</v>
      </c>
      <c r="K169" s="10" t="s">
        <v>42</v>
      </c>
      <c r="L169" s="8" t="s">
        <v>206</v>
      </c>
      <c r="M169" s="12">
        <v>1.6967999999999999</v>
      </c>
      <c r="N169" s="12">
        <f t="shared" si="2"/>
        <v>251.12639999999999</v>
      </c>
      <c r="O169" s="11">
        <v>152</v>
      </c>
      <c r="P169" s="11">
        <v>152</v>
      </c>
      <c r="Q169" s="11">
        <v>152</v>
      </c>
      <c r="R169" s="11">
        <v>151</v>
      </c>
      <c r="S169" s="11">
        <v>151</v>
      </c>
      <c r="T169" s="11">
        <v>151</v>
      </c>
      <c r="U169" s="11">
        <v>151</v>
      </c>
      <c r="V169" s="11">
        <v>151</v>
      </c>
      <c r="W169" s="11">
        <v>151</v>
      </c>
      <c r="X169" s="11">
        <v>150</v>
      </c>
      <c r="Y169" s="11">
        <v>150</v>
      </c>
      <c r="Z169" s="11">
        <v>150</v>
      </c>
      <c r="AA169" s="11">
        <v>150</v>
      </c>
      <c r="AB169" s="11">
        <v>150</v>
      </c>
      <c r="AC169" s="11">
        <v>150</v>
      </c>
      <c r="AD169" s="11">
        <v>150</v>
      </c>
      <c r="AE169" s="11">
        <v>150</v>
      </c>
      <c r="AF169" s="11">
        <v>150</v>
      </c>
      <c r="AG169" s="11">
        <v>150</v>
      </c>
      <c r="AH169" s="11">
        <v>150</v>
      </c>
      <c r="AI169" s="11">
        <v>150</v>
      </c>
      <c r="AJ169" s="11">
        <v>150</v>
      </c>
      <c r="AK169" s="11">
        <v>150</v>
      </c>
      <c r="AL169" s="11">
        <v>150</v>
      </c>
      <c r="AM169" s="11">
        <v>150</v>
      </c>
      <c r="AN169" s="72">
        <v>150</v>
      </c>
      <c r="AO169" s="72">
        <v>150</v>
      </c>
      <c r="AP169" s="72">
        <v>150</v>
      </c>
      <c r="AQ169" s="72">
        <v>150</v>
      </c>
      <c r="AR169" s="72">
        <v>150</v>
      </c>
      <c r="AS169" s="72">
        <v>150</v>
      </c>
      <c r="AT169" s="72">
        <v>150</v>
      </c>
      <c r="AU169" s="72">
        <v>150</v>
      </c>
      <c r="AV169" s="72">
        <v>150</v>
      </c>
      <c r="AW169" s="72">
        <v>150</v>
      </c>
      <c r="AX169" s="72">
        <v>150</v>
      </c>
      <c r="AY169" s="72">
        <v>150</v>
      </c>
      <c r="AZ169" s="72">
        <v>150</v>
      </c>
      <c r="BA169" s="72">
        <v>150</v>
      </c>
      <c r="BB169" s="72">
        <v>150</v>
      </c>
      <c r="BC169" s="72">
        <v>150</v>
      </c>
      <c r="BD169" s="72">
        <v>150</v>
      </c>
      <c r="BE169" s="72">
        <v>150</v>
      </c>
      <c r="BF169" s="72">
        <v>150</v>
      </c>
      <c r="BG169" s="72">
        <v>150</v>
      </c>
      <c r="BH169" s="72">
        <v>150</v>
      </c>
      <c r="BI169" s="72">
        <v>150</v>
      </c>
      <c r="BJ169" s="72">
        <v>150</v>
      </c>
      <c r="BK169" s="72">
        <v>150</v>
      </c>
      <c r="BL169" s="72">
        <v>150</v>
      </c>
      <c r="BM169" s="72">
        <v>150</v>
      </c>
      <c r="BN169" s="72">
        <v>150</v>
      </c>
      <c r="BO169" s="72">
        <v>150</v>
      </c>
      <c r="BP169" s="72">
        <v>150</v>
      </c>
      <c r="BQ169" s="72">
        <v>150</v>
      </c>
      <c r="BR169" s="72">
        <v>150</v>
      </c>
      <c r="BS169" s="72">
        <v>150</v>
      </c>
      <c r="BT169" s="72">
        <v>150</v>
      </c>
      <c r="BU169" s="72">
        <v>150</v>
      </c>
      <c r="BV169" s="72">
        <v>150</v>
      </c>
      <c r="BW169" s="72">
        <v>150</v>
      </c>
      <c r="BX169" s="72">
        <v>150</v>
      </c>
      <c r="BY169" s="72">
        <v>150</v>
      </c>
      <c r="BZ169" s="72">
        <v>150</v>
      </c>
      <c r="CA169" s="72">
        <v>150</v>
      </c>
      <c r="CB169" s="72">
        <v>150</v>
      </c>
      <c r="CC169" s="72">
        <v>150</v>
      </c>
      <c r="CD169" s="72">
        <v>150</v>
      </c>
      <c r="CE169" s="72">
        <v>150</v>
      </c>
      <c r="CF169" s="72">
        <v>148</v>
      </c>
      <c r="CG169" s="72">
        <v>148</v>
      </c>
      <c r="CH169" s="72">
        <v>148</v>
      </c>
      <c r="CI169" s="72">
        <v>148</v>
      </c>
      <c r="CJ169" s="72">
        <v>148</v>
      </c>
      <c r="CK169" s="72">
        <v>148</v>
      </c>
      <c r="CL169" s="72">
        <v>148</v>
      </c>
      <c r="CM169" s="72">
        <v>148</v>
      </c>
      <c r="CN169" s="72">
        <v>148</v>
      </c>
      <c r="CO169" s="72">
        <v>148</v>
      </c>
      <c r="CP169" s="72">
        <v>148</v>
      </c>
      <c r="CQ169" s="72">
        <v>148</v>
      </c>
      <c r="CR169" s="72">
        <v>148</v>
      </c>
      <c r="CS169" s="72">
        <v>148</v>
      </c>
      <c r="CT169" s="72">
        <v>148</v>
      </c>
      <c r="CU169" s="72">
        <v>148</v>
      </c>
      <c r="CV169" s="72">
        <v>148</v>
      </c>
      <c r="CW169" s="72">
        <v>148</v>
      </c>
      <c r="CX169" s="72">
        <v>148</v>
      </c>
      <c r="CY169" s="72">
        <v>148</v>
      </c>
      <c r="CZ169" s="72">
        <v>148</v>
      </c>
      <c r="DA169" s="72">
        <v>148</v>
      </c>
      <c r="DB169" s="72">
        <v>148</v>
      </c>
      <c r="DC169" s="72">
        <v>148</v>
      </c>
      <c r="DD169" s="72">
        <v>148</v>
      </c>
      <c r="DE169" s="72">
        <v>148</v>
      </c>
      <c r="DF169" s="72">
        <v>148</v>
      </c>
      <c r="DG169" s="72">
        <v>148</v>
      </c>
      <c r="DH169" s="72">
        <v>148</v>
      </c>
      <c r="DI169" s="72">
        <v>148</v>
      </c>
      <c r="DJ169" s="72">
        <v>148</v>
      </c>
      <c r="DK169" s="72">
        <v>148</v>
      </c>
      <c r="DL169" s="72">
        <v>148</v>
      </c>
    </row>
    <row r="170" spans="1:116" ht="26.55" x14ac:dyDescent="0.35">
      <c r="A170" s="7"/>
      <c r="B170" s="8" t="s">
        <v>317</v>
      </c>
      <c r="C170" s="9" t="s">
        <v>318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3120</v>
      </c>
      <c r="J170" s="10">
        <v>4</v>
      </c>
      <c r="K170" s="10" t="s">
        <v>42</v>
      </c>
      <c r="L170" s="14" t="s">
        <v>319</v>
      </c>
      <c r="M170" s="12">
        <v>0.54</v>
      </c>
      <c r="N170" s="12">
        <f t="shared" si="2"/>
        <v>1680.48</v>
      </c>
      <c r="O170" s="11">
        <v>3124</v>
      </c>
      <c r="P170" s="11">
        <v>3124</v>
      </c>
      <c r="Q170" s="11">
        <v>3124</v>
      </c>
      <c r="R170" s="11">
        <v>3120</v>
      </c>
      <c r="S170" s="11">
        <v>3120</v>
      </c>
      <c r="T170" s="11">
        <v>3120</v>
      </c>
      <c r="U170" s="11">
        <v>3120</v>
      </c>
      <c r="V170" s="11">
        <v>3120</v>
      </c>
      <c r="W170" s="11">
        <v>3120</v>
      </c>
      <c r="X170" s="11">
        <v>3120</v>
      </c>
      <c r="Y170" s="11">
        <v>3120</v>
      </c>
      <c r="Z170" s="11">
        <v>3120</v>
      </c>
      <c r="AA170" s="11">
        <v>3120</v>
      </c>
      <c r="AB170" s="11">
        <v>3120</v>
      </c>
      <c r="AC170" s="11">
        <v>3120</v>
      </c>
      <c r="AD170" s="11">
        <v>3120</v>
      </c>
      <c r="AE170" s="11">
        <v>3120</v>
      </c>
      <c r="AF170" s="11">
        <v>3120</v>
      </c>
      <c r="AG170" s="11">
        <v>3120</v>
      </c>
      <c r="AH170" s="11">
        <v>3120</v>
      </c>
      <c r="AI170" s="11">
        <v>3120</v>
      </c>
      <c r="AJ170" s="11">
        <v>3120</v>
      </c>
      <c r="AK170" s="11">
        <v>3120</v>
      </c>
      <c r="AL170" s="11">
        <v>3119</v>
      </c>
      <c r="AM170" s="11">
        <v>3119</v>
      </c>
      <c r="AN170" s="72">
        <v>3119</v>
      </c>
      <c r="AO170" s="72">
        <v>3119</v>
      </c>
      <c r="AP170" s="72">
        <v>3119</v>
      </c>
      <c r="AQ170" s="72">
        <v>3119</v>
      </c>
      <c r="AR170" s="72">
        <v>3119</v>
      </c>
      <c r="AS170" s="72">
        <v>3119</v>
      </c>
      <c r="AT170" s="72">
        <v>3119</v>
      </c>
      <c r="AU170" s="72">
        <v>3119</v>
      </c>
      <c r="AV170" s="72">
        <v>3119</v>
      </c>
      <c r="AW170" s="72">
        <v>3119</v>
      </c>
      <c r="AX170" s="72">
        <v>3119</v>
      </c>
      <c r="AY170" s="72">
        <v>3119</v>
      </c>
      <c r="AZ170" s="72">
        <v>3119</v>
      </c>
      <c r="BA170" s="72">
        <v>3119</v>
      </c>
      <c r="BB170" s="72">
        <v>3119</v>
      </c>
      <c r="BC170" s="72">
        <v>3119</v>
      </c>
      <c r="BD170" s="72">
        <v>3119</v>
      </c>
      <c r="BE170" s="72">
        <v>3119</v>
      </c>
      <c r="BF170" s="72">
        <v>3119</v>
      </c>
      <c r="BG170" s="72">
        <v>3119</v>
      </c>
      <c r="BH170" s="72">
        <v>3119</v>
      </c>
      <c r="BI170" s="72">
        <v>3119</v>
      </c>
      <c r="BJ170" s="72">
        <v>3119</v>
      </c>
      <c r="BK170" s="72">
        <v>3119</v>
      </c>
      <c r="BL170" s="72">
        <v>3119</v>
      </c>
      <c r="BM170" s="72">
        <v>3119</v>
      </c>
      <c r="BN170" s="72">
        <v>3119</v>
      </c>
      <c r="BO170" s="72">
        <v>3119</v>
      </c>
      <c r="BP170" s="72">
        <v>3119</v>
      </c>
      <c r="BQ170" s="72">
        <v>3119</v>
      </c>
      <c r="BR170" s="72">
        <v>3119</v>
      </c>
      <c r="BS170" s="72">
        <v>3119</v>
      </c>
      <c r="BT170" s="72">
        <v>3119</v>
      </c>
      <c r="BU170" s="72">
        <v>3119</v>
      </c>
      <c r="BV170" s="72">
        <v>3113</v>
      </c>
      <c r="BW170" s="72">
        <v>3113</v>
      </c>
      <c r="BX170" s="72">
        <v>3113</v>
      </c>
      <c r="BY170" s="72">
        <v>3113</v>
      </c>
      <c r="BZ170" s="72">
        <v>3113</v>
      </c>
      <c r="CA170" s="72">
        <v>3113</v>
      </c>
      <c r="CB170" s="72">
        <v>3113</v>
      </c>
      <c r="CC170" s="72">
        <v>3113</v>
      </c>
      <c r="CD170" s="72">
        <v>3113</v>
      </c>
      <c r="CE170" s="72">
        <v>3113</v>
      </c>
      <c r="CF170" s="72">
        <v>3113</v>
      </c>
      <c r="CG170" s="72">
        <v>3113</v>
      </c>
      <c r="CH170" s="72">
        <v>3113</v>
      </c>
      <c r="CI170" s="72">
        <v>3113</v>
      </c>
      <c r="CJ170" s="72">
        <v>3113</v>
      </c>
      <c r="CK170" s="72">
        <v>3112</v>
      </c>
      <c r="CL170" s="72">
        <v>3112</v>
      </c>
      <c r="CM170" s="72">
        <v>3112</v>
      </c>
      <c r="CN170" s="72">
        <v>3112</v>
      </c>
      <c r="CO170" s="72">
        <v>3112</v>
      </c>
      <c r="CP170" s="72">
        <v>3112</v>
      </c>
      <c r="CQ170" s="72">
        <v>3112</v>
      </c>
      <c r="CR170" s="72">
        <v>3112</v>
      </c>
      <c r="CS170" s="72">
        <v>3112</v>
      </c>
      <c r="CT170" s="72">
        <v>3112</v>
      </c>
      <c r="CU170" s="72">
        <v>3112</v>
      </c>
      <c r="CV170" s="72">
        <v>3112</v>
      </c>
      <c r="CW170" s="72">
        <v>3112</v>
      </c>
      <c r="CX170" s="72">
        <v>3112</v>
      </c>
      <c r="CY170" s="72">
        <v>3112</v>
      </c>
      <c r="CZ170" s="72">
        <v>3112</v>
      </c>
      <c r="DA170" s="72">
        <v>3112</v>
      </c>
      <c r="DB170" s="72">
        <v>3112</v>
      </c>
      <c r="DC170" s="72">
        <v>3112</v>
      </c>
      <c r="DD170" s="72">
        <v>3112</v>
      </c>
      <c r="DE170" s="72">
        <v>3112</v>
      </c>
      <c r="DF170" s="72">
        <v>3112</v>
      </c>
      <c r="DG170" s="72">
        <v>3112</v>
      </c>
      <c r="DH170" s="72">
        <v>3112</v>
      </c>
      <c r="DI170" s="72">
        <v>3112</v>
      </c>
      <c r="DJ170" s="72">
        <v>3112</v>
      </c>
      <c r="DK170" s="72">
        <v>3112</v>
      </c>
      <c r="DL170" s="72">
        <v>3112</v>
      </c>
    </row>
    <row r="171" spans="1:116" ht="26.55" x14ac:dyDescent="0.35">
      <c r="A171" s="7"/>
      <c r="B171" s="8" t="s">
        <v>320</v>
      </c>
      <c r="C171" s="9" t="s">
        <v>321</v>
      </c>
      <c r="D171" s="10" t="s">
        <v>92</v>
      </c>
      <c r="E171" s="8" t="s">
        <v>183</v>
      </c>
      <c r="F171" s="10">
        <v>1101</v>
      </c>
      <c r="G171" s="10" t="s">
        <v>92</v>
      </c>
      <c r="H171" s="10" t="s">
        <v>41</v>
      </c>
      <c r="I171" s="11">
        <v>3988</v>
      </c>
      <c r="J171" s="10">
        <v>4</v>
      </c>
      <c r="K171" s="10" t="s">
        <v>42</v>
      </c>
      <c r="L171" s="14" t="s">
        <v>322</v>
      </c>
      <c r="M171" s="12">
        <v>0.70799999999999996</v>
      </c>
      <c r="N171" s="12">
        <f t="shared" si="2"/>
        <v>2504.904</v>
      </c>
      <c r="O171" s="11">
        <v>4640</v>
      </c>
      <c r="P171" s="11">
        <v>4640</v>
      </c>
      <c r="Q171" s="11">
        <v>4640</v>
      </c>
      <c r="R171" s="11">
        <v>4640</v>
      </c>
      <c r="S171" s="11">
        <v>4640</v>
      </c>
      <c r="T171" s="11">
        <v>4640</v>
      </c>
      <c r="U171" s="11">
        <v>4640</v>
      </c>
      <c r="V171" s="11">
        <v>4640</v>
      </c>
      <c r="W171" s="11">
        <v>4640</v>
      </c>
      <c r="X171" s="11">
        <v>4640</v>
      </c>
      <c r="Y171" s="11">
        <v>4640</v>
      </c>
      <c r="Z171" s="11">
        <v>4640</v>
      </c>
      <c r="AA171" s="11">
        <v>4640</v>
      </c>
      <c r="AB171" s="11">
        <v>4076</v>
      </c>
      <c r="AC171" s="11">
        <v>3988</v>
      </c>
      <c r="AD171" s="11">
        <v>3988</v>
      </c>
      <c r="AE171" s="11">
        <v>3988</v>
      </c>
      <c r="AF171" s="11">
        <v>3988</v>
      </c>
      <c r="AG171" s="11">
        <v>3988</v>
      </c>
      <c r="AH171" s="11">
        <v>3988</v>
      </c>
      <c r="AI171" s="11">
        <v>3988</v>
      </c>
      <c r="AJ171" s="11">
        <v>3988</v>
      </c>
      <c r="AK171" s="11">
        <v>3988</v>
      </c>
      <c r="AL171" s="11">
        <v>3987</v>
      </c>
      <c r="AM171" s="11">
        <v>3987</v>
      </c>
      <c r="AN171" s="72">
        <v>3987</v>
      </c>
      <c r="AO171" s="72">
        <v>3987</v>
      </c>
      <c r="AP171" s="72">
        <v>3987</v>
      </c>
      <c r="AQ171" s="72">
        <v>3987</v>
      </c>
      <c r="AR171" s="72">
        <v>3987</v>
      </c>
      <c r="AS171" s="72">
        <v>3987</v>
      </c>
      <c r="AT171" s="72">
        <v>3987</v>
      </c>
      <c r="AU171" s="72">
        <v>3987</v>
      </c>
      <c r="AV171" s="72">
        <v>3987</v>
      </c>
      <c r="AW171" s="72">
        <v>3987</v>
      </c>
      <c r="AX171" s="72">
        <v>3987</v>
      </c>
      <c r="AY171" s="72">
        <v>3987</v>
      </c>
      <c r="AZ171" s="72">
        <v>3987</v>
      </c>
      <c r="BA171" s="72">
        <v>3987</v>
      </c>
      <c r="BB171" s="72">
        <v>3987</v>
      </c>
      <c r="BC171" s="72">
        <v>3987</v>
      </c>
      <c r="BD171" s="72">
        <v>3987</v>
      </c>
      <c r="BE171" s="72">
        <v>3987</v>
      </c>
      <c r="BF171" s="72">
        <v>3987</v>
      </c>
      <c r="BG171" s="72">
        <v>3987</v>
      </c>
      <c r="BH171" s="72">
        <v>3987</v>
      </c>
      <c r="BI171" s="72">
        <v>3915</v>
      </c>
      <c r="BJ171" s="72">
        <v>3915</v>
      </c>
      <c r="BK171" s="72">
        <v>3815</v>
      </c>
      <c r="BL171" s="72">
        <v>3815</v>
      </c>
      <c r="BM171" s="72">
        <v>3815</v>
      </c>
      <c r="BN171" s="72">
        <v>3815</v>
      </c>
      <c r="BO171" s="72">
        <v>3816</v>
      </c>
      <c r="BP171" s="72">
        <v>3816</v>
      </c>
      <c r="BQ171" s="72">
        <v>3841</v>
      </c>
      <c r="BR171" s="72">
        <v>3841</v>
      </c>
      <c r="BS171" s="72">
        <v>3841</v>
      </c>
      <c r="BT171" s="72">
        <v>3841</v>
      </c>
      <c r="BU171" s="72">
        <v>3841</v>
      </c>
      <c r="BV171" s="72">
        <v>3841</v>
      </c>
      <c r="BW171" s="72">
        <v>3841</v>
      </c>
      <c r="BX171" s="72">
        <v>3841</v>
      </c>
      <c r="BY171" s="72">
        <v>3841</v>
      </c>
      <c r="BZ171" s="72">
        <v>3841</v>
      </c>
      <c r="CA171" s="72">
        <v>3841</v>
      </c>
      <c r="CB171" s="72">
        <v>3841</v>
      </c>
      <c r="CC171" s="72">
        <v>3841</v>
      </c>
      <c r="CD171" s="72">
        <v>3841</v>
      </c>
      <c r="CE171" s="72">
        <v>3841</v>
      </c>
      <c r="CF171" s="72">
        <v>3539</v>
      </c>
      <c r="CG171" s="72">
        <v>3539</v>
      </c>
      <c r="CH171" s="72">
        <v>3539</v>
      </c>
      <c r="CI171" s="72">
        <v>3539</v>
      </c>
      <c r="CJ171" s="72">
        <v>3539</v>
      </c>
      <c r="CK171" s="72">
        <v>3538</v>
      </c>
      <c r="CL171" s="72">
        <v>3538</v>
      </c>
      <c r="CM171" s="72">
        <v>3538</v>
      </c>
      <c r="CN171" s="72">
        <v>3538</v>
      </c>
      <c r="CO171" s="72">
        <v>3538</v>
      </c>
      <c r="CP171" s="72">
        <v>3538</v>
      </c>
      <c r="CQ171" s="72">
        <v>3538</v>
      </c>
      <c r="CR171" s="72">
        <v>3538</v>
      </c>
      <c r="CS171" s="72">
        <v>3538</v>
      </c>
      <c r="CT171" s="72">
        <v>3538</v>
      </c>
      <c r="CU171" s="72">
        <v>3538</v>
      </c>
      <c r="CV171" s="72">
        <v>3538</v>
      </c>
      <c r="CW171" s="72">
        <v>3538</v>
      </c>
      <c r="CX171" s="72">
        <v>3538</v>
      </c>
      <c r="CY171" s="72">
        <v>3538</v>
      </c>
      <c r="CZ171" s="72">
        <v>3538</v>
      </c>
      <c r="DA171" s="72">
        <v>3538</v>
      </c>
      <c r="DB171" s="72">
        <v>3538</v>
      </c>
      <c r="DC171" s="72">
        <v>3538</v>
      </c>
      <c r="DD171" s="72">
        <v>3538</v>
      </c>
      <c r="DE171" s="72">
        <v>3538</v>
      </c>
      <c r="DF171" s="72">
        <v>3538</v>
      </c>
      <c r="DG171" s="72">
        <v>3538</v>
      </c>
      <c r="DH171" s="72">
        <v>3538</v>
      </c>
      <c r="DI171" s="72">
        <v>3538</v>
      </c>
      <c r="DJ171" s="72">
        <v>3538</v>
      </c>
      <c r="DK171" s="72">
        <v>3538</v>
      </c>
      <c r="DL171" s="72">
        <v>3538</v>
      </c>
    </row>
    <row r="172" spans="1:116" ht="26.55" x14ac:dyDescent="0.35">
      <c r="A172" s="7"/>
      <c r="B172" s="26" t="s">
        <v>323</v>
      </c>
      <c r="C172" s="27" t="s">
        <v>324</v>
      </c>
      <c r="D172" s="28" t="s">
        <v>92</v>
      </c>
      <c r="E172" s="26" t="s">
        <v>183</v>
      </c>
      <c r="F172" s="10">
        <v>1101</v>
      </c>
      <c r="G172" s="28" t="s">
        <v>92</v>
      </c>
      <c r="H172" s="28" t="s">
        <v>41</v>
      </c>
      <c r="I172" s="29">
        <v>124</v>
      </c>
      <c r="J172" s="10">
        <v>34</v>
      </c>
      <c r="K172" s="10" t="s">
        <v>42</v>
      </c>
      <c r="L172" s="14" t="s">
        <v>325</v>
      </c>
      <c r="M172" s="12">
        <v>0.51600000000000001</v>
      </c>
      <c r="N172" s="12">
        <f t="shared" si="2"/>
        <v>516</v>
      </c>
      <c r="O172" s="29">
        <v>199</v>
      </c>
      <c r="P172" s="29">
        <v>199</v>
      </c>
      <c r="Q172" s="29">
        <v>199</v>
      </c>
      <c r="R172" s="29">
        <v>199</v>
      </c>
      <c r="S172" s="29">
        <v>149</v>
      </c>
      <c r="T172" s="29">
        <v>120</v>
      </c>
      <c r="U172" s="29">
        <v>120</v>
      </c>
      <c r="V172" s="29">
        <v>136</v>
      </c>
      <c r="W172" s="29">
        <v>136</v>
      </c>
      <c r="X172" s="29">
        <v>136</v>
      </c>
      <c r="Y172" s="29">
        <v>136</v>
      </c>
      <c r="Z172" s="29">
        <v>136</v>
      </c>
      <c r="AA172" s="29">
        <v>136</v>
      </c>
      <c r="AB172" s="29">
        <v>136</v>
      </c>
      <c r="AC172" s="29">
        <v>136</v>
      </c>
      <c r="AD172" s="29">
        <v>136</v>
      </c>
      <c r="AE172" s="29">
        <v>136</v>
      </c>
      <c r="AF172" s="29">
        <v>124</v>
      </c>
      <c r="AG172" s="29">
        <v>124</v>
      </c>
      <c r="AH172" s="29">
        <v>124</v>
      </c>
      <c r="AI172" s="29">
        <v>124</v>
      </c>
      <c r="AJ172" s="29">
        <v>124</v>
      </c>
      <c r="AK172" s="29">
        <v>124</v>
      </c>
      <c r="AL172" s="29">
        <v>123</v>
      </c>
      <c r="AM172" s="29">
        <v>23</v>
      </c>
      <c r="AN172" s="75">
        <v>23</v>
      </c>
      <c r="AO172" s="75">
        <v>23</v>
      </c>
      <c r="AP172" s="75">
        <v>23</v>
      </c>
      <c r="AQ172" s="75">
        <v>23</v>
      </c>
      <c r="AR172" s="75">
        <v>23</v>
      </c>
      <c r="AS172" s="75">
        <v>23</v>
      </c>
      <c r="AT172" s="75">
        <v>23</v>
      </c>
      <c r="AU172" s="75">
        <v>23</v>
      </c>
      <c r="AV172" s="75">
        <v>23</v>
      </c>
      <c r="AW172" s="75">
        <v>23</v>
      </c>
      <c r="AX172" s="75">
        <v>23</v>
      </c>
      <c r="AY172" s="75">
        <v>23</v>
      </c>
      <c r="AZ172" s="75">
        <v>23</v>
      </c>
      <c r="BA172" s="75">
        <v>23</v>
      </c>
      <c r="BB172" s="75">
        <v>23</v>
      </c>
      <c r="BC172" s="75">
        <v>23</v>
      </c>
      <c r="BD172" s="75">
        <v>23</v>
      </c>
      <c r="BE172" s="75">
        <v>23</v>
      </c>
      <c r="BF172" s="75">
        <v>23</v>
      </c>
      <c r="BG172" s="75">
        <v>23</v>
      </c>
      <c r="BH172" s="75">
        <v>23</v>
      </c>
      <c r="BI172" s="75">
        <v>23</v>
      </c>
      <c r="BJ172" s="75">
        <v>23</v>
      </c>
      <c r="BK172" s="75">
        <v>23</v>
      </c>
      <c r="BL172" s="75">
        <v>23</v>
      </c>
      <c r="BM172" s="75">
        <v>23</v>
      </c>
      <c r="BN172" s="75">
        <v>23</v>
      </c>
      <c r="BO172" s="75">
        <v>23</v>
      </c>
      <c r="BP172" s="75">
        <v>23</v>
      </c>
      <c r="BQ172" s="75">
        <v>23</v>
      </c>
      <c r="BR172" s="75">
        <v>23</v>
      </c>
      <c r="BS172" s="75">
        <v>23</v>
      </c>
      <c r="BT172" s="75">
        <v>23</v>
      </c>
      <c r="BU172" s="75">
        <v>23</v>
      </c>
      <c r="BV172" s="75">
        <v>23</v>
      </c>
      <c r="BW172" s="75">
        <v>23</v>
      </c>
      <c r="BX172" s="75">
        <v>23</v>
      </c>
      <c r="BY172" s="75">
        <v>23</v>
      </c>
      <c r="BZ172" s="75">
        <v>23</v>
      </c>
      <c r="CA172" s="75">
        <v>23</v>
      </c>
      <c r="CB172" s="75">
        <v>23</v>
      </c>
      <c r="CC172" s="75">
        <v>23</v>
      </c>
      <c r="CD172" s="75">
        <v>23</v>
      </c>
      <c r="CE172" s="75">
        <v>23</v>
      </c>
      <c r="CF172" s="75">
        <v>0</v>
      </c>
      <c r="CG172" s="75">
        <v>0</v>
      </c>
      <c r="CH172" s="75">
        <v>0</v>
      </c>
      <c r="CI172" s="75">
        <v>1000</v>
      </c>
      <c r="CJ172" s="75">
        <v>1000</v>
      </c>
      <c r="CK172" s="75">
        <v>1000</v>
      </c>
      <c r="CL172" s="75">
        <v>1000</v>
      </c>
      <c r="CM172" s="75">
        <v>1000</v>
      </c>
      <c r="CN172" s="75">
        <v>1000</v>
      </c>
      <c r="CO172" s="75">
        <v>1000</v>
      </c>
      <c r="CP172" s="75">
        <v>1000</v>
      </c>
      <c r="CQ172" s="75">
        <v>1000</v>
      </c>
      <c r="CR172" s="75">
        <v>1000</v>
      </c>
      <c r="CS172" s="75">
        <v>1000</v>
      </c>
      <c r="CT172" s="75">
        <v>1000</v>
      </c>
      <c r="CU172" s="75">
        <v>1000</v>
      </c>
      <c r="CV172" s="75">
        <v>1000</v>
      </c>
      <c r="CW172" s="75">
        <v>1000</v>
      </c>
      <c r="CX172" s="75">
        <v>1000</v>
      </c>
      <c r="CY172" s="75">
        <v>1000</v>
      </c>
      <c r="CZ172" s="75">
        <v>1000</v>
      </c>
      <c r="DA172" s="75">
        <v>1000</v>
      </c>
      <c r="DB172" s="75">
        <v>1000</v>
      </c>
      <c r="DC172" s="75">
        <v>1000</v>
      </c>
      <c r="DD172" s="75">
        <v>1000</v>
      </c>
      <c r="DE172" s="75">
        <v>1000</v>
      </c>
      <c r="DF172" s="75">
        <v>1000</v>
      </c>
      <c r="DG172" s="75">
        <v>1000</v>
      </c>
      <c r="DH172" s="75">
        <v>1000</v>
      </c>
      <c r="DI172" s="75">
        <v>1000</v>
      </c>
      <c r="DJ172" s="75">
        <v>1000</v>
      </c>
      <c r="DK172" s="75">
        <v>1000</v>
      </c>
      <c r="DL172" s="75">
        <v>1000</v>
      </c>
    </row>
    <row r="173" spans="1:116" x14ac:dyDescent="0.35">
      <c r="A173" s="7"/>
      <c r="B173" s="26" t="s">
        <v>1398</v>
      </c>
      <c r="C173" s="27" t="s">
        <v>324</v>
      </c>
      <c r="D173" s="28" t="s">
        <v>92</v>
      </c>
      <c r="E173" s="26" t="s">
        <v>183</v>
      </c>
      <c r="F173" s="10"/>
      <c r="G173" s="28"/>
      <c r="H173" s="28" t="s">
        <v>41</v>
      </c>
      <c r="I173" s="29"/>
      <c r="J173" s="10"/>
      <c r="K173" s="10"/>
      <c r="L173" s="14"/>
      <c r="M173" s="12">
        <v>0.51600000000000001</v>
      </c>
      <c r="N173" s="12">
        <f t="shared" si="2"/>
        <v>4.1280000000000001</v>
      </c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>
        <v>8</v>
      </c>
      <c r="BY173" s="75">
        <v>0</v>
      </c>
      <c r="BZ173" s="75">
        <v>0</v>
      </c>
      <c r="CA173" s="75">
        <v>0</v>
      </c>
      <c r="CB173" s="75">
        <v>0</v>
      </c>
      <c r="CC173" s="75">
        <v>8</v>
      </c>
      <c r="CD173" s="75">
        <v>8</v>
      </c>
      <c r="CE173" s="75">
        <v>8</v>
      </c>
      <c r="CF173" s="75">
        <v>8</v>
      </c>
      <c r="CG173" s="75">
        <v>8</v>
      </c>
      <c r="CH173" s="75">
        <v>8</v>
      </c>
      <c r="CI173" s="75">
        <v>8</v>
      </c>
      <c r="CJ173" s="75">
        <v>8</v>
      </c>
      <c r="CK173" s="75">
        <v>8</v>
      </c>
      <c r="CL173" s="75">
        <v>8</v>
      </c>
      <c r="CM173" s="75">
        <v>8</v>
      </c>
      <c r="CN173" s="75">
        <v>8</v>
      </c>
      <c r="CO173" s="75">
        <v>8</v>
      </c>
      <c r="CP173" s="75">
        <v>8</v>
      </c>
      <c r="CQ173" s="75">
        <v>8</v>
      </c>
      <c r="CR173" s="75">
        <v>8</v>
      </c>
      <c r="CS173" s="75">
        <v>8</v>
      </c>
      <c r="CT173" s="75">
        <v>8</v>
      </c>
      <c r="CU173" s="75">
        <v>8</v>
      </c>
      <c r="CV173" s="75">
        <v>8</v>
      </c>
      <c r="CW173" s="75">
        <v>8</v>
      </c>
      <c r="CX173" s="75">
        <v>8</v>
      </c>
      <c r="CY173" s="75">
        <v>8</v>
      </c>
      <c r="CZ173" s="75">
        <v>8</v>
      </c>
      <c r="DA173" s="75">
        <v>8</v>
      </c>
      <c r="DB173" s="75">
        <v>8</v>
      </c>
      <c r="DC173" s="75">
        <v>8</v>
      </c>
      <c r="DD173" s="75">
        <v>8</v>
      </c>
      <c r="DE173" s="75">
        <v>8</v>
      </c>
      <c r="DF173" s="75">
        <v>8</v>
      </c>
      <c r="DG173" s="75">
        <v>8</v>
      </c>
      <c r="DH173" s="75">
        <v>8</v>
      </c>
      <c r="DI173" s="75">
        <v>8</v>
      </c>
      <c r="DJ173" s="75">
        <v>8</v>
      </c>
      <c r="DK173" s="75">
        <v>8</v>
      </c>
      <c r="DL173" s="75">
        <v>8</v>
      </c>
    </row>
    <row r="174" spans="1:116" x14ac:dyDescent="0.35">
      <c r="A174" s="7"/>
      <c r="B174" s="26" t="s">
        <v>326</v>
      </c>
      <c r="C174" s="27" t="s">
        <v>327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39</v>
      </c>
      <c r="J174" s="10">
        <v>4</v>
      </c>
      <c r="K174" s="10" t="s">
        <v>42</v>
      </c>
      <c r="L174" s="30" t="s">
        <v>206</v>
      </c>
      <c r="M174" s="12">
        <v>0.51600000000000001</v>
      </c>
      <c r="N174" s="12">
        <f t="shared" si="2"/>
        <v>6.1920000000000002</v>
      </c>
      <c r="O174" s="29">
        <v>1447</v>
      </c>
      <c r="P174" s="29">
        <v>1447</v>
      </c>
      <c r="Q174" s="29">
        <v>1447</v>
      </c>
      <c r="R174" s="29">
        <v>943</v>
      </c>
      <c r="S174" s="29">
        <v>943</v>
      </c>
      <c r="T174" s="29">
        <v>845</v>
      </c>
      <c r="U174" s="29">
        <v>737</v>
      </c>
      <c r="V174" s="29">
        <v>737</v>
      </c>
      <c r="W174" s="29">
        <v>737</v>
      </c>
      <c r="X174" s="29">
        <v>739</v>
      </c>
      <c r="Y174" s="29">
        <v>39</v>
      </c>
      <c r="Z174" s="29">
        <v>39</v>
      </c>
      <c r="AA174" s="29">
        <v>39</v>
      </c>
      <c r="AB174" s="29">
        <v>39</v>
      </c>
      <c r="AC174" s="29">
        <v>39</v>
      </c>
      <c r="AD174" s="29">
        <v>39</v>
      </c>
      <c r="AE174" s="29">
        <v>39</v>
      </c>
      <c r="AF174" s="29">
        <v>39</v>
      </c>
      <c r="AG174" s="29">
        <v>39</v>
      </c>
      <c r="AH174" s="29">
        <v>39</v>
      </c>
      <c r="AI174" s="29">
        <v>39</v>
      </c>
      <c r="AJ174" s="29">
        <v>39</v>
      </c>
      <c r="AK174" s="29">
        <v>39</v>
      </c>
      <c r="AL174" s="29">
        <v>38</v>
      </c>
      <c r="AM174" s="29">
        <v>38</v>
      </c>
      <c r="AN174" s="75">
        <v>38</v>
      </c>
      <c r="AO174" s="75">
        <v>38</v>
      </c>
      <c r="AP174" s="75">
        <v>38</v>
      </c>
      <c r="AQ174" s="75">
        <v>38</v>
      </c>
      <c r="AR174" s="75">
        <v>38</v>
      </c>
      <c r="AS174" s="75">
        <v>38</v>
      </c>
      <c r="AT174" s="75">
        <v>38</v>
      </c>
      <c r="AU174" s="75">
        <v>38</v>
      </c>
      <c r="AV174" s="75">
        <v>38</v>
      </c>
      <c r="AW174" s="75">
        <v>38</v>
      </c>
      <c r="AX174" s="75">
        <v>38</v>
      </c>
      <c r="AY174" s="75">
        <v>38</v>
      </c>
      <c r="AZ174" s="75">
        <v>38</v>
      </c>
      <c r="BA174" s="75">
        <v>19</v>
      </c>
      <c r="BB174" s="75">
        <v>19</v>
      </c>
      <c r="BC174" s="75">
        <v>19</v>
      </c>
      <c r="BD174" s="75">
        <v>19</v>
      </c>
      <c r="BE174" s="75">
        <v>19</v>
      </c>
      <c r="BF174" s="75">
        <v>19</v>
      </c>
      <c r="BG174" s="75">
        <v>19</v>
      </c>
      <c r="BH174" s="75">
        <v>19</v>
      </c>
      <c r="BI174" s="75">
        <v>19</v>
      </c>
      <c r="BJ174" s="75">
        <v>19</v>
      </c>
      <c r="BK174" s="75">
        <v>19</v>
      </c>
      <c r="BL174" s="75">
        <v>19</v>
      </c>
      <c r="BM174" s="75">
        <v>19</v>
      </c>
      <c r="BN174" s="75">
        <v>19</v>
      </c>
      <c r="BO174" s="75">
        <v>19</v>
      </c>
      <c r="BP174" s="75">
        <v>19</v>
      </c>
      <c r="BQ174" s="75">
        <v>19</v>
      </c>
      <c r="BR174" s="75">
        <v>19</v>
      </c>
      <c r="BS174" s="75">
        <v>19</v>
      </c>
      <c r="BT174" s="75">
        <v>19</v>
      </c>
      <c r="BU174" s="75">
        <v>19</v>
      </c>
      <c r="BV174" s="75">
        <v>19</v>
      </c>
      <c r="BW174" s="75">
        <v>19</v>
      </c>
      <c r="BX174" s="75">
        <v>19</v>
      </c>
      <c r="BY174" s="75">
        <v>0</v>
      </c>
      <c r="BZ174" s="75">
        <v>0</v>
      </c>
      <c r="CA174" s="75">
        <v>0</v>
      </c>
      <c r="CB174" s="75">
        <v>0</v>
      </c>
      <c r="CC174" s="75">
        <v>13</v>
      </c>
      <c r="CD174" s="75">
        <v>13</v>
      </c>
      <c r="CE174" s="75">
        <v>13</v>
      </c>
      <c r="CF174" s="75">
        <v>13</v>
      </c>
      <c r="CG174" s="75">
        <v>13</v>
      </c>
      <c r="CH174" s="75">
        <v>13</v>
      </c>
      <c r="CI174" s="75">
        <v>13</v>
      </c>
      <c r="CJ174" s="75">
        <v>13</v>
      </c>
      <c r="CK174" s="75">
        <v>12</v>
      </c>
      <c r="CL174" s="75">
        <v>12</v>
      </c>
      <c r="CM174" s="75">
        <v>12</v>
      </c>
      <c r="CN174" s="75">
        <v>12</v>
      </c>
      <c r="CO174" s="75">
        <v>12</v>
      </c>
      <c r="CP174" s="75">
        <v>12</v>
      </c>
      <c r="CQ174" s="75">
        <v>12</v>
      </c>
      <c r="CR174" s="75">
        <v>12</v>
      </c>
      <c r="CS174" s="75">
        <v>12</v>
      </c>
      <c r="CT174" s="75">
        <v>12</v>
      </c>
      <c r="CU174" s="75">
        <v>12</v>
      </c>
      <c r="CV174" s="75">
        <v>12</v>
      </c>
      <c r="CW174" s="75">
        <v>12</v>
      </c>
      <c r="CX174" s="75">
        <v>12</v>
      </c>
      <c r="CY174" s="75">
        <v>12</v>
      </c>
      <c r="CZ174" s="75">
        <v>12</v>
      </c>
      <c r="DA174" s="75">
        <v>12</v>
      </c>
      <c r="DB174" s="75">
        <v>12</v>
      </c>
      <c r="DC174" s="75">
        <v>12</v>
      </c>
      <c r="DD174" s="75">
        <v>12</v>
      </c>
      <c r="DE174" s="75">
        <v>12</v>
      </c>
      <c r="DF174" s="75">
        <v>12</v>
      </c>
      <c r="DG174" s="75">
        <v>12</v>
      </c>
      <c r="DH174" s="75">
        <v>12</v>
      </c>
      <c r="DI174" s="75">
        <v>12</v>
      </c>
      <c r="DJ174" s="75">
        <v>12</v>
      </c>
      <c r="DK174" s="75">
        <v>12</v>
      </c>
      <c r="DL174" s="75">
        <v>12</v>
      </c>
    </row>
    <row r="175" spans="1:116" x14ac:dyDescent="0.35">
      <c r="A175" s="7"/>
      <c r="B175" s="8" t="s">
        <v>328</v>
      </c>
      <c r="C175" s="9" t="s">
        <v>327</v>
      </c>
      <c r="D175" s="10" t="s">
        <v>92</v>
      </c>
      <c r="E175" s="8" t="s">
        <v>183</v>
      </c>
      <c r="F175" s="10">
        <v>1101</v>
      </c>
      <c r="G175" s="10" t="s">
        <v>92</v>
      </c>
      <c r="H175" s="10" t="s">
        <v>41</v>
      </c>
      <c r="I175" s="11">
        <v>3819</v>
      </c>
      <c r="J175" s="10"/>
      <c r="K175" s="10" t="s">
        <v>42</v>
      </c>
      <c r="L175" s="31"/>
      <c r="M175" s="12">
        <v>0.432</v>
      </c>
      <c r="N175" s="12">
        <f t="shared" si="2"/>
        <v>184.464</v>
      </c>
      <c r="O175" s="11">
        <v>4827</v>
      </c>
      <c r="P175" s="11">
        <v>4827</v>
      </c>
      <c r="Q175" s="11">
        <v>4827</v>
      </c>
      <c r="R175" s="11">
        <v>4827</v>
      </c>
      <c r="S175" s="11">
        <v>4827</v>
      </c>
      <c r="T175" s="11">
        <v>4827</v>
      </c>
      <c r="U175" s="11">
        <v>4827</v>
      </c>
      <c r="V175" s="11">
        <v>4701</v>
      </c>
      <c r="W175" s="11">
        <v>4701</v>
      </c>
      <c r="X175" s="11">
        <v>4701</v>
      </c>
      <c r="Y175" s="11">
        <v>4701</v>
      </c>
      <c r="Z175" s="11">
        <v>4673</v>
      </c>
      <c r="AA175" s="11">
        <v>4673</v>
      </c>
      <c r="AB175" s="11">
        <v>4673</v>
      </c>
      <c r="AC175" s="11">
        <v>4633</v>
      </c>
      <c r="AD175" s="11">
        <v>4633</v>
      </c>
      <c r="AE175" s="11">
        <v>4633</v>
      </c>
      <c r="AF175" s="11">
        <v>4633</v>
      </c>
      <c r="AG175" s="11">
        <v>4633</v>
      </c>
      <c r="AH175" s="11">
        <v>4633</v>
      </c>
      <c r="AI175" s="11">
        <v>4249</v>
      </c>
      <c r="AJ175" s="11">
        <v>3819</v>
      </c>
      <c r="AK175" s="11">
        <v>3819</v>
      </c>
      <c r="AL175" s="11">
        <v>3945</v>
      </c>
      <c r="AM175" s="11">
        <v>3945</v>
      </c>
      <c r="AN175" s="72">
        <v>3945</v>
      </c>
      <c r="AO175" s="72">
        <v>3897</v>
      </c>
      <c r="AP175" s="72">
        <v>3779</v>
      </c>
      <c r="AQ175" s="72">
        <v>3331</v>
      </c>
      <c r="AR175" s="72">
        <v>3129</v>
      </c>
      <c r="AS175" s="72">
        <v>2791</v>
      </c>
      <c r="AT175" s="72">
        <v>2791</v>
      </c>
      <c r="AU175" s="72">
        <v>2791</v>
      </c>
      <c r="AV175" s="72">
        <v>2791</v>
      </c>
      <c r="AW175" s="72">
        <v>2791</v>
      </c>
      <c r="AX175" s="72">
        <v>2791</v>
      </c>
      <c r="AY175" s="72">
        <v>2791</v>
      </c>
      <c r="AZ175" s="72">
        <v>2791</v>
      </c>
      <c r="BA175" s="72">
        <v>2741</v>
      </c>
      <c r="BB175" s="72">
        <v>2673</v>
      </c>
      <c r="BC175" s="72">
        <v>2673</v>
      </c>
      <c r="BD175" s="72">
        <v>2663</v>
      </c>
      <c r="BE175" s="72">
        <v>2663</v>
      </c>
      <c r="BF175" s="72">
        <v>2663</v>
      </c>
      <c r="BG175" s="72">
        <v>2663</v>
      </c>
      <c r="BH175" s="72">
        <v>2563</v>
      </c>
      <c r="BI175" s="72">
        <v>2107</v>
      </c>
      <c r="BJ175" s="72">
        <v>2107</v>
      </c>
      <c r="BK175" s="72">
        <v>2107</v>
      </c>
      <c r="BL175" s="72">
        <v>2107</v>
      </c>
      <c r="BM175" s="72">
        <v>2007</v>
      </c>
      <c r="BN175" s="72">
        <v>1939</v>
      </c>
      <c r="BO175" s="72">
        <v>1889</v>
      </c>
      <c r="BP175" s="72">
        <v>750</v>
      </c>
      <c r="BQ175" s="72">
        <v>808</v>
      </c>
      <c r="BR175" s="72">
        <v>779</v>
      </c>
      <c r="BS175" s="72">
        <v>649</v>
      </c>
      <c r="BT175" s="72">
        <v>649</v>
      </c>
      <c r="BU175" s="72">
        <v>649</v>
      </c>
      <c r="BV175" s="72">
        <v>643</v>
      </c>
      <c r="BW175" s="72">
        <v>643</v>
      </c>
      <c r="BX175" s="72">
        <v>643</v>
      </c>
      <c r="BY175" s="72">
        <v>642</v>
      </c>
      <c r="BZ175" s="72">
        <v>642</v>
      </c>
      <c r="CA175" s="72">
        <v>66</v>
      </c>
      <c r="CB175" s="72">
        <v>66</v>
      </c>
      <c r="CC175" s="72">
        <v>67</v>
      </c>
      <c r="CD175" s="72">
        <v>67</v>
      </c>
      <c r="CE175" s="72">
        <v>67</v>
      </c>
      <c r="CF175" s="72">
        <v>277</v>
      </c>
      <c r="CG175" s="72">
        <v>277</v>
      </c>
      <c r="CH175" s="72">
        <v>277</v>
      </c>
      <c r="CI175" s="72">
        <v>277</v>
      </c>
      <c r="CJ175" s="72">
        <v>277</v>
      </c>
      <c r="CK175" s="72">
        <v>277</v>
      </c>
      <c r="CL175" s="72">
        <v>277</v>
      </c>
      <c r="CM175" s="72">
        <v>277</v>
      </c>
      <c r="CN175" s="72">
        <v>427</v>
      </c>
      <c r="CO175" s="72">
        <v>427</v>
      </c>
      <c r="CP175" s="72">
        <v>427</v>
      </c>
      <c r="CQ175" s="72">
        <v>427</v>
      </c>
      <c r="CR175" s="72">
        <v>427</v>
      </c>
      <c r="CS175" s="72">
        <v>427</v>
      </c>
      <c r="CT175" s="72">
        <v>427</v>
      </c>
      <c r="CU175" s="72">
        <v>427</v>
      </c>
      <c r="CV175" s="72">
        <v>427</v>
      </c>
      <c r="CW175" s="72">
        <v>427</v>
      </c>
      <c r="CX175" s="72">
        <v>427</v>
      </c>
      <c r="CY175" s="72">
        <v>427</v>
      </c>
      <c r="CZ175" s="72">
        <v>427</v>
      </c>
      <c r="DA175" s="72">
        <v>427</v>
      </c>
      <c r="DB175" s="72">
        <v>427</v>
      </c>
      <c r="DC175" s="72">
        <v>427</v>
      </c>
      <c r="DD175" s="72">
        <v>427</v>
      </c>
      <c r="DE175" s="72">
        <v>427</v>
      </c>
      <c r="DF175" s="72">
        <v>427</v>
      </c>
      <c r="DG175" s="72">
        <v>427</v>
      </c>
      <c r="DH175" s="72">
        <v>427</v>
      </c>
      <c r="DI175" s="72">
        <v>427</v>
      </c>
      <c r="DJ175" s="72">
        <v>427</v>
      </c>
      <c r="DK175" s="72">
        <v>427</v>
      </c>
      <c r="DL175" s="72">
        <v>427</v>
      </c>
    </row>
    <row r="176" spans="1:116" x14ac:dyDescent="0.35">
      <c r="A176" s="7"/>
      <c r="B176" s="26" t="s">
        <v>329</v>
      </c>
      <c r="C176" s="27" t="s">
        <v>330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  <c r="DI176" s="75">
        <v>0</v>
      </c>
      <c r="DJ176" s="75">
        <v>0</v>
      </c>
      <c r="DK176" s="75">
        <v>0</v>
      </c>
      <c r="DL176" s="75">
        <v>0</v>
      </c>
    </row>
    <row r="177" spans="1:116" x14ac:dyDescent="0.35">
      <c r="A177" s="7"/>
      <c r="B177" s="26" t="s">
        <v>331</v>
      </c>
      <c r="C177" s="27" t="s">
        <v>332</v>
      </c>
      <c r="D177" s="28" t="s">
        <v>92</v>
      </c>
      <c r="E177" s="26" t="s">
        <v>183</v>
      </c>
      <c r="F177" s="10">
        <v>1101</v>
      </c>
      <c r="G177" s="28" t="s">
        <v>92</v>
      </c>
      <c r="H177" s="28" t="s">
        <v>41</v>
      </c>
      <c r="I177" s="29">
        <v>0</v>
      </c>
      <c r="J177" s="10"/>
      <c r="K177" s="10" t="s">
        <v>42</v>
      </c>
      <c r="L177" s="8"/>
      <c r="M177" s="12"/>
      <c r="N177" s="12">
        <f t="shared" si="2"/>
        <v>0</v>
      </c>
      <c r="O177" s="29">
        <v>0</v>
      </c>
      <c r="P177" s="29">
        <v>0</v>
      </c>
      <c r="Q177" s="29">
        <v>0</v>
      </c>
      <c r="R177" s="29">
        <v>0</v>
      </c>
      <c r="S177" s="29">
        <v>0</v>
      </c>
      <c r="T177" s="29">
        <v>0</v>
      </c>
      <c r="U177" s="29">
        <v>0</v>
      </c>
      <c r="V177" s="29">
        <v>0</v>
      </c>
      <c r="W177" s="29">
        <v>0</v>
      </c>
      <c r="X177" s="29">
        <v>0</v>
      </c>
      <c r="Y177" s="29">
        <v>0</v>
      </c>
      <c r="Z177" s="29">
        <v>0</v>
      </c>
      <c r="AA177" s="29">
        <v>0</v>
      </c>
      <c r="AB177" s="29">
        <v>0</v>
      </c>
      <c r="AC177" s="29">
        <v>0</v>
      </c>
      <c r="AD177" s="29">
        <v>0</v>
      </c>
      <c r="AE177" s="29">
        <v>0</v>
      </c>
      <c r="AF177" s="29">
        <v>0</v>
      </c>
      <c r="AG177" s="29">
        <v>0</v>
      </c>
      <c r="AH177" s="29">
        <v>0</v>
      </c>
      <c r="AI177" s="29">
        <v>0</v>
      </c>
      <c r="AJ177" s="29">
        <v>0</v>
      </c>
      <c r="AK177" s="29">
        <v>0</v>
      </c>
      <c r="AL177" s="29">
        <v>0</v>
      </c>
      <c r="AM177" s="29">
        <v>0</v>
      </c>
      <c r="AN177" s="75">
        <v>0</v>
      </c>
      <c r="AO177" s="75">
        <v>0</v>
      </c>
      <c r="AP177" s="75">
        <v>0</v>
      </c>
      <c r="AQ177" s="75">
        <v>0</v>
      </c>
      <c r="AR177" s="75">
        <v>0</v>
      </c>
      <c r="AS177" s="75">
        <v>0</v>
      </c>
      <c r="AT177" s="75">
        <v>0</v>
      </c>
      <c r="AU177" s="75">
        <v>0</v>
      </c>
      <c r="AV177" s="75">
        <v>0</v>
      </c>
      <c r="AW177" s="75">
        <v>0</v>
      </c>
      <c r="AX177" s="75">
        <v>0</v>
      </c>
      <c r="AY177" s="75">
        <v>0</v>
      </c>
      <c r="AZ177" s="75">
        <v>0</v>
      </c>
      <c r="BA177" s="75">
        <v>0</v>
      </c>
      <c r="BB177" s="75">
        <v>0</v>
      </c>
      <c r="BC177" s="75">
        <v>0</v>
      </c>
      <c r="BD177" s="75">
        <v>0</v>
      </c>
      <c r="BE177" s="75">
        <v>0</v>
      </c>
      <c r="BF177" s="75">
        <v>0</v>
      </c>
      <c r="BG177" s="75">
        <v>0</v>
      </c>
      <c r="BH177" s="75">
        <v>0</v>
      </c>
      <c r="BI177" s="75">
        <v>0</v>
      </c>
      <c r="BJ177" s="75">
        <v>0</v>
      </c>
      <c r="BK177" s="75">
        <v>0</v>
      </c>
      <c r="BL177" s="75">
        <v>0</v>
      </c>
      <c r="BM177" s="75">
        <v>0</v>
      </c>
      <c r="BN177" s="75">
        <v>0</v>
      </c>
      <c r="BO177" s="75">
        <v>0</v>
      </c>
      <c r="BP177" s="75">
        <v>0</v>
      </c>
      <c r="BQ177" s="75">
        <v>0</v>
      </c>
      <c r="BR177" s="75">
        <v>0</v>
      </c>
      <c r="BS177" s="75">
        <v>0</v>
      </c>
      <c r="BT177" s="75">
        <v>0</v>
      </c>
      <c r="BU177" s="75">
        <v>0</v>
      </c>
      <c r="BV177" s="75">
        <v>0</v>
      </c>
      <c r="BW177" s="75">
        <v>0</v>
      </c>
      <c r="BX177" s="75">
        <v>0</v>
      </c>
      <c r="BY177" s="75">
        <v>0</v>
      </c>
      <c r="BZ177" s="75">
        <v>0</v>
      </c>
      <c r="CA177" s="75">
        <v>0</v>
      </c>
      <c r="CB177" s="75">
        <v>0</v>
      </c>
      <c r="CC177" s="75">
        <v>0</v>
      </c>
      <c r="CD177" s="75">
        <v>0</v>
      </c>
      <c r="CE177" s="75">
        <v>0</v>
      </c>
      <c r="CF177" s="75">
        <v>0</v>
      </c>
      <c r="CG177" s="75">
        <v>0</v>
      </c>
      <c r="CH177" s="75">
        <v>0</v>
      </c>
      <c r="CI177" s="75">
        <v>0</v>
      </c>
      <c r="CJ177" s="75">
        <v>0</v>
      </c>
      <c r="CK177" s="75">
        <v>0</v>
      </c>
      <c r="CL177" s="75">
        <v>0</v>
      </c>
      <c r="CM177" s="75">
        <v>0</v>
      </c>
      <c r="CN177" s="75">
        <v>0</v>
      </c>
      <c r="CO177" s="75">
        <v>0</v>
      </c>
      <c r="CP177" s="75">
        <v>0</v>
      </c>
      <c r="CQ177" s="75">
        <v>0</v>
      </c>
      <c r="CR177" s="75">
        <v>0</v>
      </c>
      <c r="CS177" s="75">
        <v>0</v>
      </c>
      <c r="CT177" s="75">
        <v>0</v>
      </c>
      <c r="CU177" s="75">
        <v>0</v>
      </c>
      <c r="CV177" s="75">
        <v>0</v>
      </c>
      <c r="CW177" s="75">
        <v>0</v>
      </c>
      <c r="CX177" s="75">
        <v>0</v>
      </c>
      <c r="CY177" s="75">
        <v>0</v>
      </c>
      <c r="CZ177" s="75">
        <v>0</v>
      </c>
      <c r="DA177" s="75">
        <v>0</v>
      </c>
      <c r="DB177" s="75">
        <v>0</v>
      </c>
      <c r="DC177" s="75">
        <v>0</v>
      </c>
      <c r="DD177" s="75">
        <v>0</v>
      </c>
      <c r="DE177" s="75">
        <v>0</v>
      </c>
      <c r="DF177" s="75">
        <v>0</v>
      </c>
      <c r="DG177" s="75">
        <v>0</v>
      </c>
      <c r="DH177" s="75">
        <v>0</v>
      </c>
      <c r="DI177" s="75">
        <v>0</v>
      </c>
      <c r="DJ177" s="75">
        <v>0</v>
      </c>
      <c r="DK177" s="75">
        <v>0</v>
      </c>
      <c r="DL177" s="75">
        <v>0</v>
      </c>
    </row>
    <row r="178" spans="1:116" x14ac:dyDescent="0.35">
      <c r="A178" s="7"/>
      <c r="B178" s="8" t="s">
        <v>333</v>
      </c>
      <c r="C178" s="9" t="s">
        <v>334</v>
      </c>
      <c r="D178" s="10" t="s">
        <v>92</v>
      </c>
      <c r="E178" s="8" t="s">
        <v>183</v>
      </c>
      <c r="F178" s="10">
        <v>1101</v>
      </c>
      <c r="G178" s="10" t="s">
        <v>92</v>
      </c>
      <c r="H178" s="10" t="s">
        <v>41</v>
      </c>
      <c r="I178" s="11">
        <v>632</v>
      </c>
      <c r="J178" s="10">
        <v>4</v>
      </c>
      <c r="K178" s="10" t="s">
        <v>42</v>
      </c>
      <c r="L178" s="8" t="s">
        <v>206</v>
      </c>
      <c r="M178" s="12">
        <v>0.72</v>
      </c>
      <c r="N178" s="12">
        <f t="shared" si="2"/>
        <v>293.03999999999996</v>
      </c>
      <c r="O178" s="11">
        <v>636</v>
      </c>
      <c r="P178" s="11">
        <v>636</v>
      </c>
      <c r="Q178" s="11">
        <v>636</v>
      </c>
      <c r="R178" s="11">
        <v>632</v>
      </c>
      <c r="S178" s="11">
        <v>632</v>
      </c>
      <c r="T178" s="11">
        <v>632</v>
      </c>
      <c r="U178" s="11">
        <v>632</v>
      </c>
      <c r="V178" s="11">
        <v>632</v>
      </c>
      <c r="W178" s="11">
        <v>632</v>
      </c>
      <c r="X178" s="11">
        <v>632</v>
      </c>
      <c r="Y178" s="11">
        <v>632</v>
      </c>
      <c r="Z178" s="11">
        <v>632</v>
      </c>
      <c r="AA178" s="11">
        <v>632</v>
      </c>
      <c r="AB178" s="11">
        <v>632</v>
      </c>
      <c r="AC178" s="11">
        <v>632</v>
      </c>
      <c r="AD178" s="11">
        <v>632</v>
      </c>
      <c r="AE178" s="11">
        <v>632</v>
      </c>
      <c r="AF178" s="11">
        <v>632</v>
      </c>
      <c r="AG178" s="11">
        <v>632</v>
      </c>
      <c r="AH178" s="11">
        <v>632</v>
      </c>
      <c r="AI178" s="11">
        <v>632</v>
      </c>
      <c r="AJ178" s="11">
        <v>632</v>
      </c>
      <c r="AK178" s="11">
        <v>632</v>
      </c>
      <c r="AL178" s="11">
        <v>631</v>
      </c>
      <c r="AM178" s="11">
        <v>631</v>
      </c>
      <c r="AN178" s="72">
        <v>631</v>
      </c>
      <c r="AO178" s="72">
        <v>631</v>
      </c>
      <c r="AP178" s="72">
        <v>631</v>
      </c>
      <c r="AQ178" s="72">
        <v>631</v>
      </c>
      <c r="AR178" s="72">
        <v>631</v>
      </c>
      <c r="AS178" s="72">
        <v>411</v>
      </c>
      <c r="AT178" s="72">
        <v>411</v>
      </c>
      <c r="AU178" s="72">
        <v>411</v>
      </c>
      <c r="AV178" s="72">
        <v>411</v>
      </c>
      <c r="AW178" s="72">
        <v>411</v>
      </c>
      <c r="AX178" s="72">
        <v>411</v>
      </c>
      <c r="AY178" s="72">
        <v>411</v>
      </c>
      <c r="AZ178" s="72">
        <v>411</v>
      </c>
      <c r="BA178" s="72">
        <v>411</v>
      </c>
      <c r="BB178" s="72">
        <v>411</v>
      </c>
      <c r="BC178" s="72">
        <v>411</v>
      </c>
      <c r="BD178" s="72">
        <v>411</v>
      </c>
      <c r="BE178" s="72">
        <v>411</v>
      </c>
      <c r="BF178" s="72">
        <v>411</v>
      </c>
      <c r="BG178" s="72">
        <v>411</v>
      </c>
      <c r="BH178" s="72">
        <v>411</v>
      </c>
      <c r="BI178" s="72">
        <v>411</v>
      </c>
      <c r="BJ178" s="72">
        <v>411</v>
      </c>
      <c r="BK178" s="72">
        <v>411</v>
      </c>
      <c r="BL178" s="72">
        <v>411</v>
      </c>
      <c r="BM178" s="72">
        <v>411</v>
      </c>
      <c r="BN178" s="72">
        <v>411</v>
      </c>
      <c r="BO178" s="72">
        <v>411</v>
      </c>
      <c r="BP178" s="72">
        <v>411</v>
      </c>
      <c r="BQ178" s="72">
        <v>411</v>
      </c>
      <c r="BR178" s="72">
        <v>411</v>
      </c>
      <c r="BS178" s="72">
        <v>411</v>
      </c>
      <c r="BT178" s="72">
        <v>411</v>
      </c>
      <c r="BU178" s="72">
        <v>411</v>
      </c>
      <c r="BV178" s="72">
        <v>405</v>
      </c>
      <c r="BW178" s="72">
        <v>405</v>
      </c>
      <c r="BX178" s="72">
        <v>405</v>
      </c>
      <c r="BY178" s="72">
        <v>405</v>
      </c>
      <c r="BZ178" s="72">
        <v>405</v>
      </c>
      <c r="CA178" s="72">
        <v>405</v>
      </c>
      <c r="CB178" s="72">
        <v>405</v>
      </c>
      <c r="CC178" s="72">
        <v>405</v>
      </c>
      <c r="CD178" s="72">
        <v>405</v>
      </c>
      <c r="CE178" s="72">
        <v>405</v>
      </c>
      <c r="CF178" s="72">
        <v>408</v>
      </c>
      <c r="CG178" s="72">
        <v>408</v>
      </c>
      <c r="CH178" s="72">
        <v>408</v>
      </c>
      <c r="CI178" s="72">
        <v>408</v>
      </c>
      <c r="CJ178" s="72">
        <v>408</v>
      </c>
      <c r="CK178" s="72">
        <v>407</v>
      </c>
      <c r="CL178" s="72">
        <v>407</v>
      </c>
      <c r="CM178" s="72">
        <v>407</v>
      </c>
      <c r="CN178" s="72">
        <v>407</v>
      </c>
      <c r="CO178" s="72">
        <v>407</v>
      </c>
      <c r="CP178" s="72">
        <v>407</v>
      </c>
      <c r="CQ178" s="72">
        <v>407</v>
      </c>
      <c r="CR178" s="72">
        <v>407</v>
      </c>
      <c r="CS178" s="72">
        <v>407</v>
      </c>
      <c r="CT178" s="72">
        <v>407</v>
      </c>
      <c r="CU178" s="72">
        <v>407</v>
      </c>
      <c r="CV178" s="72">
        <v>407</v>
      </c>
      <c r="CW178" s="72">
        <v>407</v>
      </c>
      <c r="CX178" s="72">
        <v>407</v>
      </c>
      <c r="CY178" s="72">
        <v>407</v>
      </c>
      <c r="CZ178" s="72">
        <v>407</v>
      </c>
      <c r="DA178" s="72">
        <v>407</v>
      </c>
      <c r="DB178" s="72">
        <v>407</v>
      </c>
      <c r="DC178" s="72">
        <v>407</v>
      </c>
      <c r="DD178" s="72">
        <v>407</v>
      </c>
      <c r="DE178" s="72">
        <v>407</v>
      </c>
      <c r="DF178" s="72">
        <v>407</v>
      </c>
      <c r="DG178" s="72">
        <v>407</v>
      </c>
      <c r="DH178" s="72">
        <v>407</v>
      </c>
      <c r="DI178" s="72">
        <v>407</v>
      </c>
      <c r="DJ178" s="72">
        <v>407</v>
      </c>
      <c r="DK178" s="72">
        <v>407</v>
      </c>
      <c r="DL178" s="72">
        <v>407</v>
      </c>
    </row>
    <row r="179" spans="1:116" x14ac:dyDescent="0.35">
      <c r="A179" s="7"/>
      <c r="B179" s="26" t="s">
        <v>335</v>
      </c>
      <c r="C179" s="27" t="s">
        <v>336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>
        <v>0.72</v>
      </c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</row>
    <row r="180" spans="1:116" x14ac:dyDescent="0.35">
      <c r="A180" s="7"/>
      <c r="B180" s="26" t="s">
        <v>337</v>
      </c>
      <c r="C180" s="27" t="s">
        <v>338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54</v>
      </c>
      <c r="J180" s="10">
        <v>4</v>
      </c>
      <c r="K180" s="10" t="s">
        <v>42</v>
      </c>
      <c r="L180" s="8" t="s">
        <v>206</v>
      </c>
      <c r="M180" s="12">
        <v>1.26</v>
      </c>
      <c r="N180" s="12">
        <f t="shared" si="2"/>
        <v>37.799999999999997</v>
      </c>
      <c r="O180" s="29">
        <v>178</v>
      </c>
      <c r="P180" s="29">
        <v>178</v>
      </c>
      <c r="Q180" s="29">
        <v>178</v>
      </c>
      <c r="R180" s="29">
        <v>26</v>
      </c>
      <c r="S180" s="29">
        <v>54</v>
      </c>
      <c r="T180" s="29">
        <v>54</v>
      </c>
      <c r="U180" s="29">
        <v>54</v>
      </c>
      <c r="V180" s="29">
        <v>54</v>
      </c>
      <c r="W180" s="29">
        <v>54</v>
      </c>
      <c r="X180" s="29">
        <v>54</v>
      </c>
      <c r="Y180" s="29">
        <v>54</v>
      </c>
      <c r="Z180" s="29">
        <v>54</v>
      </c>
      <c r="AA180" s="29">
        <v>54</v>
      </c>
      <c r="AB180" s="29">
        <v>54</v>
      </c>
      <c r="AC180" s="29">
        <v>54</v>
      </c>
      <c r="AD180" s="29">
        <v>54</v>
      </c>
      <c r="AE180" s="29">
        <v>54</v>
      </c>
      <c r="AF180" s="29">
        <v>54</v>
      </c>
      <c r="AG180" s="29">
        <v>54</v>
      </c>
      <c r="AH180" s="29">
        <v>54</v>
      </c>
      <c r="AI180" s="29">
        <v>54</v>
      </c>
      <c r="AJ180" s="29">
        <v>54</v>
      </c>
      <c r="AK180" s="29">
        <v>54</v>
      </c>
      <c r="AL180" s="29">
        <v>53</v>
      </c>
      <c r="AM180" s="29">
        <v>53</v>
      </c>
      <c r="AN180" s="75">
        <v>53</v>
      </c>
      <c r="AO180" s="75">
        <v>53</v>
      </c>
      <c r="AP180" s="75">
        <v>53</v>
      </c>
      <c r="AQ180" s="75">
        <v>53</v>
      </c>
      <c r="AR180" s="75">
        <v>53</v>
      </c>
      <c r="AS180" s="75">
        <v>53</v>
      </c>
      <c r="AT180" s="75">
        <v>53</v>
      </c>
      <c r="AU180" s="75">
        <v>53</v>
      </c>
      <c r="AV180" s="75">
        <v>53</v>
      </c>
      <c r="AW180" s="75">
        <v>53</v>
      </c>
      <c r="AX180" s="75">
        <v>53</v>
      </c>
      <c r="AY180" s="75">
        <v>53</v>
      </c>
      <c r="AZ180" s="75">
        <v>53</v>
      </c>
      <c r="BA180" s="75">
        <v>53</v>
      </c>
      <c r="BB180" s="75">
        <v>53</v>
      </c>
      <c r="BC180" s="75">
        <v>53</v>
      </c>
      <c r="BD180" s="75">
        <v>53</v>
      </c>
      <c r="BE180" s="75">
        <v>53</v>
      </c>
      <c r="BF180" s="75">
        <v>53</v>
      </c>
      <c r="BG180" s="75">
        <v>53</v>
      </c>
      <c r="BH180" s="75">
        <v>53</v>
      </c>
      <c r="BI180" s="75">
        <v>53</v>
      </c>
      <c r="BJ180" s="75">
        <v>53</v>
      </c>
      <c r="BK180" s="75">
        <v>53</v>
      </c>
      <c r="BL180" s="75">
        <v>53</v>
      </c>
      <c r="BM180" s="75">
        <v>53</v>
      </c>
      <c r="BN180" s="75">
        <v>53</v>
      </c>
      <c r="BO180" s="75">
        <v>53</v>
      </c>
      <c r="BP180" s="75">
        <v>53</v>
      </c>
      <c r="BQ180" s="75">
        <v>53</v>
      </c>
      <c r="BR180" s="75">
        <v>53</v>
      </c>
      <c r="BS180" s="75">
        <v>53</v>
      </c>
      <c r="BT180" s="75">
        <v>53</v>
      </c>
      <c r="BU180" s="75">
        <v>53</v>
      </c>
      <c r="BV180" s="75">
        <v>47</v>
      </c>
      <c r="BW180" s="75">
        <v>27</v>
      </c>
      <c r="BX180" s="75">
        <v>27</v>
      </c>
      <c r="BY180" s="75">
        <v>27</v>
      </c>
      <c r="BZ180" s="75">
        <v>27</v>
      </c>
      <c r="CA180" s="75">
        <v>27</v>
      </c>
      <c r="CB180" s="75">
        <v>27</v>
      </c>
      <c r="CC180" s="75">
        <v>27</v>
      </c>
      <c r="CD180" s="75">
        <v>27</v>
      </c>
      <c r="CE180" s="75">
        <v>27</v>
      </c>
      <c r="CF180" s="75">
        <v>31</v>
      </c>
      <c r="CG180" s="75">
        <v>31</v>
      </c>
      <c r="CH180" s="75">
        <v>31</v>
      </c>
      <c r="CI180" s="75">
        <v>31</v>
      </c>
      <c r="CJ180" s="75">
        <v>31</v>
      </c>
      <c r="CK180" s="75">
        <v>30</v>
      </c>
      <c r="CL180" s="75">
        <v>30</v>
      </c>
      <c r="CM180" s="75">
        <v>30</v>
      </c>
      <c r="CN180" s="75">
        <v>30</v>
      </c>
      <c r="CO180" s="75">
        <v>30</v>
      </c>
      <c r="CP180" s="75">
        <v>30</v>
      </c>
      <c r="CQ180" s="75">
        <v>30</v>
      </c>
      <c r="CR180" s="75">
        <v>30</v>
      </c>
      <c r="CS180" s="75">
        <v>30</v>
      </c>
      <c r="CT180" s="75">
        <v>30</v>
      </c>
      <c r="CU180" s="75">
        <v>30</v>
      </c>
      <c r="CV180" s="75">
        <v>30</v>
      </c>
      <c r="CW180" s="75">
        <v>30</v>
      </c>
      <c r="CX180" s="75">
        <v>30</v>
      </c>
      <c r="CY180" s="75">
        <v>30</v>
      </c>
      <c r="CZ180" s="75">
        <v>30</v>
      </c>
      <c r="DA180" s="75">
        <v>30</v>
      </c>
      <c r="DB180" s="75">
        <v>30</v>
      </c>
      <c r="DC180" s="75">
        <v>30</v>
      </c>
      <c r="DD180" s="75">
        <v>30</v>
      </c>
      <c r="DE180" s="75">
        <v>30</v>
      </c>
      <c r="DF180" s="75">
        <v>30</v>
      </c>
      <c r="DG180" s="75">
        <v>30</v>
      </c>
      <c r="DH180" s="75">
        <v>30</v>
      </c>
      <c r="DI180" s="75">
        <v>30</v>
      </c>
      <c r="DJ180" s="75">
        <v>30</v>
      </c>
      <c r="DK180" s="75">
        <v>30</v>
      </c>
      <c r="DL180" s="75">
        <v>30</v>
      </c>
    </row>
    <row r="181" spans="1:116" x14ac:dyDescent="0.35">
      <c r="A181" s="7"/>
      <c r="B181" s="8" t="s">
        <v>339</v>
      </c>
      <c r="C181" s="9" t="s">
        <v>340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0</v>
      </c>
      <c r="J181" s="10"/>
      <c r="K181" s="10" t="s">
        <v>42</v>
      </c>
      <c r="L181" s="8"/>
      <c r="M181" s="12"/>
      <c r="N181" s="12">
        <f t="shared" si="2"/>
        <v>0</v>
      </c>
      <c r="O181" s="11">
        <v>0</v>
      </c>
      <c r="P181" s="11">
        <v>0</v>
      </c>
      <c r="Q181" s="11">
        <v>0</v>
      </c>
      <c r="R181" s="11">
        <v>0</v>
      </c>
      <c r="S181" s="11">
        <v>0</v>
      </c>
      <c r="T181" s="11">
        <v>0</v>
      </c>
      <c r="U181" s="11">
        <v>0</v>
      </c>
      <c r="V181" s="11">
        <v>0</v>
      </c>
      <c r="W181" s="11">
        <v>0</v>
      </c>
      <c r="X181" s="11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1">
        <v>0</v>
      </c>
      <c r="AF181" s="11">
        <v>0</v>
      </c>
      <c r="AG181" s="11">
        <v>0</v>
      </c>
      <c r="AH181" s="11">
        <v>0</v>
      </c>
      <c r="AI181" s="11">
        <v>0</v>
      </c>
      <c r="AJ181" s="11">
        <v>0</v>
      </c>
      <c r="AK181" s="11">
        <v>0</v>
      </c>
      <c r="AL181" s="11">
        <v>0</v>
      </c>
      <c r="AM181" s="11">
        <v>0</v>
      </c>
      <c r="AN181" s="72">
        <v>0</v>
      </c>
      <c r="AO181" s="72">
        <v>0</v>
      </c>
      <c r="AP181" s="72">
        <v>0</v>
      </c>
      <c r="AQ181" s="72">
        <v>0</v>
      </c>
      <c r="AR181" s="72">
        <v>0</v>
      </c>
      <c r="AS181" s="72">
        <v>0</v>
      </c>
      <c r="AT181" s="72">
        <v>0</v>
      </c>
      <c r="AU181" s="72">
        <v>0</v>
      </c>
      <c r="AV181" s="72">
        <v>0</v>
      </c>
      <c r="AW181" s="72">
        <v>0</v>
      </c>
      <c r="AX181" s="72">
        <v>0</v>
      </c>
      <c r="AY181" s="72">
        <v>0</v>
      </c>
      <c r="AZ181" s="72">
        <v>0</v>
      </c>
      <c r="BA181" s="72">
        <v>0</v>
      </c>
      <c r="BB181" s="72">
        <v>0</v>
      </c>
      <c r="BC181" s="72">
        <v>0</v>
      </c>
      <c r="BD181" s="72">
        <v>0</v>
      </c>
      <c r="BE181" s="72">
        <v>0</v>
      </c>
      <c r="BF181" s="72">
        <v>0</v>
      </c>
      <c r="BG181" s="72">
        <v>0</v>
      </c>
      <c r="BH181" s="72">
        <v>0</v>
      </c>
      <c r="BI181" s="72">
        <v>0</v>
      </c>
      <c r="BJ181" s="72">
        <v>0</v>
      </c>
      <c r="BK181" s="72">
        <v>0</v>
      </c>
      <c r="BL181" s="72">
        <v>0</v>
      </c>
      <c r="BM181" s="72">
        <v>0</v>
      </c>
      <c r="BN181" s="72">
        <v>0</v>
      </c>
      <c r="BO181" s="72">
        <v>0</v>
      </c>
      <c r="BP181" s="72">
        <v>0</v>
      </c>
      <c r="BQ181" s="72">
        <v>0</v>
      </c>
      <c r="BR181" s="72">
        <v>0</v>
      </c>
      <c r="BS181" s="72">
        <v>0</v>
      </c>
      <c r="BT181" s="72">
        <v>0</v>
      </c>
      <c r="BU181" s="72">
        <v>0</v>
      </c>
      <c r="BV181" s="72">
        <v>0</v>
      </c>
      <c r="BW181" s="72">
        <v>0</v>
      </c>
      <c r="BX181" s="72">
        <v>0</v>
      </c>
      <c r="BY181" s="72">
        <v>0</v>
      </c>
      <c r="BZ181" s="72">
        <v>0</v>
      </c>
      <c r="CA181" s="72">
        <v>0</v>
      </c>
      <c r="CB181" s="72">
        <v>0</v>
      </c>
      <c r="CC181" s="72">
        <v>0</v>
      </c>
      <c r="CD181" s="72">
        <v>0</v>
      </c>
      <c r="CE181" s="72">
        <v>0</v>
      </c>
      <c r="CF181" s="72">
        <v>0</v>
      </c>
      <c r="CG181" s="72">
        <v>0</v>
      </c>
      <c r="CH181" s="72">
        <v>0</v>
      </c>
      <c r="CI181" s="72">
        <v>0</v>
      </c>
      <c r="CJ181" s="72">
        <v>0</v>
      </c>
      <c r="CK181" s="72">
        <v>0</v>
      </c>
      <c r="CL181" s="72">
        <v>0</v>
      </c>
      <c r="CM181" s="72">
        <v>0</v>
      </c>
      <c r="CN181" s="72">
        <v>0</v>
      </c>
      <c r="CO181" s="72">
        <v>0</v>
      </c>
      <c r="CP181" s="72">
        <v>0</v>
      </c>
      <c r="CQ181" s="72">
        <v>0</v>
      </c>
      <c r="CR181" s="72">
        <v>0</v>
      </c>
      <c r="CS181" s="72">
        <v>0</v>
      </c>
      <c r="CT181" s="72">
        <v>0</v>
      </c>
      <c r="CU181" s="72">
        <v>0</v>
      </c>
      <c r="CV181" s="72">
        <v>0</v>
      </c>
      <c r="CW181" s="72">
        <v>0</v>
      </c>
      <c r="CX181" s="72">
        <v>0</v>
      </c>
      <c r="CY181" s="72">
        <v>0</v>
      </c>
      <c r="CZ181" s="72">
        <v>0</v>
      </c>
      <c r="DA181" s="72">
        <v>0</v>
      </c>
      <c r="DB181" s="72">
        <v>0</v>
      </c>
      <c r="DC181" s="72">
        <v>0</v>
      </c>
      <c r="DD181" s="72">
        <v>0</v>
      </c>
      <c r="DE181" s="72">
        <v>0</v>
      </c>
      <c r="DF181" s="72">
        <v>0</v>
      </c>
      <c r="DG181" s="72">
        <v>0</v>
      </c>
      <c r="DH181" s="72">
        <v>0</v>
      </c>
      <c r="DI181" s="72">
        <v>0</v>
      </c>
      <c r="DJ181" s="72">
        <v>0</v>
      </c>
      <c r="DK181" s="72">
        <v>0</v>
      </c>
      <c r="DL181" s="72">
        <v>0</v>
      </c>
    </row>
    <row r="182" spans="1:116" x14ac:dyDescent="0.35">
      <c r="A182" s="7"/>
      <c r="B182" s="26" t="s">
        <v>341</v>
      </c>
      <c r="C182" s="27" t="s">
        <v>342</v>
      </c>
      <c r="D182" s="28" t="s">
        <v>92</v>
      </c>
      <c r="E182" s="26" t="s">
        <v>1205</v>
      </c>
      <c r="F182" s="10">
        <v>1101</v>
      </c>
      <c r="G182" s="28" t="s">
        <v>92</v>
      </c>
      <c r="H182" s="28" t="s">
        <v>41</v>
      </c>
      <c r="I182" s="29">
        <v>1434</v>
      </c>
      <c r="J182" s="10"/>
      <c r="K182" s="10" t="s">
        <v>42</v>
      </c>
      <c r="L182" s="8"/>
      <c r="M182" s="12">
        <v>6.3600000000000004E-2</v>
      </c>
      <c r="N182" s="12">
        <f t="shared" si="2"/>
        <v>0</v>
      </c>
      <c r="O182" s="29">
        <v>3498</v>
      </c>
      <c r="P182" s="29">
        <v>3498</v>
      </c>
      <c r="Q182" s="29">
        <v>3498</v>
      </c>
      <c r="R182" s="29">
        <v>3498</v>
      </c>
      <c r="S182" s="29">
        <v>3498</v>
      </c>
      <c r="T182" s="29">
        <v>3364</v>
      </c>
      <c r="U182" s="29">
        <v>3316</v>
      </c>
      <c r="V182" s="29">
        <v>3190</v>
      </c>
      <c r="W182" s="29">
        <v>3190</v>
      </c>
      <c r="X182" s="29">
        <v>3187</v>
      </c>
      <c r="Y182" s="29">
        <v>3187</v>
      </c>
      <c r="Z182" s="29">
        <v>3157</v>
      </c>
      <c r="AA182" s="29">
        <v>3157</v>
      </c>
      <c r="AB182" s="29">
        <v>2142</v>
      </c>
      <c r="AC182" s="29">
        <v>1142</v>
      </c>
      <c r="AD182" s="29">
        <v>1142</v>
      </c>
      <c r="AE182" s="29">
        <v>1142</v>
      </c>
      <c r="AF182" s="29">
        <v>942</v>
      </c>
      <c r="AG182" s="29">
        <v>942</v>
      </c>
      <c r="AH182" s="29">
        <v>942</v>
      </c>
      <c r="AI182" s="29">
        <v>942</v>
      </c>
      <c r="AJ182" s="29">
        <v>942</v>
      </c>
      <c r="AK182" s="29">
        <v>942</v>
      </c>
      <c r="AL182" s="29">
        <v>871</v>
      </c>
      <c r="AM182" s="29">
        <v>871</v>
      </c>
      <c r="AN182" s="29">
        <v>871</v>
      </c>
      <c r="AO182" s="29">
        <v>871</v>
      </c>
      <c r="AP182" s="75">
        <v>844</v>
      </c>
      <c r="AQ182" s="75">
        <v>844</v>
      </c>
      <c r="AR182" s="75">
        <v>744</v>
      </c>
      <c r="AS182" s="75">
        <v>744</v>
      </c>
      <c r="AT182" s="75">
        <v>744</v>
      </c>
      <c r="AU182" s="75">
        <v>229</v>
      </c>
      <c r="AV182" s="75">
        <v>229</v>
      </c>
      <c r="AW182" s="75">
        <v>213</v>
      </c>
      <c r="AX182" s="75">
        <v>163</v>
      </c>
      <c r="AY182" s="75">
        <v>163</v>
      </c>
      <c r="AZ182" s="75">
        <v>163</v>
      </c>
      <c r="BA182" s="75">
        <v>163</v>
      </c>
      <c r="BB182" s="75">
        <v>139</v>
      </c>
      <c r="BC182" s="75">
        <v>139</v>
      </c>
      <c r="BD182" s="75">
        <v>139</v>
      </c>
      <c r="BE182" s="75">
        <v>139</v>
      </c>
      <c r="BF182" s="75">
        <v>139</v>
      </c>
      <c r="BG182" s="75">
        <v>139</v>
      </c>
      <c r="BH182" s="75">
        <v>139</v>
      </c>
      <c r="BI182" s="75">
        <v>139</v>
      </c>
      <c r="BJ182" s="75">
        <v>139</v>
      </c>
      <c r="BK182" s="75">
        <v>139</v>
      </c>
      <c r="BL182" s="75">
        <v>139</v>
      </c>
      <c r="BM182" s="75">
        <v>267</v>
      </c>
      <c r="BN182" s="75">
        <v>267</v>
      </c>
      <c r="BO182" s="75">
        <v>267</v>
      </c>
      <c r="BP182" s="75">
        <v>237</v>
      </c>
      <c r="BQ182" s="75">
        <v>137</v>
      </c>
      <c r="BR182" s="75">
        <v>100</v>
      </c>
      <c r="BS182" s="75">
        <v>30</v>
      </c>
      <c r="BT182" s="75">
        <v>30</v>
      </c>
      <c r="BU182" s="75">
        <v>30</v>
      </c>
      <c r="BV182" s="75">
        <v>30</v>
      </c>
      <c r="BW182" s="75">
        <v>30</v>
      </c>
      <c r="BX182" s="75">
        <v>30</v>
      </c>
      <c r="BY182" s="75">
        <v>30</v>
      </c>
      <c r="BZ182" s="75">
        <v>30</v>
      </c>
      <c r="CA182" s="75">
        <v>30</v>
      </c>
      <c r="CB182" s="75">
        <v>30</v>
      </c>
      <c r="CC182" s="75">
        <v>30</v>
      </c>
      <c r="CD182" s="75">
        <v>30</v>
      </c>
      <c r="CE182" s="75">
        <v>30</v>
      </c>
      <c r="CF182" s="75">
        <v>30</v>
      </c>
      <c r="CG182" s="75">
        <v>30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  <c r="DK182" s="75">
        <v>0</v>
      </c>
      <c r="DL182" s="75">
        <v>0</v>
      </c>
    </row>
    <row r="183" spans="1:116" x14ac:dyDescent="0.35">
      <c r="A183" s="7"/>
      <c r="B183" s="8" t="s">
        <v>343</v>
      </c>
      <c r="C183" s="9" t="s">
        <v>344</v>
      </c>
      <c r="D183" s="10" t="s">
        <v>92</v>
      </c>
      <c r="E183" s="8" t="s">
        <v>1205</v>
      </c>
      <c r="F183" s="10">
        <v>1101</v>
      </c>
      <c r="G183" s="10" t="s">
        <v>92</v>
      </c>
      <c r="H183" s="10" t="s">
        <v>41</v>
      </c>
      <c r="I183" s="11">
        <v>2966</v>
      </c>
      <c r="J183" s="10"/>
      <c r="K183" s="10" t="s">
        <v>42</v>
      </c>
      <c r="L183" s="8"/>
      <c r="M183" s="12">
        <v>0.3</v>
      </c>
      <c r="N183" s="12">
        <f t="shared" si="2"/>
        <v>575.4</v>
      </c>
      <c r="O183" s="11">
        <v>3966</v>
      </c>
      <c r="P183" s="11">
        <v>3966</v>
      </c>
      <c r="Q183" s="11">
        <v>3966</v>
      </c>
      <c r="R183" s="11">
        <v>3966</v>
      </c>
      <c r="S183" s="11">
        <v>3966</v>
      </c>
      <c r="T183" s="11">
        <v>3966</v>
      </c>
      <c r="U183" s="11">
        <v>3966</v>
      </c>
      <c r="V183" s="11">
        <v>3966</v>
      </c>
      <c r="W183" s="11">
        <v>3966</v>
      </c>
      <c r="X183" s="11">
        <v>3966</v>
      </c>
      <c r="Y183" s="11">
        <v>3966</v>
      </c>
      <c r="Z183" s="11">
        <v>3966</v>
      </c>
      <c r="AA183" s="11">
        <v>3966</v>
      </c>
      <c r="AB183" s="11">
        <v>3966</v>
      </c>
      <c r="AC183" s="11">
        <v>3966</v>
      </c>
      <c r="AD183" s="11">
        <v>3966</v>
      </c>
      <c r="AE183" s="11">
        <v>3966</v>
      </c>
      <c r="AF183" s="11">
        <v>3966</v>
      </c>
      <c r="AG183" s="11">
        <v>3966</v>
      </c>
      <c r="AH183" s="11">
        <v>3966</v>
      </c>
      <c r="AI183" s="11">
        <v>3966</v>
      </c>
      <c r="AJ183" s="11">
        <v>2966</v>
      </c>
      <c r="AK183" s="11">
        <v>2966</v>
      </c>
      <c r="AL183" s="11">
        <v>2965</v>
      </c>
      <c r="AM183" s="11">
        <v>2965</v>
      </c>
      <c r="AN183" s="72">
        <v>2965</v>
      </c>
      <c r="AO183" s="72">
        <v>2965</v>
      </c>
      <c r="AP183" s="72">
        <v>2965</v>
      </c>
      <c r="AQ183" s="72">
        <v>2965</v>
      </c>
      <c r="AR183" s="72">
        <v>1965</v>
      </c>
      <c r="AS183" s="72">
        <v>1965</v>
      </c>
      <c r="AT183" s="72">
        <v>1965</v>
      </c>
      <c r="AU183" s="72">
        <v>1965</v>
      </c>
      <c r="AV183" s="72">
        <v>1965</v>
      </c>
      <c r="AW183" s="72">
        <v>1965</v>
      </c>
      <c r="AX183" s="72">
        <v>1965</v>
      </c>
      <c r="AY183" s="72">
        <v>1965</v>
      </c>
      <c r="AZ183" s="72">
        <v>1965</v>
      </c>
      <c r="BA183" s="72">
        <v>1965</v>
      </c>
      <c r="BB183" s="72">
        <v>1965</v>
      </c>
      <c r="BC183" s="72">
        <v>1965</v>
      </c>
      <c r="BD183" s="72">
        <v>1965</v>
      </c>
      <c r="BE183" s="72">
        <v>1965</v>
      </c>
      <c r="BF183" s="72">
        <v>1965</v>
      </c>
      <c r="BG183" s="72">
        <v>1965</v>
      </c>
      <c r="BH183" s="72">
        <v>1965</v>
      </c>
      <c r="BI183" s="72">
        <v>1965</v>
      </c>
      <c r="BJ183" s="72">
        <v>1965</v>
      </c>
      <c r="BK183" s="72">
        <v>1965</v>
      </c>
      <c r="BL183" s="72">
        <v>1965</v>
      </c>
      <c r="BM183" s="72">
        <v>1965</v>
      </c>
      <c r="BN183" s="72">
        <v>1965</v>
      </c>
      <c r="BO183" s="72">
        <v>1965</v>
      </c>
      <c r="BP183" s="72">
        <v>1965</v>
      </c>
      <c r="BQ183" s="72">
        <v>1965</v>
      </c>
      <c r="BR183" s="72">
        <v>1965</v>
      </c>
      <c r="BS183" s="72">
        <v>1965</v>
      </c>
      <c r="BT183" s="72">
        <v>1965</v>
      </c>
      <c r="BU183" s="72">
        <v>1965</v>
      </c>
      <c r="BV183" s="72">
        <v>1965</v>
      </c>
      <c r="BW183" s="72">
        <v>1965</v>
      </c>
      <c r="BX183" s="72">
        <v>1965</v>
      </c>
      <c r="BY183" s="72">
        <v>1965</v>
      </c>
      <c r="BZ183" s="72">
        <v>1965</v>
      </c>
      <c r="CA183" s="72">
        <v>1865</v>
      </c>
      <c r="CB183" s="72">
        <v>1865</v>
      </c>
      <c r="CC183" s="72">
        <v>1865</v>
      </c>
      <c r="CD183" s="72">
        <v>1865</v>
      </c>
      <c r="CE183" s="72">
        <v>1865</v>
      </c>
      <c r="CF183" s="72">
        <v>1865</v>
      </c>
      <c r="CG183" s="72">
        <v>1865</v>
      </c>
      <c r="CH183" s="72">
        <v>1865</v>
      </c>
      <c r="CI183" s="72">
        <v>1865</v>
      </c>
      <c r="CJ183" s="72">
        <v>1865</v>
      </c>
      <c r="CK183" s="72">
        <v>1865</v>
      </c>
      <c r="CL183" s="72">
        <v>1865</v>
      </c>
      <c r="CM183" s="72">
        <v>1865</v>
      </c>
      <c r="CN183" s="72">
        <v>1958</v>
      </c>
      <c r="CO183" s="72">
        <v>1958</v>
      </c>
      <c r="CP183" s="72">
        <v>1958</v>
      </c>
      <c r="CQ183" s="72">
        <v>1958</v>
      </c>
      <c r="CR183" s="72">
        <v>1958</v>
      </c>
      <c r="CS183" s="72">
        <v>1958</v>
      </c>
      <c r="CT183" s="72">
        <v>1958</v>
      </c>
      <c r="CU183" s="72">
        <v>1958</v>
      </c>
      <c r="CV183" s="72">
        <v>1958</v>
      </c>
      <c r="CW183" s="72">
        <v>1958</v>
      </c>
      <c r="CX183" s="72">
        <v>1958</v>
      </c>
      <c r="CY183" s="72">
        <v>1958</v>
      </c>
      <c r="CZ183" s="72">
        <v>1958</v>
      </c>
      <c r="DA183" s="72">
        <v>1958</v>
      </c>
      <c r="DB183" s="72">
        <v>1958</v>
      </c>
      <c r="DC183" s="72">
        <v>1958</v>
      </c>
      <c r="DD183" s="72">
        <v>1928</v>
      </c>
      <c r="DE183" s="72">
        <v>1928</v>
      </c>
      <c r="DF183" s="72">
        <v>1928</v>
      </c>
      <c r="DG183" s="72">
        <v>1928</v>
      </c>
      <c r="DH183" s="72">
        <v>1918</v>
      </c>
      <c r="DI183" s="72">
        <v>1918</v>
      </c>
      <c r="DJ183" s="72">
        <v>1918</v>
      </c>
      <c r="DK183" s="72">
        <v>1918</v>
      </c>
      <c r="DL183" s="72">
        <v>1918</v>
      </c>
    </row>
    <row r="184" spans="1:116" x14ac:dyDescent="0.35">
      <c r="A184" s="7"/>
      <c r="B184" s="8" t="s">
        <v>345</v>
      </c>
      <c r="C184" s="9" t="s">
        <v>346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8042</v>
      </c>
      <c r="J184" s="10"/>
      <c r="K184" s="10" t="s">
        <v>42</v>
      </c>
      <c r="L184" s="8"/>
      <c r="M184" s="12">
        <v>0.3</v>
      </c>
      <c r="N184" s="12">
        <f t="shared" si="2"/>
        <v>2194.7999999999997</v>
      </c>
      <c r="O184" s="11">
        <v>8389</v>
      </c>
      <c r="P184" s="11">
        <v>8389</v>
      </c>
      <c r="Q184" s="11">
        <v>8389</v>
      </c>
      <c r="R184" s="11">
        <v>8089</v>
      </c>
      <c r="S184" s="11">
        <v>8089</v>
      </c>
      <c r="T184" s="11">
        <v>8089</v>
      </c>
      <c r="U184" s="11">
        <v>8081</v>
      </c>
      <c r="V184" s="11">
        <v>8081</v>
      </c>
      <c r="W184" s="11">
        <v>8081</v>
      </c>
      <c r="X184" s="11">
        <v>8081</v>
      </c>
      <c r="Y184" s="11">
        <v>8081</v>
      </c>
      <c r="Z184" s="11">
        <v>8081</v>
      </c>
      <c r="AA184" s="11">
        <v>8081</v>
      </c>
      <c r="AB184" s="11">
        <v>8081</v>
      </c>
      <c r="AC184" s="11">
        <v>8042</v>
      </c>
      <c r="AD184" s="11">
        <v>8042</v>
      </c>
      <c r="AE184" s="11">
        <v>8042</v>
      </c>
      <c r="AF184" s="11">
        <v>8042</v>
      </c>
      <c r="AG184" s="11">
        <v>8042</v>
      </c>
      <c r="AH184" s="11">
        <v>8042</v>
      </c>
      <c r="AI184" s="11">
        <v>8042</v>
      </c>
      <c r="AJ184" s="11">
        <v>8042</v>
      </c>
      <c r="AK184" s="11">
        <v>8042</v>
      </c>
      <c r="AL184" s="11">
        <v>8041</v>
      </c>
      <c r="AM184" s="11">
        <v>8041</v>
      </c>
      <c r="AN184" s="72">
        <v>8041</v>
      </c>
      <c r="AO184" s="72">
        <v>8041</v>
      </c>
      <c r="AP184" s="72">
        <v>8041</v>
      </c>
      <c r="AQ184" s="72">
        <v>8041</v>
      </c>
      <c r="AR184" s="72">
        <v>8041</v>
      </c>
      <c r="AS184" s="72">
        <v>8041</v>
      </c>
      <c r="AT184" s="72">
        <v>8041</v>
      </c>
      <c r="AU184" s="72">
        <v>8741</v>
      </c>
      <c r="AV184" s="72">
        <v>8741</v>
      </c>
      <c r="AW184" s="72">
        <v>8741</v>
      </c>
      <c r="AX184" s="72">
        <v>8741</v>
      </c>
      <c r="AY184" s="72">
        <v>8741</v>
      </c>
      <c r="AZ184" s="72">
        <v>8741</v>
      </c>
      <c r="BA184" s="72">
        <v>8741</v>
      </c>
      <c r="BB184" s="72">
        <v>8741</v>
      </c>
      <c r="BC184" s="72">
        <v>8741</v>
      </c>
      <c r="BD184" s="72">
        <v>8741</v>
      </c>
      <c r="BE184" s="72">
        <v>8741</v>
      </c>
      <c r="BF184" s="72">
        <v>8741</v>
      </c>
      <c r="BG184" s="72">
        <v>8741</v>
      </c>
      <c r="BH184" s="72">
        <v>8641</v>
      </c>
      <c r="BI184" s="72">
        <v>8641</v>
      </c>
      <c r="BJ184" s="72">
        <v>8641</v>
      </c>
      <c r="BK184" s="72">
        <v>8633</v>
      </c>
      <c r="BL184" s="72">
        <v>8633</v>
      </c>
      <c r="BM184" s="72">
        <v>8633</v>
      </c>
      <c r="BN184" s="72">
        <v>8633</v>
      </c>
      <c r="BO184" s="72">
        <v>8513</v>
      </c>
      <c r="BP184" s="72">
        <v>8410</v>
      </c>
      <c r="BQ184" s="72">
        <v>8453</v>
      </c>
      <c r="BR184" s="72">
        <v>8503</v>
      </c>
      <c r="BS184" s="72">
        <v>8503</v>
      </c>
      <c r="BT184" s="72">
        <v>8503</v>
      </c>
      <c r="BU184" s="72">
        <v>8503</v>
      </c>
      <c r="BV184" s="72">
        <v>8503</v>
      </c>
      <c r="BW184" s="72">
        <v>8503</v>
      </c>
      <c r="BX184" s="72">
        <v>8523</v>
      </c>
      <c r="BY184" s="72">
        <v>8523</v>
      </c>
      <c r="BZ184" s="72">
        <v>8523</v>
      </c>
      <c r="CA184" s="72">
        <v>8523</v>
      </c>
      <c r="CB184" s="72">
        <v>8523</v>
      </c>
      <c r="CC184" s="72">
        <v>8523</v>
      </c>
      <c r="CD184" s="72">
        <v>8523</v>
      </c>
      <c r="CE184" s="72">
        <v>8523</v>
      </c>
      <c r="CF184" s="72">
        <v>8523</v>
      </c>
      <c r="CG184" s="72">
        <v>8323</v>
      </c>
      <c r="CH184" s="72">
        <v>8323</v>
      </c>
      <c r="CI184" s="72">
        <v>7323</v>
      </c>
      <c r="CJ184" s="72">
        <v>7323</v>
      </c>
      <c r="CK184" s="72">
        <v>7322</v>
      </c>
      <c r="CL184" s="72">
        <v>7322</v>
      </c>
      <c r="CM184" s="72">
        <v>7322</v>
      </c>
      <c r="CN184" s="72">
        <v>7322</v>
      </c>
      <c r="CO184" s="72">
        <v>7322</v>
      </c>
      <c r="CP184" s="72">
        <v>7322</v>
      </c>
      <c r="CQ184" s="72">
        <v>7322</v>
      </c>
      <c r="CR184" s="72">
        <v>7322</v>
      </c>
      <c r="CS184" s="72">
        <v>7322</v>
      </c>
      <c r="CT184" s="72">
        <v>7322</v>
      </c>
      <c r="CU184" s="72">
        <v>7322</v>
      </c>
      <c r="CV184" s="72">
        <v>7316</v>
      </c>
      <c r="CW184" s="72">
        <v>7316</v>
      </c>
      <c r="CX184" s="72">
        <v>7316</v>
      </c>
      <c r="CY184" s="72">
        <v>7316</v>
      </c>
      <c r="CZ184" s="72">
        <v>7316</v>
      </c>
      <c r="DA184" s="72">
        <v>7316</v>
      </c>
      <c r="DB184" s="72">
        <v>7316</v>
      </c>
      <c r="DC184" s="72">
        <v>7316</v>
      </c>
      <c r="DD184" s="72">
        <v>7316</v>
      </c>
      <c r="DE184" s="72">
        <v>7316</v>
      </c>
      <c r="DF184" s="72">
        <v>7316</v>
      </c>
      <c r="DG184" s="72">
        <v>7316</v>
      </c>
      <c r="DH184" s="72">
        <v>7316</v>
      </c>
      <c r="DI184" s="72">
        <v>7316</v>
      </c>
      <c r="DJ184" s="72">
        <v>7316</v>
      </c>
      <c r="DK184" s="72">
        <v>7316</v>
      </c>
      <c r="DL184" s="72">
        <v>7316</v>
      </c>
    </row>
    <row r="185" spans="1:116" x14ac:dyDescent="0.35">
      <c r="A185" s="7"/>
      <c r="B185" s="8" t="s">
        <v>347</v>
      </c>
      <c r="C185" s="9" t="s">
        <v>348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89</v>
      </c>
      <c r="J185" s="10"/>
      <c r="K185" s="10" t="s">
        <v>42</v>
      </c>
      <c r="L185" s="31"/>
      <c r="M185" s="12">
        <v>3</v>
      </c>
      <c r="N185" s="12">
        <f t="shared" si="2"/>
        <v>261</v>
      </c>
      <c r="O185" s="11">
        <v>89</v>
      </c>
      <c r="P185" s="11">
        <v>89</v>
      </c>
      <c r="Q185" s="11">
        <v>89</v>
      </c>
      <c r="R185" s="11">
        <v>89</v>
      </c>
      <c r="S185" s="11">
        <v>89</v>
      </c>
      <c r="T185" s="11">
        <v>89</v>
      </c>
      <c r="U185" s="11">
        <v>89</v>
      </c>
      <c r="V185" s="11">
        <v>89</v>
      </c>
      <c r="W185" s="11">
        <v>89</v>
      </c>
      <c r="X185" s="11">
        <v>89</v>
      </c>
      <c r="Y185" s="11">
        <v>89</v>
      </c>
      <c r="Z185" s="11">
        <v>89</v>
      </c>
      <c r="AA185" s="11">
        <v>89</v>
      </c>
      <c r="AB185" s="11">
        <v>89</v>
      </c>
      <c r="AC185" s="11">
        <v>89</v>
      </c>
      <c r="AD185" s="11">
        <v>89</v>
      </c>
      <c r="AE185" s="11">
        <v>89</v>
      </c>
      <c r="AF185" s="11">
        <v>89</v>
      </c>
      <c r="AG185" s="11">
        <v>89</v>
      </c>
      <c r="AH185" s="11">
        <v>89</v>
      </c>
      <c r="AI185" s="11">
        <v>89</v>
      </c>
      <c r="AJ185" s="11">
        <v>89</v>
      </c>
      <c r="AK185" s="11">
        <v>89</v>
      </c>
      <c r="AL185" s="11">
        <v>88</v>
      </c>
      <c r="AM185" s="11">
        <v>88</v>
      </c>
      <c r="AN185" s="72">
        <v>88</v>
      </c>
      <c r="AO185" s="72">
        <v>88</v>
      </c>
      <c r="AP185" s="72">
        <v>88</v>
      </c>
      <c r="AQ185" s="72">
        <v>88</v>
      </c>
      <c r="AR185" s="72">
        <v>88</v>
      </c>
      <c r="AS185" s="72">
        <v>88</v>
      </c>
      <c r="AT185" s="72">
        <v>88</v>
      </c>
      <c r="AU185" s="72">
        <v>88</v>
      </c>
      <c r="AV185" s="72">
        <v>88</v>
      </c>
      <c r="AW185" s="72">
        <v>88</v>
      </c>
      <c r="AX185" s="72">
        <v>88</v>
      </c>
      <c r="AY185" s="72">
        <v>88</v>
      </c>
      <c r="AZ185" s="72">
        <v>88</v>
      </c>
      <c r="BA185" s="72">
        <v>88</v>
      </c>
      <c r="BB185" s="72">
        <v>88</v>
      </c>
      <c r="BC185" s="72">
        <v>88</v>
      </c>
      <c r="BD185" s="72">
        <v>88</v>
      </c>
      <c r="BE185" s="72">
        <v>88</v>
      </c>
      <c r="BF185" s="72">
        <v>88</v>
      </c>
      <c r="BG185" s="72">
        <v>88</v>
      </c>
      <c r="BH185" s="72">
        <v>88</v>
      </c>
      <c r="BI185" s="72">
        <v>88</v>
      </c>
      <c r="BJ185" s="72">
        <v>88</v>
      </c>
      <c r="BK185" s="72">
        <v>88</v>
      </c>
      <c r="BL185" s="72">
        <v>88</v>
      </c>
      <c r="BM185" s="72">
        <v>88</v>
      </c>
      <c r="BN185" s="72">
        <v>88</v>
      </c>
      <c r="BO185" s="72">
        <v>88</v>
      </c>
      <c r="BP185" s="72">
        <v>88</v>
      </c>
      <c r="BQ185" s="72">
        <v>88</v>
      </c>
      <c r="BR185" s="72">
        <v>88</v>
      </c>
      <c r="BS185" s="72">
        <v>88</v>
      </c>
      <c r="BT185" s="72">
        <v>88</v>
      </c>
      <c r="BU185" s="72">
        <v>88</v>
      </c>
      <c r="BV185" s="72">
        <v>88</v>
      </c>
      <c r="BW185" s="72">
        <v>88</v>
      </c>
      <c r="BX185" s="72">
        <v>88</v>
      </c>
      <c r="BY185" s="72">
        <v>88</v>
      </c>
      <c r="BZ185" s="72">
        <v>88</v>
      </c>
      <c r="CA185" s="72">
        <v>88</v>
      </c>
      <c r="CB185" s="72">
        <v>88</v>
      </c>
      <c r="CC185" s="72">
        <v>88</v>
      </c>
      <c r="CD185" s="72">
        <v>88</v>
      </c>
      <c r="CE185" s="72">
        <v>88</v>
      </c>
      <c r="CF185" s="72">
        <v>88</v>
      </c>
      <c r="CG185" s="72">
        <v>88</v>
      </c>
      <c r="CH185" s="72">
        <v>88</v>
      </c>
      <c r="CI185" s="72">
        <v>88</v>
      </c>
      <c r="CJ185" s="72">
        <v>88</v>
      </c>
      <c r="CK185" s="72">
        <v>87</v>
      </c>
      <c r="CL185" s="72">
        <v>87</v>
      </c>
      <c r="CM185" s="72">
        <v>87</v>
      </c>
      <c r="CN185" s="72">
        <v>87</v>
      </c>
      <c r="CO185" s="72">
        <v>87</v>
      </c>
      <c r="CP185" s="72">
        <v>87</v>
      </c>
      <c r="CQ185" s="72">
        <v>87</v>
      </c>
      <c r="CR185" s="72">
        <v>87</v>
      </c>
      <c r="CS185" s="72">
        <v>87</v>
      </c>
      <c r="CT185" s="72">
        <v>87</v>
      </c>
      <c r="CU185" s="72">
        <v>87</v>
      </c>
      <c r="CV185" s="72">
        <v>87</v>
      </c>
      <c r="CW185" s="72">
        <v>87</v>
      </c>
      <c r="CX185" s="72">
        <v>87</v>
      </c>
      <c r="CY185" s="72">
        <v>87</v>
      </c>
      <c r="CZ185" s="72">
        <v>87</v>
      </c>
      <c r="DA185" s="72">
        <v>87</v>
      </c>
      <c r="DB185" s="72">
        <v>87</v>
      </c>
      <c r="DC185" s="72">
        <v>87</v>
      </c>
      <c r="DD185" s="72">
        <v>87</v>
      </c>
      <c r="DE185" s="72">
        <v>87</v>
      </c>
      <c r="DF185" s="72">
        <v>87</v>
      </c>
      <c r="DG185" s="72">
        <v>87</v>
      </c>
      <c r="DH185" s="72">
        <v>87</v>
      </c>
      <c r="DI185" s="72">
        <v>87</v>
      </c>
      <c r="DJ185" s="72">
        <v>87</v>
      </c>
      <c r="DK185" s="72">
        <v>87</v>
      </c>
      <c r="DL185" s="72">
        <v>87</v>
      </c>
    </row>
    <row r="186" spans="1:116" x14ac:dyDescent="0.35">
      <c r="A186" s="7"/>
      <c r="B186" s="8" t="s">
        <v>349</v>
      </c>
      <c r="C186" s="9" t="s">
        <v>350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10</v>
      </c>
      <c r="J186" s="10"/>
      <c r="K186" s="10" t="s">
        <v>42</v>
      </c>
      <c r="L186" s="8"/>
      <c r="M186" s="12">
        <v>31.8</v>
      </c>
      <c r="N186" s="12">
        <f t="shared" si="2"/>
        <v>318</v>
      </c>
      <c r="O186" s="11">
        <v>10</v>
      </c>
      <c r="P186" s="11">
        <v>10</v>
      </c>
      <c r="Q186" s="11">
        <v>10</v>
      </c>
      <c r="R186" s="11">
        <v>10</v>
      </c>
      <c r="S186" s="11">
        <v>10</v>
      </c>
      <c r="T186" s="11">
        <v>10</v>
      </c>
      <c r="U186" s="11">
        <v>10</v>
      </c>
      <c r="V186" s="11">
        <v>10</v>
      </c>
      <c r="W186" s="11">
        <v>10</v>
      </c>
      <c r="X186" s="11">
        <v>10</v>
      </c>
      <c r="Y186" s="11">
        <v>10</v>
      </c>
      <c r="Z186" s="11">
        <v>10</v>
      </c>
      <c r="AA186" s="11">
        <v>10</v>
      </c>
      <c r="AB186" s="11">
        <v>10</v>
      </c>
      <c r="AC186" s="11">
        <v>10</v>
      </c>
      <c r="AD186" s="11">
        <v>10</v>
      </c>
      <c r="AE186" s="11">
        <v>10</v>
      </c>
      <c r="AF186" s="11">
        <v>10</v>
      </c>
      <c r="AG186" s="11">
        <v>10</v>
      </c>
      <c r="AH186" s="11">
        <v>10</v>
      </c>
      <c r="AI186" s="11">
        <v>10</v>
      </c>
      <c r="AJ186" s="11">
        <v>10</v>
      </c>
      <c r="AK186" s="11">
        <v>10</v>
      </c>
      <c r="AL186" s="11">
        <v>10</v>
      </c>
      <c r="AM186" s="11">
        <v>10</v>
      </c>
      <c r="AN186" s="72">
        <v>10</v>
      </c>
      <c r="AO186" s="72">
        <v>10</v>
      </c>
      <c r="AP186" s="72">
        <v>10</v>
      </c>
      <c r="AQ186" s="72">
        <v>10</v>
      </c>
      <c r="AR186" s="72">
        <v>10</v>
      </c>
      <c r="AS186" s="72">
        <v>10</v>
      </c>
      <c r="AT186" s="72">
        <v>10</v>
      </c>
      <c r="AU186" s="72">
        <v>10</v>
      </c>
      <c r="AV186" s="72">
        <v>10</v>
      </c>
      <c r="AW186" s="72">
        <v>10</v>
      </c>
      <c r="AX186" s="72">
        <v>10</v>
      </c>
      <c r="AY186" s="72">
        <v>10</v>
      </c>
      <c r="AZ186" s="72">
        <v>10</v>
      </c>
      <c r="BA186" s="72">
        <v>10</v>
      </c>
      <c r="BB186" s="72">
        <v>10</v>
      </c>
      <c r="BC186" s="72">
        <v>10</v>
      </c>
      <c r="BD186" s="72">
        <v>10</v>
      </c>
      <c r="BE186" s="72">
        <v>10</v>
      </c>
      <c r="BF186" s="72">
        <v>10</v>
      </c>
      <c r="BG186" s="72">
        <v>10</v>
      </c>
      <c r="BH186" s="72">
        <v>10</v>
      </c>
      <c r="BI186" s="72">
        <v>10</v>
      </c>
      <c r="BJ186" s="72">
        <v>10</v>
      </c>
      <c r="BK186" s="72">
        <v>10</v>
      </c>
      <c r="BL186" s="72">
        <v>10</v>
      </c>
      <c r="BM186" s="72">
        <v>10</v>
      </c>
      <c r="BN186" s="72">
        <v>10</v>
      </c>
      <c r="BO186" s="72">
        <v>10</v>
      </c>
      <c r="BP186" s="72">
        <v>10</v>
      </c>
      <c r="BQ186" s="72">
        <v>10</v>
      </c>
      <c r="BR186" s="72">
        <v>10</v>
      </c>
      <c r="BS186" s="72">
        <v>10</v>
      </c>
      <c r="BT186" s="72">
        <v>10</v>
      </c>
      <c r="BU186" s="72">
        <v>10</v>
      </c>
      <c r="BV186" s="72">
        <v>10</v>
      </c>
      <c r="BW186" s="72">
        <v>10</v>
      </c>
      <c r="BX186" s="72">
        <v>10</v>
      </c>
      <c r="BY186" s="72">
        <v>10</v>
      </c>
      <c r="BZ186" s="72">
        <v>10</v>
      </c>
      <c r="CA186" s="72">
        <v>10</v>
      </c>
      <c r="CB186" s="72">
        <v>10</v>
      </c>
      <c r="CC186" s="72">
        <v>10</v>
      </c>
      <c r="CD186" s="72">
        <v>10</v>
      </c>
      <c r="CE186" s="72">
        <v>10</v>
      </c>
      <c r="CF186" s="72">
        <v>10</v>
      </c>
      <c r="CG186" s="72">
        <v>10</v>
      </c>
      <c r="CH186" s="72">
        <v>10</v>
      </c>
      <c r="CI186" s="72">
        <v>10</v>
      </c>
      <c r="CJ186" s="72">
        <v>10</v>
      </c>
      <c r="CK186" s="72">
        <v>10</v>
      </c>
      <c r="CL186" s="72">
        <v>10</v>
      </c>
      <c r="CM186" s="72">
        <v>10</v>
      </c>
      <c r="CN186" s="72">
        <v>10</v>
      </c>
      <c r="CO186" s="72">
        <v>10</v>
      </c>
      <c r="CP186" s="72">
        <v>10</v>
      </c>
      <c r="CQ186" s="72">
        <v>10</v>
      </c>
      <c r="CR186" s="72">
        <v>10</v>
      </c>
      <c r="CS186" s="72">
        <v>10</v>
      </c>
      <c r="CT186" s="72">
        <v>10</v>
      </c>
      <c r="CU186" s="72">
        <v>10</v>
      </c>
      <c r="CV186" s="72">
        <v>10</v>
      </c>
      <c r="CW186" s="72">
        <v>10</v>
      </c>
      <c r="CX186" s="72">
        <v>10</v>
      </c>
      <c r="CY186" s="72">
        <v>10</v>
      </c>
      <c r="CZ186" s="72">
        <v>10</v>
      </c>
      <c r="DA186" s="72">
        <v>10</v>
      </c>
      <c r="DB186" s="72">
        <v>10</v>
      </c>
      <c r="DC186" s="72">
        <v>10</v>
      </c>
      <c r="DD186" s="72">
        <v>10</v>
      </c>
      <c r="DE186" s="72">
        <v>10</v>
      </c>
      <c r="DF186" s="72">
        <v>10</v>
      </c>
      <c r="DG186" s="72">
        <v>10</v>
      </c>
      <c r="DH186" s="72">
        <v>10</v>
      </c>
      <c r="DI186" s="72">
        <v>10</v>
      </c>
      <c r="DJ186" s="72">
        <v>10</v>
      </c>
      <c r="DK186" s="72">
        <v>10</v>
      </c>
      <c r="DL186" s="72">
        <v>10</v>
      </c>
    </row>
    <row r="187" spans="1:116" x14ac:dyDescent="0.35">
      <c r="A187" s="7"/>
      <c r="B187" s="8" t="s">
        <v>351</v>
      </c>
      <c r="C187" s="9" t="s">
        <v>352</v>
      </c>
      <c r="D187" s="10" t="s">
        <v>92</v>
      </c>
      <c r="E187" s="8" t="s">
        <v>1218</v>
      </c>
      <c r="F187" s="10">
        <v>1102</v>
      </c>
      <c r="G187" s="10" t="s">
        <v>92</v>
      </c>
      <c r="H187" s="10" t="s">
        <v>41</v>
      </c>
      <c r="I187" s="11">
        <v>39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11">
        <v>94</v>
      </c>
      <c r="P187" s="11">
        <v>94</v>
      </c>
      <c r="Q187" s="11">
        <v>94</v>
      </c>
      <c r="R187" s="11">
        <v>86</v>
      </c>
      <c r="S187" s="11">
        <v>86</v>
      </c>
      <c r="T187" s="11">
        <v>86</v>
      </c>
      <c r="U187" s="11">
        <v>82</v>
      </c>
      <c r="V187" s="11">
        <v>82</v>
      </c>
      <c r="W187" s="11">
        <v>82</v>
      </c>
      <c r="X187" s="11">
        <v>82</v>
      </c>
      <c r="Y187" s="11">
        <v>82</v>
      </c>
      <c r="Z187" s="11">
        <v>82</v>
      </c>
      <c r="AA187" s="11">
        <v>82</v>
      </c>
      <c r="AB187" s="11">
        <v>82</v>
      </c>
      <c r="AC187" s="11">
        <v>82</v>
      </c>
      <c r="AD187" s="11">
        <v>82</v>
      </c>
      <c r="AE187" s="11">
        <v>82</v>
      </c>
      <c r="AF187" s="11">
        <v>82</v>
      </c>
      <c r="AG187" s="11">
        <v>82</v>
      </c>
      <c r="AH187" s="11">
        <v>82</v>
      </c>
      <c r="AI187" s="11">
        <v>81</v>
      </c>
      <c r="AJ187" s="11">
        <v>39</v>
      </c>
      <c r="AK187" s="11">
        <v>38</v>
      </c>
      <c r="AL187" s="11">
        <v>37</v>
      </c>
      <c r="AM187" s="11">
        <v>37</v>
      </c>
      <c r="AN187" s="72">
        <v>37</v>
      </c>
      <c r="AO187" s="72">
        <v>27</v>
      </c>
      <c r="AP187" s="72">
        <v>29</v>
      </c>
      <c r="AQ187" s="72">
        <v>29</v>
      </c>
      <c r="AR187" s="72">
        <v>25</v>
      </c>
      <c r="AS187" s="72">
        <v>11</v>
      </c>
      <c r="AT187" s="72">
        <v>9</v>
      </c>
      <c r="AU187" s="72">
        <v>34</v>
      </c>
      <c r="AV187" s="72">
        <v>30</v>
      </c>
      <c r="AW187" s="72">
        <v>28</v>
      </c>
      <c r="AX187" s="72">
        <v>28</v>
      </c>
      <c r="AY187" s="72">
        <v>28</v>
      </c>
      <c r="AZ187" s="72">
        <v>28</v>
      </c>
      <c r="BA187" s="72">
        <v>24</v>
      </c>
      <c r="BB187" s="72">
        <v>22</v>
      </c>
      <c r="BC187" s="72">
        <v>22</v>
      </c>
      <c r="BD187" s="72">
        <v>23</v>
      </c>
      <c r="BE187" s="72">
        <v>23</v>
      </c>
      <c r="BF187" s="72">
        <v>23</v>
      </c>
      <c r="BG187" s="72">
        <v>23</v>
      </c>
      <c r="BH187" s="72">
        <v>11</v>
      </c>
      <c r="BI187" s="72">
        <v>8</v>
      </c>
      <c r="BJ187" s="72">
        <v>8</v>
      </c>
      <c r="BK187" s="72">
        <v>8</v>
      </c>
      <c r="BL187" s="72">
        <v>8</v>
      </c>
      <c r="BM187" s="72">
        <v>8</v>
      </c>
      <c r="BN187" s="72">
        <v>8</v>
      </c>
      <c r="BO187" s="72">
        <v>8</v>
      </c>
      <c r="BP187" s="72">
        <v>8</v>
      </c>
      <c r="BQ187" s="72">
        <v>7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  <c r="DK187" s="72">
        <v>0</v>
      </c>
      <c r="DL187" s="72">
        <v>0</v>
      </c>
    </row>
    <row r="188" spans="1:116" x14ac:dyDescent="0.35">
      <c r="A188" s="7"/>
      <c r="B188" s="26" t="s">
        <v>353</v>
      </c>
      <c r="C188" s="27" t="s">
        <v>354</v>
      </c>
      <c r="D188" s="28" t="s">
        <v>92</v>
      </c>
      <c r="E188" s="26" t="s">
        <v>1218</v>
      </c>
      <c r="F188" s="10">
        <v>1102</v>
      </c>
      <c r="G188" s="28" t="s">
        <v>92</v>
      </c>
      <c r="H188" s="28" t="s">
        <v>41</v>
      </c>
      <c r="I188" s="29">
        <v>12</v>
      </c>
      <c r="J188" s="10">
        <v>2</v>
      </c>
      <c r="K188" s="10" t="s">
        <v>42</v>
      </c>
      <c r="L188" s="8" t="s">
        <v>206</v>
      </c>
      <c r="M188" s="12">
        <v>22.2</v>
      </c>
      <c r="N188" s="12">
        <f t="shared" si="2"/>
        <v>0</v>
      </c>
      <c r="O188" s="29">
        <v>40</v>
      </c>
      <c r="P188" s="29">
        <v>40</v>
      </c>
      <c r="Q188" s="29">
        <v>40</v>
      </c>
      <c r="R188" s="29">
        <v>38</v>
      </c>
      <c r="S188" s="29">
        <v>38</v>
      </c>
      <c r="T188" s="29">
        <v>38</v>
      </c>
      <c r="U188" s="29">
        <v>38</v>
      </c>
      <c r="V188" s="29">
        <v>38</v>
      </c>
      <c r="W188" s="29">
        <v>38</v>
      </c>
      <c r="X188" s="29">
        <v>38</v>
      </c>
      <c r="Y188" s="29">
        <v>20</v>
      </c>
      <c r="Z188" s="29">
        <v>20</v>
      </c>
      <c r="AA188" s="29">
        <v>20</v>
      </c>
      <c r="AB188" s="29">
        <v>20</v>
      </c>
      <c r="AC188" s="29">
        <v>20</v>
      </c>
      <c r="AD188" s="29">
        <v>20</v>
      </c>
      <c r="AE188" s="29">
        <v>20</v>
      </c>
      <c r="AF188" s="29">
        <v>20</v>
      </c>
      <c r="AG188" s="29">
        <v>20</v>
      </c>
      <c r="AH188" s="29">
        <v>20</v>
      </c>
      <c r="AI188" s="29">
        <v>20</v>
      </c>
      <c r="AJ188" s="29">
        <v>12</v>
      </c>
      <c r="AK188" s="29">
        <v>12</v>
      </c>
      <c r="AL188" s="29">
        <v>6</v>
      </c>
      <c r="AM188" s="29">
        <v>6</v>
      </c>
      <c r="AN188" s="75">
        <v>6</v>
      </c>
      <c r="AO188" s="75">
        <v>6</v>
      </c>
      <c r="AP188" s="75">
        <v>0</v>
      </c>
      <c r="AQ188" s="75">
        <v>0</v>
      </c>
      <c r="AR188" s="75">
        <v>0</v>
      </c>
      <c r="AS188" s="75">
        <v>0</v>
      </c>
      <c r="AT188" s="75">
        <v>0</v>
      </c>
      <c r="AU188" s="75">
        <v>0</v>
      </c>
      <c r="AV188" s="75">
        <v>0</v>
      </c>
      <c r="AW188" s="75">
        <v>0</v>
      </c>
      <c r="AX188" s="75">
        <v>0</v>
      </c>
      <c r="AY188" s="75">
        <v>0</v>
      </c>
      <c r="AZ188" s="75">
        <v>0</v>
      </c>
      <c r="BA188" s="75">
        <v>0</v>
      </c>
      <c r="BB188" s="75">
        <v>0</v>
      </c>
      <c r="BC188" s="75">
        <v>0</v>
      </c>
      <c r="BD188" s="75">
        <v>0</v>
      </c>
      <c r="BE188" s="75">
        <v>0</v>
      </c>
      <c r="BF188" s="75">
        <v>0</v>
      </c>
      <c r="BG188" s="75">
        <v>0</v>
      </c>
      <c r="BH188" s="75">
        <v>0</v>
      </c>
      <c r="BI188" s="75">
        <v>0</v>
      </c>
      <c r="BJ188" s="75">
        <v>0</v>
      </c>
      <c r="BK188" s="75">
        <v>0</v>
      </c>
      <c r="BL188" s="75">
        <v>0</v>
      </c>
      <c r="BM188" s="75">
        <v>0</v>
      </c>
      <c r="BN188" s="75">
        <v>0</v>
      </c>
      <c r="BO188" s="75">
        <v>0</v>
      </c>
      <c r="BP188" s="75">
        <v>0</v>
      </c>
      <c r="BQ188" s="75">
        <v>0</v>
      </c>
      <c r="BR188" s="75">
        <v>0</v>
      </c>
      <c r="BS188" s="75">
        <v>0</v>
      </c>
      <c r="BT188" s="75">
        <v>0</v>
      </c>
      <c r="BU188" s="75">
        <v>0</v>
      </c>
      <c r="BV188" s="75">
        <v>0</v>
      </c>
      <c r="BW188" s="75">
        <v>0</v>
      </c>
      <c r="BX188" s="75">
        <v>0</v>
      </c>
      <c r="BY188" s="75">
        <v>0</v>
      </c>
      <c r="BZ188" s="75">
        <v>0</v>
      </c>
      <c r="CA188" s="75">
        <v>0</v>
      </c>
      <c r="CB188" s="75">
        <v>0</v>
      </c>
      <c r="CC188" s="75">
        <v>0</v>
      </c>
      <c r="CD188" s="75">
        <v>0</v>
      </c>
      <c r="CE188" s="75">
        <v>0</v>
      </c>
      <c r="CF188" s="75">
        <v>0</v>
      </c>
      <c r="CG188" s="75">
        <v>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  <c r="DK188" s="75">
        <v>0</v>
      </c>
      <c r="DL188" s="75">
        <v>0</v>
      </c>
    </row>
    <row r="189" spans="1:116" x14ac:dyDescent="0.35">
      <c r="A189" s="7"/>
      <c r="B189" s="26" t="s">
        <v>355</v>
      </c>
      <c r="C189" s="27" t="s">
        <v>356</v>
      </c>
      <c r="D189" s="28" t="s">
        <v>92</v>
      </c>
      <c r="E189" s="26" t="s">
        <v>1208</v>
      </c>
      <c r="F189" s="10">
        <v>1102</v>
      </c>
      <c r="G189" s="28" t="s">
        <v>92</v>
      </c>
      <c r="H189" s="28" t="s">
        <v>41</v>
      </c>
      <c r="I189" s="29">
        <v>238</v>
      </c>
      <c r="J189" s="10">
        <v>2</v>
      </c>
      <c r="K189" s="10" t="s">
        <v>42</v>
      </c>
      <c r="L189" s="8" t="s">
        <v>206</v>
      </c>
      <c r="M189" s="12">
        <v>1.9296000000000002</v>
      </c>
      <c r="N189" s="12">
        <f t="shared" si="2"/>
        <v>1.9296000000000002</v>
      </c>
      <c r="O189" s="29">
        <v>718</v>
      </c>
      <c r="P189" s="29">
        <v>720</v>
      </c>
      <c r="Q189" s="29">
        <v>720</v>
      </c>
      <c r="R189" s="29">
        <v>698</v>
      </c>
      <c r="S189" s="29">
        <v>697</v>
      </c>
      <c r="T189" s="29">
        <v>697</v>
      </c>
      <c r="U189" s="29">
        <v>695</v>
      </c>
      <c r="V189" s="29">
        <v>695</v>
      </c>
      <c r="W189" s="29">
        <v>685</v>
      </c>
      <c r="X189" s="29">
        <v>685</v>
      </c>
      <c r="Y189" s="29">
        <v>675</v>
      </c>
      <c r="Z189" s="29">
        <v>675</v>
      </c>
      <c r="AA189" s="29">
        <v>675</v>
      </c>
      <c r="AB189" s="29">
        <v>429</v>
      </c>
      <c r="AC189" s="29">
        <v>429</v>
      </c>
      <c r="AD189" s="29">
        <v>329</v>
      </c>
      <c r="AE189" s="29">
        <v>329</v>
      </c>
      <c r="AF189" s="29">
        <v>329</v>
      </c>
      <c r="AG189" s="29">
        <v>329</v>
      </c>
      <c r="AH189" s="29">
        <v>329</v>
      </c>
      <c r="AI189" s="29">
        <v>329</v>
      </c>
      <c r="AJ189" s="29">
        <v>238</v>
      </c>
      <c r="AK189" s="29">
        <v>238</v>
      </c>
      <c r="AL189" s="29">
        <v>236</v>
      </c>
      <c r="AM189" s="29">
        <v>236</v>
      </c>
      <c r="AN189" s="75">
        <v>230</v>
      </c>
      <c r="AO189" s="75">
        <v>230</v>
      </c>
      <c r="AP189" s="75">
        <v>230</v>
      </c>
      <c r="AQ189" s="75">
        <v>230</v>
      </c>
      <c r="AR189" s="75">
        <v>145</v>
      </c>
      <c r="AS189" s="75">
        <v>81</v>
      </c>
      <c r="AT189" s="75">
        <v>77</v>
      </c>
      <c r="AU189" s="75">
        <v>57</v>
      </c>
      <c r="AV189" s="75">
        <v>57</v>
      </c>
      <c r="AW189" s="75">
        <v>61</v>
      </c>
      <c r="AX189" s="75">
        <v>61</v>
      </c>
      <c r="AY189" s="75">
        <v>61</v>
      </c>
      <c r="AZ189" s="75">
        <v>61</v>
      </c>
      <c r="BA189" s="75">
        <v>61</v>
      </c>
      <c r="BB189" s="75">
        <v>57</v>
      </c>
      <c r="BC189" s="75">
        <v>57</v>
      </c>
      <c r="BD189" s="75">
        <v>57</v>
      </c>
      <c r="BE189" s="75">
        <v>57</v>
      </c>
      <c r="BF189" s="75">
        <v>57</v>
      </c>
      <c r="BG189" s="75">
        <v>57</v>
      </c>
      <c r="BH189" s="75">
        <v>57</v>
      </c>
      <c r="BI189" s="75">
        <v>57</v>
      </c>
      <c r="BJ189" s="75">
        <v>57</v>
      </c>
      <c r="BK189" s="75">
        <v>57</v>
      </c>
      <c r="BL189" s="75">
        <v>57</v>
      </c>
      <c r="BM189" s="75">
        <v>57</v>
      </c>
      <c r="BN189" s="75">
        <v>44</v>
      </c>
      <c r="BO189" s="75">
        <v>34</v>
      </c>
      <c r="BP189" s="75">
        <v>34</v>
      </c>
      <c r="BQ189" s="75">
        <v>17</v>
      </c>
      <c r="BR189" s="75">
        <v>9</v>
      </c>
      <c r="BS189" s="72">
        <f>9-19+21+2</f>
        <v>13</v>
      </c>
      <c r="BT189" s="72">
        <v>11</v>
      </c>
      <c r="BU189" s="72">
        <v>13</v>
      </c>
      <c r="BV189" s="72">
        <v>13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1</v>
      </c>
      <c r="DE189" s="72">
        <v>1</v>
      </c>
      <c r="DF189" s="72">
        <v>1</v>
      </c>
      <c r="DG189" s="72">
        <v>1</v>
      </c>
      <c r="DH189" s="72">
        <v>1</v>
      </c>
      <c r="DI189" s="72">
        <v>1</v>
      </c>
      <c r="DJ189" s="72">
        <v>1</v>
      </c>
      <c r="DK189" s="72">
        <v>1</v>
      </c>
      <c r="DL189" s="72">
        <v>1</v>
      </c>
    </row>
    <row r="190" spans="1:116" x14ac:dyDescent="0.35">
      <c r="A190" s="7"/>
      <c r="B190" s="8" t="s">
        <v>357</v>
      </c>
      <c r="C190" s="9" t="s">
        <v>358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492</v>
      </c>
      <c r="J190" s="10"/>
      <c r="K190" s="10"/>
      <c r="L190" s="8"/>
      <c r="M190" s="12">
        <v>2.0227200000000001</v>
      </c>
      <c r="N190" s="12">
        <f t="shared" si="2"/>
        <v>6.0681600000000007</v>
      </c>
      <c r="O190" s="11">
        <v>500</v>
      </c>
      <c r="P190" s="11">
        <v>500</v>
      </c>
      <c r="Q190" s="11">
        <v>500</v>
      </c>
      <c r="R190" s="11">
        <v>500</v>
      </c>
      <c r="S190" s="11">
        <v>500</v>
      </c>
      <c r="T190" s="11">
        <v>492</v>
      </c>
      <c r="U190" s="11">
        <v>492</v>
      </c>
      <c r="V190" s="11">
        <v>492</v>
      </c>
      <c r="W190" s="11">
        <v>492</v>
      </c>
      <c r="X190" s="11">
        <v>492</v>
      </c>
      <c r="Y190" s="11">
        <v>492</v>
      </c>
      <c r="Z190" s="11">
        <v>492</v>
      </c>
      <c r="AA190" s="11">
        <v>492</v>
      </c>
      <c r="AB190" s="11">
        <v>492</v>
      </c>
      <c r="AC190" s="11">
        <v>492</v>
      </c>
      <c r="AD190" s="11">
        <v>492</v>
      </c>
      <c r="AE190" s="11">
        <v>492</v>
      </c>
      <c r="AF190" s="11">
        <v>492</v>
      </c>
      <c r="AG190" s="11">
        <v>492</v>
      </c>
      <c r="AH190" s="11">
        <v>492</v>
      </c>
      <c r="AI190" s="11">
        <v>492</v>
      </c>
      <c r="AJ190" s="11">
        <v>492</v>
      </c>
      <c r="AK190" s="11">
        <v>492</v>
      </c>
      <c r="AL190" s="11">
        <v>492</v>
      </c>
      <c r="AM190" s="11">
        <v>492</v>
      </c>
      <c r="AN190" s="72">
        <v>492</v>
      </c>
      <c r="AO190" s="72">
        <v>492</v>
      </c>
      <c r="AP190" s="72">
        <v>492</v>
      </c>
      <c r="AQ190" s="72">
        <v>492</v>
      </c>
      <c r="AR190" s="72">
        <v>192</v>
      </c>
      <c r="AS190" s="72">
        <v>32</v>
      </c>
      <c r="AT190" s="72">
        <v>32</v>
      </c>
      <c r="AU190" s="72">
        <v>32</v>
      </c>
      <c r="AV190" s="72">
        <v>32</v>
      </c>
      <c r="AW190" s="72">
        <v>32</v>
      </c>
      <c r="AX190" s="72">
        <v>32</v>
      </c>
      <c r="AY190" s="72">
        <v>32</v>
      </c>
      <c r="AZ190" s="72">
        <v>32</v>
      </c>
      <c r="BA190" s="72">
        <v>32</v>
      </c>
      <c r="BB190" s="72">
        <v>32</v>
      </c>
      <c r="BC190" s="72">
        <v>32</v>
      </c>
      <c r="BD190" s="72">
        <v>32</v>
      </c>
      <c r="BE190" s="72">
        <v>32</v>
      </c>
      <c r="BF190" s="72">
        <v>32</v>
      </c>
      <c r="BG190" s="72">
        <v>32</v>
      </c>
      <c r="BH190" s="72">
        <v>32</v>
      </c>
      <c r="BI190" s="72">
        <v>32</v>
      </c>
      <c r="BJ190" s="72">
        <v>32</v>
      </c>
      <c r="BK190" s="72">
        <v>32</v>
      </c>
      <c r="BL190" s="72">
        <v>32</v>
      </c>
      <c r="BM190" s="72">
        <v>32</v>
      </c>
      <c r="BN190" s="72">
        <v>32</v>
      </c>
      <c r="BO190" s="72">
        <v>32</v>
      </c>
      <c r="BP190" s="72">
        <v>32</v>
      </c>
      <c r="BQ190" s="72">
        <v>32</v>
      </c>
      <c r="BR190" s="72">
        <v>24</v>
      </c>
      <c r="BS190" s="72">
        <v>10</v>
      </c>
      <c r="BT190" s="72">
        <v>1</v>
      </c>
      <c r="BU190" s="72">
        <v>10</v>
      </c>
      <c r="BV190" s="72">
        <v>8</v>
      </c>
      <c r="BW190" s="72">
        <v>3</v>
      </c>
      <c r="BX190" s="72">
        <v>3</v>
      </c>
      <c r="BY190" s="72">
        <v>3</v>
      </c>
      <c r="BZ190" s="72">
        <v>3</v>
      </c>
      <c r="CA190" s="72">
        <v>3</v>
      </c>
      <c r="CB190" s="72">
        <v>3</v>
      </c>
      <c r="CC190" s="72">
        <v>3</v>
      </c>
      <c r="CD190" s="72">
        <v>3</v>
      </c>
      <c r="CE190" s="72">
        <v>3</v>
      </c>
      <c r="CF190" s="72">
        <v>3</v>
      </c>
      <c r="CG190" s="72">
        <v>3</v>
      </c>
      <c r="CH190" s="72">
        <v>3</v>
      </c>
      <c r="CI190" s="72">
        <v>3</v>
      </c>
      <c r="CJ190" s="72">
        <v>3</v>
      </c>
      <c r="CK190" s="72">
        <v>3</v>
      </c>
      <c r="CL190" s="72">
        <v>3</v>
      </c>
      <c r="CM190" s="72">
        <v>3</v>
      </c>
      <c r="CN190" s="72">
        <v>3</v>
      </c>
      <c r="CO190" s="72">
        <v>0</v>
      </c>
      <c r="CP190" s="72">
        <v>0</v>
      </c>
      <c r="CQ190" s="72">
        <v>0</v>
      </c>
      <c r="CR190" s="72">
        <v>0</v>
      </c>
      <c r="CS190" s="72">
        <v>0</v>
      </c>
      <c r="CT190" s="72">
        <v>0</v>
      </c>
      <c r="CU190" s="72">
        <v>0</v>
      </c>
      <c r="CV190" s="72">
        <v>0</v>
      </c>
      <c r="CW190" s="72">
        <v>3</v>
      </c>
      <c r="CX190" s="72">
        <v>3</v>
      </c>
      <c r="CY190" s="72">
        <v>3</v>
      </c>
      <c r="CZ190" s="72">
        <v>3</v>
      </c>
      <c r="DA190" s="72">
        <v>3</v>
      </c>
      <c r="DB190" s="72">
        <v>3</v>
      </c>
      <c r="DC190" s="72">
        <v>3</v>
      </c>
      <c r="DD190" s="72">
        <v>3</v>
      </c>
      <c r="DE190" s="72">
        <v>3</v>
      </c>
      <c r="DF190" s="72">
        <v>3</v>
      </c>
      <c r="DG190" s="72">
        <v>3</v>
      </c>
      <c r="DH190" s="72">
        <v>3</v>
      </c>
      <c r="DI190" s="72">
        <v>3</v>
      </c>
      <c r="DJ190" s="72">
        <v>3</v>
      </c>
      <c r="DK190" s="72">
        <v>3</v>
      </c>
      <c r="DL190" s="72">
        <v>3</v>
      </c>
    </row>
    <row r="191" spans="1:116" x14ac:dyDescent="0.35">
      <c r="A191" s="7"/>
      <c r="B191" s="8" t="s">
        <v>359</v>
      </c>
      <c r="C191" s="9" t="s">
        <v>360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300</v>
      </c>
      <c r="J191" s="10"/>
      <c r="K191" s="10"/>
      <c r="L191" s="8"/>
      <c r="M191" s="12">
        <v>2.2089600000000003</v>
      </c>
      <c r="N191" s="12">
        <f t="shared" si="2"/>
        <v>543.40416000000005</v>
      </c>
      <c r="O191" s="11">
        <v>300</v>
      </c>
      <c r="P191" s="11">
        <v>300</v>
      </c>
      <c r="Q191" s="11">
        <v>300</v>
      </c>
      <c r="R191" s="11">
        <v>300</v>
      </c>
      <c r="S191" s="11">
        <v>300</v>
      </c>
      <c r="T191" s="11">
        <v>300</v>
      </c>
      <c r="U191" s="11">
        <v>300</v>
      </c>
      <c r="V191" s="11">
        <v>300</v>
      </c>
      <c r="W191" s="11">
        <v>300</v>
      </c>
      <c r="X191" s="11">
        <v>300</v>
      </c>
      <c r="Y191" s="11">
        <v>300</v>
      </c>
      <c r="Z191" s="11">
        <v>300</v>
      </c>
      <c r="AA191" s="11">
        <v>300</v>
      </c>
      <c r="AB191" s="11">
        <v>300</v>
      </c>
      <c r="AC191" s="11">
        <v>300</v>
      </c>
      <c r="AD191" s="11">
        <v>300</v>
      </c>
      <c r="AE191" s="11">
        <v>300</v>
      </c>
      <c r="AF191" s="11">
        <v>300</v>
      </c>
      <c r="AG191" s="11">
        <v>300</v>
      </c>
      <c r="AH191" s="11">
        <v>300</v>
      </c>
      <c r="AI191" s="11">
        <v>300</v>
      </c>
      <c r="AJ191" s="11">
        <v>300</v>
      </c>
      <c r="AK191" s="11">
        <v>300</v>
      </c>
      <c r="AL191" s="11">
        <v>300</v>
      </c>
      <c r="AM191" s="11">
        <v>300</v>
      </c>
      <c r="AN191" s="72">
        <v>300</v>
      </c>
      <c r="AO191" s="72">
        <v>300</v>
      </c>
      <c r="AP191" s="72">
        <v>300</v>
      </c>
      <c r="AQ191" s="72">
        <v>300</v>
      </c>
      <c r="AR191" s="72">
        <v>300</v>
      </c>
      <c r="AS191" s="72">
        <v>300</v>
      </c>
      <c r="AT191" s="72">
        <v>300</v>
      </c>
      <c r="AU191" s="72">
        <v>300</v>
      </c>
      <c r="AV191" s="72">
        <v>300</v>
      </c>
      <c r="AW191" s="72">
        <v>300</v>
      </c>
      <c r="AX191" s="72">
        <v>300</v>
      </c>
      <c r="AY191" s="72">
        <v>300</v>
      </c>
      <c r="AZ191" s="72">
        <v>300</v>
      </c>
      <c r="BA191" s="72">
        <v>300</v>
      </c>
      <c r="BB191" s="72">
        <v>300</v>
      </c>
      <c r="BC191" s="72">
        <v>300</v>
      </c>
      <c r="BD191" s="72">
        <v>300</v>
      </c>
      <c r="BE191" s="72">
        <v>300</v>
      </c>
      <c r="BF191" s="72">
        <v>300</v>
      </c>
      <c r="BG191" s="72">
        <v>300</v>
      </c>
      <c r="BH191" s="72">
        <v>300</v>
      </c>
      <c r="BI191" s="72">
        <v>300</v>
      </c>
      <c r="BJ191" s="72">
        <v>300</v>
      </c>
      <c r="BK191" s="72">
        <v>300</v>
      </c>
      <c r="BL191" s="72">
        <v>300</v>
      </c>
      <c r="BM191" s="72">
        <v>300</v>
      </c>
      <c r="BN191" s="72">
        <v>300</v>
      </c>
      <c r="BO191" s="72">
        <v>300</v>
      </c>
      <c r="BP191" s="72">
        <v>300</v>
      </c>
      <c r="BQ191" s="72">
        <v>299</v>
      </c>
      <c r="BR191" s="72">
        <v>298</v>
      </c>
      <c r="BS191" s="72">
        <v>298</v>
      </c>
      <c r="BT191" s="72">
        <v>298</v>
      </c>
      <c r="BU191" s="72">
        <v>298</v>
      </c>
      <c r="BV191" s="72">
        <v>298</v>
      </c>
      <c r="BW191" s="72">
        <v>298</v>
      </c>
      <c r="BX191" s="72">
        <v>298</v>
      </c>
      <c r="BY191" s="72">
        <v>298</v>
      </c>
      <c r="BZ191" s="72">
        <v>298</v>
      </c>
      <c r="CA191" s="72">
        <v>298</v>
      </c>
      <c r="CB191" s="72">
        <v>298</v>
      </c>
      <c r="CC191" s="72">
        <v>298</v>
      </c>
      <c r="CD191" s="72">
        <v>298</v>
      </c>
      <c r="CE191" s="72">
        <v>298</v>
      </c>
      <c r="CF191" s="72">
        <v>298</v>
      </c>
      <c r="CG191" s="72">
        <v>298</v>
      </c>
      <c r="CH191" s="72">
        <v>298</v>
      </c>
      <c r="CI191" s="72">
        <v>298</v>
      </c>
      <c r="CJ191" s="72">
        <v>298</v>
      </c>
      <c r="CK191" s="72">
        <v>298</v>
      </c>
      <c r="CL191" s="72">
        <v>298</v>
      </c>
      <c r="CM191" s="72">
        <v>298</v>
      </c>
      <c r="CN191" s="72">
        <v>298</v>
      </c>
      <c r="CO191" s="72">
        <v>293</v>
      </c>
      <c r="CP191" s="72">
        <v>293</v>
      </c>
      <c r="CQ191" s="72">
        <v>293</v>
      </c>
      <c r="CR191" s="72">
        <v>293</v>
      </c>
      <c r="CS191" s="72">
        <v>293</v>
      </c>
      <c r="CT191" s="72">
        <v>293</v>
      </c>
      <c r="CU191" s="72">
        <v>293</v>
      </c>
      <c r="CV191" s="72">
        <v>277</v>
      </c>
      <c r="CW191" s="72">
        <v>286</v>
      </c>
      <c r="CX191" s="72">
        <v>286</v>
      </c>
      <c r="CY191" s="72">
        <v>271</v>
      </c>
      <c r="CZ191" s="72">
        <v>271</v>
      </c>
      <c r="DA191" s="72">
        <v>271</v>
      </c>
      <c r="DB191" s="72">
        <v>271</v>
      </c>
      <c r="DC191" s="72">
        <v>270</v>
      </c>
      <c r="DD191" s="72">
        <v>271</v>
      </c>
      <c r="DE191" s="72">
        <v>271</v>
      </c>
      <c r="DF191" s="72">
        <v>271</v>
      </c>
      <c r="DG191" s="72">
        <v>271</v>
      </c>
      <c r="DH191" s="72">
        <v>271</v>
      </c>
      <c r="DI191" s="72">
        <v>271</v>
      </c>
      <c r="DJ191" s="72">
        <v>271</v>
      </c>
      <c r="DK191" s="72">
        <v>271</v>
      </c>
      <c r="DL191" s="72">
        <v>246</v>
      </c>
    </row>
    <row r="192" spans="1:116" x14ac:dyDescent="0.35">
      <c r="A192" s="7"/>
      <c r="B192" s="8" t="s">
        <v>361</v>
      </c>
      <c r="C192" s="9" t="s">
        <v>362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100</v>
      </c>
      <c r="J192" s="10"/>
      <c r="K192" s="10"/>
      <c r="L192" s="8"/>
      <c r="M192" s="12">
        <v>2.3835600000000001</v>
      </c>
      <c r="N192" s="12">
        <f t="shared" si="2"/>
        <v>190.6848</v>
      </c>
      <c r="O192" s="11">
        <v>100</v>
      </c>
      <c r="P192" s="11">
        <v>100</v>
      </c>
      <c r="Q192" s="11">
        <v>100</v>
      </c>
      <c r="R192" s="11">
        <v>100</v>
      </c>
      <c r="S192" s="11">
        <v>100</v>
      </c>
      <c r="T192" s="11">
        <v>100</v>
      </c>
      <c r="U192" s="11">
        <v>100</v>
      </c>
      <c r="V192" s="11">
        <v>100</v>
      </c>
      <c r="W192" s="11">
        <v>100</v>
      </c>
      <c r="X192" s="11">
        <v>100</v>
      </c>
      <c r="Y192" s="11">
        <v>100</v>
      </c>
      <c r="Z192" s="11">
        <v>100</v>
      </c>
      <c r="AA192" s="11">
        <v>100</v>
      </c>
      <c r="AB192" s="11">
        <v>100</v>
      </c>
      <c r="AC192" s="11">
        <v>100</v>
      </c>
      <c r="AD192" s="11">
        <v>100</v>
      </c>
      <c r="AE192" s="11">
        <v>100</v>
      </c>
      <c r="AF192" s="11">
        <v>100</v>
      </c>
      <c r="AG192" s="11">
        <v>100</v>
      </c>
      <c r="AH192" s="11">
        <v>100</v>
      </c>
      <c r="AI192" s="11">
        <v>100</v>
      </c>
      <c r="AJ192" s="11">
        <v>100</v>
      </c>
      <c r="AK192" s="11">
        <v>100</v>
      </c>
      <c r="AL192" s="11">
        <v>100</v>
      </c>
      <c r="AM192" s="11">
        <v>100</v>
      </c>
      <c r="AN192" s="72">
        <v>100</v>
      </c>
      <c r="AO192" s="72">
        <v>100</v>
      </c>
      <c r="AP192" s="72">
        <v>100</v>
      </c>
      <c r="AQ192" s="72">
        <v>100</v>
      </c>
      <c r="AR192" s="72">
        <v>100</v>
      </c>
      <c r="AS192" s="72">
        <v>100</v>
      </c>
      <c r="AT192" s="72">
        <v>100</v>
      </c>
      <c r="AU192" s="72">
        <v>100</v>
      </c>
      <c r="AV192" s="72">
        <v>100</v>
      </c>
      <c r="AW192" s="72">
        <v>100</v>
      </c>
      <c r="AX192" s="72">
        <v>100</v>
      </c>
      <c r="AY192" s="72">
        <v>100</v>
      </c>
      <c r="AZ192" s="72">
        <v>100</v>
      </c>
      <c r="BA192" s="72">
        <v>100</v>
      </c>
      <c r="BB192" s="72">
        <v>100</v>
      </c>
      <c r="BC192" s="72">
        <v>100</v>
      </c>
      <c r="BD192" s="72">
        <v>100</v>
      </c>
      <c r="BE192" s="72">
        <v>100</v>
      </c>
      <c r="BF192" s="72">
        <v>100</v>
      </c>
      <c r="BG192" s="72">
        <v>100</v>
      </c>
      <c r="BH192" s="72">
        <v>100</v>
      </c>
      <c r="BI192" s="72">
        <v>100</v>
      </c>
      <c r="BJ192" s="72">
        <v>100</v>
      </c>
      <c r="BK192" s="72">
        <v>100</v>
      </c>
      <c r="BL192" s="72">
        <v>100</v>
      </c>
      <c r="BM192" s="72">
        <v>100</v>
      </c>
      <c r="BN192" s="72">
        <v>100</v>
      </c>
      <c r="BO192" s="72">
        <v>100</v>
      </c>
      <c r="BP192" s="72">
        <v>100</v>
      </c>
      <c r="BQ192" s="72">
        <v>97</v>
      </c>
      <c r="BR192" s="72">
        <v>95</v>
      </c>
      <c r="BS192" s="72">
        <v>100</v>
      </c>
      <c r="BT192" s="72">
        <v>95</v>
      </c>
      <c r="BU192" s="72">
        <v>100</v>
      </c>
      <c r="BV192" s="72">
        <v>100</v>
      </c>
      <c r="BW192" s="72">
        <v>100</v>
      </c>
      <c r="BX192" s="72">
        <v>100</v>
      </c>
      <c r="BY192" s="72">
        <v>100</v>
      </c>
      <c r="BZ192" s="72">
        <v>100</v>
      </c>
      <c r="CA192" s="72">
        <v>100</v>
      </c>
      <c r="CB192" s="72">
        <v>100</v>
      </c>
      <c r="CC192" s="72">
        <v>100</v>
      </c>
      <c r="CD192" s="72">
        <v>100</v>
      </c>
      <c r="CE192" s="72">
        <v>100</v>
      </c>
      <c r="CF192" s="72">
        <v>100</v>
      </c>
      <c r="CG192" s="72">
        <v>100</v>
      </c>
      <c r="CH192" s="72">
        <v>100</v>
      </c>
      <c r="CI192" s="72">
        <v>100</v>
      </c>
      <c r="CJ192" s="72">
        <v>100</v>
      </c>
      <c r="CK192" s="72">
        <v>100</v>
      </c>
      <c r="CL192" s="72">
        <v>100</v>
      </c>
      <c r="CM192" s="72">
        <v>100</v>
      </c>
      <c r="CN192" s="72">
        <v>100</v>
      </c>
      <c r="CO192" s="72">
        <v>100</v>
      </c>
      <c r="CP192" s="72">
        <v>100</v>
      </c>
      <c r="CQ192" s="72">
        <v>100</v>
      </c>
      <c r="CR192" s="72">
        <v>100</v>
      </c>
      <c r="CS192" s="72">
        <v>100</v>
      </c>
      <c r="CT192" s="72">
        <v>100</v>
      </c>
      <c r="CU192" s="72">
        <v>100</v>
      </c>
      <c r="CV192" s="72">
        <v>100</v>
      </c>
      <c r="CW192" s="72">
        <v>100</v>
      </c>
      <c r="CX192" s="72">
        <v>85</v>
      </c>
      <c r="CY192" s="72">
        <v>85</v>
      </c>
      <c r="CZ192" s="72">
        <v>85</v>
      </c>
      <c r="DA192" s="72">
        <v>85</v>
      </c>
      <c r="DB192" s="72">
        <v>85</v>
      </c>
      <c r="DC192" s="72">
        <v>85</v>
      </c>
      <c r="DD192" s="72">
        <v>85</v>
      </c>
      <c r="DE192" s="72">
        <v>85</v>
      </c>
      <c r="DF192" s="72">
        <v>85</v>
      </c>
      <c r="DG192" s="72">
        <v>85</v>
      </c>
      <c r="DH192" s="72">
        <v>85</v>
      </c>
      <c r="DI192" s="72">
        <v>85</v>
      </c>
      <c r="DJ192" s="72">
        <v>85</v>
      </c>
      <c r="DK192" s="72">
        <v>85</v>
      </c>
      <c r="DL192" s="72">
        <v>80</v>
      </c>
    </row>
    <row r="193" spans="1:116" x14ac:dyDescent="0.35">
      <c r="A193" s="7"/>
      <c r="B193" s="8" t="s">
        <v>363</v>
      </c>
      <c r="C193" s="9" t="s">
        <v>364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816</v>
      </c>
      <c r="J193" s="10">
        <v>2</v>
      </c>
      <c r="K193" s="10" t="s">
        <v>42</v>
      </c>
      <c r="L193" s="8" t="s">
        <v>206</v>
      </c>
      <c r="M193" s="12">
        <v>2.0809199999999999</v>
      </c>
      <c r="N193" s="12">
        <f t="shared" si="2"/>
        <v>1587.7419599999998</v>
      </c>
      <c r="O193" s="11">
        <v>932</v>
      </c>
      <c r="P193" s="11">
        <v>932</v>
      </c>
      <c r="Q193" s="11">
        <v>932</v>
      </c>
      <c r="R193" s="11">
        <v>930</v>
      </c>
      <c r="S193" s="11">
        <v>930</v>
      </c>
      <c r="T193" s="11">
        <v>930</v>
      </c>
      <c r="U193" s="11">
        <v>930</v>
      </c>
      <c r="V193" s="11">
        <v>930</v>
      </c>
      <c r="W193" s="11">
        <v>930</v>
      </c>
      <c r="X193" s="11">
        <v>930</v>
      </c>
      <c r="Y193" s="11">
        <v>930</v>
      </c>
      <c r="Z193" s="11">
        <v>930</v>
      </c>
      <c r="AA193" s="11">
        <v>930</v>
      </c>
      <c r="AB193" s="11">
        <v>930</v>
      </c>
      <c r="AC193" s="11">
        <v>930</v>
      </c>
      <c r="AD193" s="11">
        <v>930</v>
      </c>
      <c r="AE193" s="11">
        <v>878</v>
      </c>
      <c r="AF193" s="11">
        <v>878</v>
      </c>
      <c r="AG193" s="11">
        <v>878</v>
      </c>
      <c r="AH193" s="11">
        <v>878</v>
      </c>
      <c r="AI193" s="11">
        <v>854</v>
      </c>
      <c r="AJ193" s="11">
        <v>816</v>
      </c>
      <c r="AK193" s="11">
        <v>816</v>
      </c>
      <c r="AL193" s="11">
        <v>832</v>
      </c>
      <c r="AM193" s="11">
        <v>832</v>
      </c>
      <c r="AN193" s="72">
        <v>832</v>
      </c>
      <c r="AO193" s="72">
        <v>832</v>
      </c>
      <c r="AP193" s="72">
        <v>832</v>
      </c>
      <c r="AQ193" s="72">
        <v>832</v>
      </c>
      <c r="AR193" s="72">
        <v>832</v>
      </c>
      <c r="AS193" s="72">
        <v>832</v>
      </c>
      <c r="AT193" s="72">
        <v>832</v>
      </c>
      <c r="AU193" s="72">
        <v>824</v>
      </c>
      <c r="AV193" s="72">
        <v>811</v>
      </c>
      <c r="AW193" s="72">
        <v>803</v>
      </c>
      <c r="AX193" s="72">
        <v>803</v>
      </c>
      <c r="AY193" s="72">
        <v>803</v>
      </c>
      <c r="AZ193" s="72">
        <v>803</v>
      </c>
      <c r="BA193" s="72">
        <v>799</v>
      </c>
      <c r="BB193" s="72">
        <v>799</v>
      </c>
      <c r="BC193" s="72">
        <v>799</v>
      </c>
      <c r="BD193" s="72">
        <v>799</v>
      </c>
      <c r="BE193" s="72">
        <v>799</v>
      </c>
      <c r="BF193" s="72">
        <v>799</v>
      </c>
      <c r="BG193" s="72">
        <v>799</v>
      </c>
      <c r="BH193" s="72">
        <v>799</v>
      </c>
      <c r="BI193" s="72">
        <v>799</v>
      </c>
      <c r="BJ193" s="72">
        <v>799</v>
      </c>
      <c r="BK193" s="72">
        <v>799</v>
      </c>
      <c r="BL193" s="72">
        <v>799</v>
      </c>
      <c r="BM193" s="72">
        <v>799</v>
      </c>
      <c r="BN193" s="72">
        <v>799</v>
      </c>
      <c r="BO193" s="72">
        <v>799</v>
      </c>
      <c r="BP193" s="72">
        <v>799</v>
      </c>
      <c r="BQ193" s="72">
        <v>799</v>
      </c>
      <c r="BR193" s="72">
        <v>799</v>
      </c>
      <c r="BS193" s="72">
        <v>787</v>
      </c>
      <c r="BT193" s="72">
        <v>785</v>
      </c>
      <c r="BU193" s="72">
        <v>769</v>
      </c>
      <c r="BV193" s="72">
        <v>764</v>
      </c>
      <c r="BW193" s="72">
        <v>756</v>
      </c>
      <c r="BX193" s="72">
        <v>769</v>
      </c>
      <c r="BY193" s="72">
        <v>769</v>
      </c>
      <c r="BZ193" s="72">
        <v>769</v>
      </c>
      <c r="CA193" s="72">
        <v>769</v>
      </c>
      <c r="CB193" s="72">
        <v>769</v>
      </c>
      <c r="CC193" s="72">
        <v>769</v>
      </c>
      <c r="CD193" s="72">
        <v>769</v>
      </c>
      <c r="CE193" s="72">
        <v>769</v>
      </c>
      <c r="CF193" s="72">
        <v>769</v>
      </c>
      <c r="CG193" s="72">
        <v>769</v>
      </c>
      <c r="CH193" s="72">
        <v>769</v>
      </c>
      <c r="CI193" s="72">
        <v>769</v>
      </c>
      <c r="CJ193" s="72">
        <v>769</v>
      </c>
      <c r="CK193" s="72">
        <v>768</v>
      </c>
      <c r="CL193" s="72">
        <v>768</v>
      </c>
      <c r="CM193" s="72">
        <v>768</v>
      </c>
      <c r="CN193" s="72">
        <v>768</v>
      </c>
      <c r="CO193" s="72">
        <v>768</v>
      </c>
      <c r="CP193" s="72">
        <v>768</v>
      </c>
      <c r="CQ193" s="72">
        <v>768</v>
      </c>
      <c r="CR193" s="72">
        <v>768</v>
      </c>
      <c r="CS193" s="72">
        <v>768</v>
      </c>
      <c r="CT193" s="72">
        <v>768</v>
      </c>
      <c r="CU193" s="72">
        <v>768</v>
      </c>
      <c r="CV193" s="72">
        <v>766</v>
      </c>
      <c r="CW193" s="72">
        <v>766</v>
      </c>
      <c r="CX193" s="72">
        <v>768</v>
      </c>
      <c r="CY193" s="72">
        <v>768</v>
      </c>
      <c r="CZ193" s="72">
        <v>768</v>
      </c>
      <c r="DA193" s="72">
        <v>768</v>
      </c>
      <c r="DB193" s="72">
        <v>768</v>
      </c>
      <c r="DC193" s="72">
        <v>768</v>
      </c>
      <c r="DD193" s="72">
        <v>768</v>
      </c>
      <c r="DE193" s="72">
        <v>768</v>
      </c>
      <c r="DF193" s="72">
        <v>768</v>
      </c>
      <c r="DG193" s="72">
        <v>768</v>
      </c>
      <c r="DH193" s="72">
        <v>768</v>
      </c>
      <c r="DI193" s="72">
        <v>768</v>
      </c>
      <c r="DJ193" s="72">
        <v>768</v>
      </c>
      <c r="DK193" s="72">
        <v>763</v>
      </c>
      <c r="DL193" s="72">
        <v>763</v>
      </c>
    </row>
    <row r="194" spans="1:116" x14ac:dyDescent="0.35">
      <c r="A194" s="7"/>
      <c r="B194" s="8" t="s">
        <v>365</v>
      </c>
      <c r="C194" s="9" t="s">
        <v>366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2.2555199999999997</v>
      </c>
      <c r="N194" s="12">
        <f t="shared" si="2"/>
        <v>1073.6275199999998</v>
      </c>
      <c r="O194" s="11">
        <v>500</v>
      </c>
      <c r="P194" s="11">
        <v>500</v>
      </c>
      <c r="Q194" s="11">
        <v>500</v>
      </c>
      <c r="R194" s="11">
        <v>500</v>
      </c>
      <c r="S194" s="11">
        <v>500</v>
      </c>
      <c r="T194" s="11">
        <v>492</v>
      </c>
      <c r="U194" s="11">
        <v>492</v>
      </c>
      <c r="V194" s="11">
        <v>492</v>
      </c>
      <c r="W194" s="11">
        <v>492</v>
      </c>
      <c r="X194" s="11">
        <v>492</v>
      </c>
      <c r="Y194" s="11">
        <v>492</v>
      </c>
      <c r="Z194" s="11">
        <v>492</v>
      </c>
      <c r="AA194" s="11">
        <v>492</v>
      </c>
      <c r="AB194" s="11">
        <v>492</v>
      </c>
      <c r="AC194" s="11">
        <v>492</v>
      </c>
      <c r="AD194" s="11">
        <v>492</v>
      </c>
      <c r="AE194" s="11">
        <v>492</v>
      </c>
      <c r="AF194" s="11">
        <v>492</v>
      </c>
      <c r="AG194" s="11">
        <v>492</v>
      </c>
      <c r="AH194" s="11">
        <v>492</v>
      </c>
      <c r="AI194" s="11">
        <v>492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486</v>
      </c>
      <c r="BR194" s="72">
        <v>486</v>
      </c>
      <c r="BS194" s="72">
        <v>486</v>
      </c>
      <c r="BT194" s="72">
        <v>486</v>
      </c>
      <c r="BU194" s="72">
        <v>486</v>
      </c>
      <c r="BV194" s="72">
        <v>486</v>
      </c>
      <c r="BW194" s="72">
        <v>486</v>
      </c>
      <c r="BX194" s="72">
        <v>486</v>
      </c>
      <c r="BY194" s="72">
        <v>486</v>
      </c>
      <c r="BZ194" s="72">
        <v>486</v>
      </c>
      <c r="CA194" s="72">
        <v>486</v>
      </c>
      <c r="CB194" s="72">
        <v>486</v>
      </c>
      <c r="CC194" s="72">
        <v>486</v>
      </c>
      <c r="CD194" s="72">
        <v>486</v>
      </c>
      <c r="CE194" s="72">
        <v>486</v>
      </c>
      <c r="CF194" s="72">
        <v>486</v>
      </c>
      <c r="CG194" s="72">
        <v>486</v>
      </c>
      <c r="CH194" s="72">
        <v>486</v>
      </c>
      <c r="CI194" s="72">
        <v>486</v>
      </c>
      <c r="CJ194" s="72">
        <v>486</v>
      </c>
      <c r="CK194" s="72">
        <v>486</v>
      </c>
      <c r="CL194" s="72">
        <v>486</v>
      </c>
      <c r="CM194" s="72">
        <v>486</v>
      </c>
      <c r="CN194" s="72">
        <v>486</v>
      </c>
      <c r="CO194" s="72">
        <v>486</v>
      </c>
      <c r="CP194" s="72">
        <v>486</v>
      </c>
      <c r="CQ194" s="72">
        <v>486</v>
      </c>
      <c r="CR194" s="72">
        <v>486</v>
      </c>
      <c r="CS194" s="72">
        <v>486</v>
      </c>
      <c r="CT194" s="72">
        <v>486</v>
      </c>
      <c r="CU194" s="72">
        <v>486</v>
      </c>
      <c r="CV194" s="72">
        <v>486</v>
      </c>
      <c r="CW194" s="72">
        <v>486</v>
      </c>
      <c r="CX194" s="72">
        <v>486</v>
      </c>
      <c r="CY194" s="72">
        <v>486</v>
      </c>
      <c r="CZ194" s="72">
        <v>486</v>
      </c>
      <c r="DA194" s="72">
        <v>486</v>
      </c>
      <c r="DB194" s="72">
        <v>486</v>
      </c>
      <c r="DC194" s="72">
        <v>484</v>
      </c>
      <c r="DD194" s="72">
        <v>486</v>
      </c>
      <c r="DE194" s="72">
        <v>486</v>
      </c>
      <c r="DF194" s="72">
        <v>486</v>
      </c>
      <c r="DG194" s="72">
        <v>486</v>
      </c>
      <c r="DH194" s="72">
        <v>486</v>
      </c>
      <c r="DI194" s="72">
        <v>486</v>
      </c>
      <c r="DJ194" s="72">
        <v>486</v>
      </c>
      <c r="DK194" s="72">
        <v>476</v>
      </c>
      <c r="DL194" s="72">
        <v>476</v>
      </c>
    </row>
    <row r="195" spans="1:116" x14ac:dyDescent="0.35">
      <c r="A195" s="7"/>
      <c r="B195" s="8" t="s">
        <v>367</v>
      </c>
      <c r="C195" s="9" t="s">
        <v>368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492</v>
      </c>
      <c r="J195" s="10"/>
      <c r="K195" s="10"/>
      <c r="L195" s="8"/>
      <c r="M195" s="12">
        <v>2.5930799999999996</v>
      </c>
      <c r="N195" s="12">
        <f t="shared" ref="N195:N258" si="5">M195*DL195</f>
        <v>1275.7953599999998</v>
      </c>
      <c r="O195" s="11">
        <v>300</v>
      </c>
      <c r="P195" s="11">
        <v>300</v>
      </c>
      <c r="Q195" s="11">
        <v>300</v>
      </c>
      <c r="R195" s="11">
        <v>300</v>
      </c>
      <c r="S195" s="11">
        <v>300</v>
      </c>
      <c r="T195" s="11">
        <v>300</v>
      </c>
      <c r="U195" s="11">
        <v>300</v>
      </c>
      <c r="V195" s="11">
        <v>300</v>
      </c>
      <c r="W195" s="11">
        <v>300</v>
      </c>
      <c r="X195" s="11">
        <v>300</v>
      </c>
      <c r="Y195" s="11">
        <v>300</v>
      </c>
      <c r="Z195" s="11">
        <v>300</v>
      </c>
      <c r="AA195" s="11">
        <v>300</v>
      </c>
      <c r="AB195" s="11">
        <v>300</v>
      </c>
      <c r="AC195" s="11">
        <v>300</v>
      </c>
      <c r="AD195" s="11">
        <v>300</v>
      </c>
      <c r="AE195" s="11">
        <v>300</v>
      </c>
      <c r="AF195" s="11">
        <v>300</v>
      </c>
      <c r="AG195" s="11">
        <v>300</v>
      </c>
      <c r="AH195" s="11">
        <v>300</v>
      </c>
      <c r="AI195" s="11">
        <v>300</v>
      </c>
      <c r="AJ195" s="11">
        <v>492</v>
      </c>
      <c r="AK195" s="11">
        <v>492</v>
      </c>
      <c r="AL195" s="11">
        <v>492</v>
      </c>
      <c r="AM195" s="11">
        <v>492</v>
      </c>
      <c r="AN195" s="72">
        <v>492</v>
      </c>
      <c r="AO195" s="72">
        <v>492</v>
      </c>
      <c r="AP195" s="72">
        <v>492</v>
      </c>
      <c r="AQ195" s="72">
        <v>492</v>
      </c>
      <c r="AR195" s="72">
        <v>492</v>
      </c>
      <c r="AS195" s="72">
        <v>492</v>
      </c>
      <c r="AT195" s="72">
        <v>492</v>
      </c>
      <c r="AU195" s="72">
        <v>492</v>
      </c>
      <c r="AV195" s="72">
        <v>492</v>
      </c>
      <c r="AW195" s="72">
        <v>492</v>
      </c>
      <c r="AX195" s="72">
        <v>492</v>
      </c>
      <c r="AY195" s="72">
        <v>492</v>
      </c>
      <c r="AZ195" s="72">
        <v>492</v>
      </c>
      <c r="BA195" s="72">
        <v>492</v>
      </c>
      <c r="BB195" s="72">
        <v>492</v>
      </c>
      <c r="BC195" s="72">
        <v>492</v>
      </c>
      <c r="BD195" s="72">
        <v>492</v>
      </c>
      <c r="BE195" s="72">
        <v>492</v>
      </c>
      <c r="BF195" s="72">
        <v>492</v>
      </c>
      <c r="BG195" s="72">
        <v>492</v>
      </c>
      <c r="BH195" s="72">
        <v>492</v>
      </c>
      <c r="BI195" s="72">
        <v>492</v>
      </c>
      <c r="BJ195" s="72">
        <v>492</v>
      </c>
      <c r="BK195" s="72">
        <v>492</v>
      </c>
      <c r="BL195" s="72">
        <v>492</v>
      </c>
      <c r="BM195" s="72">
        <v>492</v>
      </c>
      <c r="BN195" s="72">
        <v>492</v>
      </c>
      <c r="BO195" s="72">
        <v>492</v>
      </c>
      <c r="BP195" s="72">
        <v>492</v>
      </c>
      <c r="BQ195" s="72">
        <v>492</v>
      </c>
      <c r="BR195" s="72">
        <v>492</v>
      </c>
      <c r="BS195" s="72">
        <v>492</v>
      </c>
      <c r="BT195" s="72">
        <v>490</v>
      </c>
      <c r="BU195" s="72">
        <v>492</v>
      </c>
      <c r="BV195" s="72">
        <v>492</v>
      </c>
      <c r="BW195" s="72">
        <v>492</v>
      </c>
      <c r="BX195" s="72">
        <v>492</v>
      </c>
      <c r="BY195" s="72">
        <v>492</v>
      </c>
      <c r="BZ195" s="72">
        <v>492</v>
      </c>
      <c r="CA195" s="72">
        <v>492</v>
      </c>
      <c r="CB195" s="72">
        <v>492</v>
      </c>
      <c r="CC195" s="72">
        <v>492</v>
      </c>
      <c r="CD195" s="72">
        <v>492</v>
      </c>
      <c r="CE195" s="72">
        <v>492</v>
      </c>
      <c r="CF195" s="72">
        <v>492</v>
      </c>
      <c r="CG195" s="72">
        <v>492</v>
      </c>
      <c r="CH195" s="72">
        <v>492</v>
      </c>
      <c r="CI195" s="72">
        <v>492</v>
      </c>
      <c r="CJ195" s="72">
        <v>492</v>
      </c>
      <c r="CK195" s="72">
        <v>492</v>
      </c>
      <c r="CL195" s="72">
        <v>492</v>
      </c>
      <c r="CM195" s="72">
        <v>492</v>
      </c>
      <c r="CN195" s="72">
        <v>492</v>
      </c>
      <c r="CO195" s="72">
        <v>492</v>
      </c>
      <c r="CP195" s="72">
        <v>492</v>
      </c>
      <c r="CQ195" s="72">
        <v>492</v>
      </c>
      <c r="CR195" s="72">
        <v>492</v>
      </c>
      <c r="CS195" s="72">
        <v>492</v>
      </c>
      <c r="CT195" s="72">
        <v>492</v>
      </c>
      <c r="CU195" s="72">
        <v>492</v>
      </c>
      <c r="CV195" s="72">
        <v>492</v>
      </c>
      <c r="CW195" s="72">
        <v>492</v>
      </c>
      <c r="CX195" s="72">
        <v>492</v>
      </c>
      <c r="CY195" s="72">
        <v>492</v>
      </c>
      <c r="CZ195" s="72">
        <v>492</v>
      </c>
      <c r="DA195" s="72">
        <v>492</v>
      </c>
      <c r="DB195" s="72">
        <v>492</v>
      </c>
      <c r="DC195" s="72">
        <v>492</v>
      </c>
      <c r="DD195" s="72">
        <v>492</v>
      </c>
      <c r="DE195" s="72">
        <v>492</v>
      </c>
      <c r="DF195" s="72">
        <v>492</v>
      </c>
      <c r="DG195" s="72">
        <v>492</v>
      </c>
      <c r="DH195" s="72">
        <v>492</v>
      </c>
      <c r="DI195" s="72">
        <v>492</v>
      </c>
      <c r="DJ195" s="72">
        <v>492</v>
      </c>
      <c r="DK195" s="72">
        <v>492</v>
      </c>
      <c r="DL195" s="72">
        <v>492</v>
      </c>
    </row>
    <row r="196" spans="1:116" x14ac:dyDescent="0.35">
      <c r="A196" s="7"/>
      <c r="B196" s="8" t="s">
        <v>369</v>
      </c>
      <c r="C196" s="9" t="s">
        <v>370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100</v>
      </c>
      <c r="J196" s="10"/>
      <c r="K196" s="10"/>
      <c r="L196" s="8"/>
      <c r="M196" s="12">
        <v>2.9306400000000004</v>
      </c>
      <c r="N196" s="12">
        <f t="shared" si="5"/>
        <v>293.06400000000002</v>
      </c>
      <c r="O196" s="11">
        <v>100</v>
      </c>
      <c r="P196" s="11">
        <v>100</v>
      </c>
      <c r="Q196" s="11">
        <v>100</v>
      </c>
      <c r="R196" s="11">
        <v>100</v>
      </c>
      <c r="S196" s="11">
        <v>100</v>
      </c>
      <c r="T196" s="11">
        <v>100</v>
      </c>
      <c r="U196" s="11">
        <v>100</v>
      </c>
      <c r="V196" s="11">
        <v>100</v>
      </c>
      <c r="W196" s="11">
        <v>100</v>
      </c>
      <c r="X196" s="11">
        <v>100</v>
      </c>
      <c r="Y196" s="11">
        <v>100</v>
      </c>
      <c r="Z196" s="11">
        <v>100</v>
      </c>
      <c r="AA196" s="11">
        <v>100</v>
      </c>
      <c r="AB196" s="11">
        <v>100</v>
      </c>
      <c r="AC196" s="11">
        <v>100</v>
      </c>
      <c r="AD196" s="11">
        <v>100</v>
      </c>
      <c r="AE196" s="11">
        <v>100</v>
      </c>
      <c r="AF196" s="11">
        <v>100</v>
      </c>
      <c r="AG196" s="11">
        <v>100</v>
      </c>
      <c r="AH196" s="11">
        <v>100</v>
      </c>
      <c r="AI196" s="11">
        <v>100</v>
      </c>
      <c r="AJ196" s="11">
        <v>100</v>
      </c>
      <c r="AK196" s="11">
        <v>100</v>
      </c>
      <c r="AL196" s="11">
        <v>100</v>
      </c>
      <c r="AM196" s="11">
        <v>100</v>
      </c>
      <c r="AN196" s="72">
        <v>100</v>
      </c>
      <c r="AO196" s="72">
        <v>100</v>
      </c>
      <c r="AP196" s="72">
        <v>100</v>
      </c>
      <c r="AQ196" s="72">
        <v>100</v>
      </c>
      <c r="AR196" s="72">
        <v>100</v>
      </c>
      <c r="AS196" s="72">
        <v>100</v>
      </c>
      <c r="AT196" s="72">
        <v>100</v>
      </c>
      <c r="AU196" s="72">
        <v>100</v>
      </c>
      <c r="AV196" s="72">
        <v>100</v>
      </c>
      <c r="AW196" s="72">
        <v>100</v>
      </c>
      <c r="AX196" s="72">
        <v>100</v>
      </c>
      <c r="AY196" s="72">
        <v>100</v>
      </c>
      <c r="AZ196" s="72">
        <v>100</v>
      </c>
      <c r="BA196" s="72">
        <v>100</v>
      </c>
      <c r="BB196" s="72">
        <v>100</v>
      </c>
      <c r="BC196" s="72">
        <v>100</v>
      </c>
      <c r="BD196" s="72">
        <v>100</v>
      </c>
      <c r="BE196" s="72">
        <v>100</v>
      </c>
      <c r="BF196" s="72">
        <v>100</v>
      </c>
      <c r="BG196" s="72">
        <v>100</v>
      </c>
      <c r="BH196" s="72">
        <v>100</v>
      </c>
      <c r="BI196" s="72">
        <v>100</v>
      </c>
      <c r="BJ196" s="72">
        <v>100</v>
      </c>
      <c r="BK196" s="72">
        <v>100</v>
      </c>
      <c r="BL196" s="72">
        <v>100</v>
      </c>
      <c r="BM196" s="72">
        <v>100</v>
      </c>
      <c r="BN196" s="72">
        <v>100</v>
      </c>
      <c r="BO196" s="72">
        <v>100</v>
      </c>
      <c r="BP196" s="72">
        <v>100</v>
      </c>
      <c r="BQ196" s="72">
        <v>100</v>
      </c>
      <c r="BR196" s="72">
        <v>100</v>
      </c>
      <c r="BS196" s="72">
        <v>100</v>
      </c>
      <c r="BT196" s="72">
        <v>100</v>
      </c>
      <c r="BU196" s="72">
        <v>100</v>
      </c>
      <c r="BV196" s="72">
        <v>100</v>
      </c>
      <c r="BW196" s="72">
        <v>100</v>
      </c>
      <c r="BX196" s="72">
        <v>100</v>
      </c>
      <c r="BY196" s="72">
        <v>100</v>
      </c>
      <c r="BZ196" s="72">
        <v>100</v>
      </c>
      <c r="CA196" s="72">
        <v>100</v>
      </c>
      <c r="CB196" s="72">
        <v>100</v>
      </c>
      <c r="CC196" s="72">
        <v>100</v>
      </c>
      <c r="CD196" s="72">
        <v>100</v>
      </c>
      <c r="CE196" s="72">
        <v>100</v>
      </c>
      <c r="CF196" s="72">
        <v>100</v>
      </c>
      <c r="CG196" s="72">
        <v>100</v>
      </c>
      <c r="CH196" s="72">
        <v>100</v>
      </c>
      <c r="CI196" s="72">
        <v>100</v>
      </c>
      <c r="CJ196" s="72">
        <v>100</v>
      </c>
      <c r="CK196" s="72">
        <v>100</v>
      </c>
      <c r="CL196" s="72">
        <v>100</v>
      </c>
      <c r="CM196" s="72">
        <v>100</v>
      </c>
      <c r="CN196" s="72">
        <v>100</v>
      </c>
      <c r="CO196" s="72">
        <v>100</v>
      </c>
      <c r="CP196" s="72">
        <v>100</v>
      </c>
      <c r="CQ196" s="72">
        <v>100</v>
      </c>
      <c r="CR196" s="72">
        <v>100</v>
      </c>
      <c r="CS196" s="72">
        <v>100</v>
      </c>
      <c r="CT196" s="72">
        <v>100</v>
      </c>
      <c r="CU196" s="72">
        <v>100</v>
      </c>
      <c r="CV196" s="72">
        <v>100</v>
      </c>
      <c r="CW196" s="72">
        <v>100</v>
      </c>
      <c r="CX196" s="72">
        <v>100</v>
      </c>
      <c r="CY196" s="72">
        <v>100</v>
      </c>
      <c r="CZ196" s="72">
        <v>100</v>
      </c>
      <c r="DA196" s="72">
        <v>100</v>
      </c>
      <c r="DB196" s="72">
        <v>100</v>
      </c>
      <c r="DC196" s="72">
        <v>100</v>
      </c>
      <c r="DD196" s="72">
        <v>100</v>
      </c>
      <c r="DE196" s="72">
        <v>100</v>
      </c>
      <c r="DF196" s="72">
        <v>100</v>
      </c>
      <c r="DG196" s="72">
        <v>100</v>
      </c>
      <c r="DH196" s="72">
        <v>100</v>
      </c>
      <c r="DI196" s="72">
        <v>100</v>
      </c>
      <c r="DJ196" s="72">
        <v>100</v>
      </c>
      <c r="DK196" s="72">
        <v>100</v>
      </c>
      <c r="DL196" s="72">
        <v>100</v>
      </c>
    </row>
    <row r="197" spans="1:116" x14ac:dyDescent="0.35">
      <c r="A197" s="7"/>
      <c r="B197" s="8" t="s">
        <v>371</v>
      </c>
      <c r="C197" s="9" t="s">
        <v>372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657</v>
      </c>
      <c r="J197" s="10">
        <v>2</v>
      </c>
      <c r="K197" s="10" t="s">
        <v>42</v>
      </c>
      <c r="L197" s="8" t="s">
        <v>206</v>
      </c>
      <c r="M197" s="12">
        <v>2.4417599999999995</v>
      </c>
      <c r="N197" s="12">
        <f t="shared" si="5"/>
        <v>1191.5788799999998</v>
      </c>
      <c r="O197" s="11">
        <v>872</v>
      </c>
      <c r="P197" s="11">
        <v>872</v>
      </c>
      <c r="Q197" s="11">
        <v>862</v>
      </c>
      <c r="R197" s="11">
        <v>848</v>
      </c>
      <c r="S197" s="11">
        <v>848</v>
      </c>
      <c r="T197" s="11">
        <v>847</v>
      </c>
      <c r="U197" s="11">
        <v>827</v>
      </c>
      <c r="V197" s="11">
        <v>827</v>
      </c>
      <c r="W197" s="11">
        <v>827</v>
      </c>
      <c r="X197" s="11">
        <v>823</v>
      </c>
      <c r="Y197" s="11">
        <v>817</v>
      </c>
      <c r="Z197" s="11">
        <v>818</v>
      </c>
      <c r="AA197" s="11">
        <v>818</v>
      </c>
      <c r="AB197" s="11">
        <v>818</v>
      </c>
      <c r="AC197" s="11">
        <v>813</v>
      </c>
      <c r="AD197" s="11">
        <v>813</v>
      </c>
      <c r="AE197" s="11">
        <v>757</v>
      </c>
      <c r="AF197" s="11">
        <v>757</v>
      </c>
      <c r="AG197" s="11">
        <v>757</v>
      </c>
      <c r="AH197" s="11">
        <v>757</v>
      </c>
      <c r="AI197" s="11">
        <v>757</v>
      </c>
      <c r="AJ197" s="11">
        <v>657</v>
      </c>
      <c r="AK197" s="11">
        <v>657</v>
      </c>
      <c r="AL197" s="11">
        <v>656</v>
      </c>
      <c r="AM197" s="11">
        <v>656</v>
      </c>
      <c r="AN197" s="72">
        <v>656</v>
      </c>
      <c r="AO197" s="72">
        <v>656</v>
      </c>
      <c r="AP197" s="72">
        <v>656</v>
      </c>
      <c r="AQ197" s="72">
        <v>651</v>
      </c>
      <c r="AR197" s="72">
        <v>611</v>
      </c>
      <c r="AS197" s="72">
        <v>599</v>
      </c>
      <c r="AT197" s="72">
        <v>599</v>
      </c>
      <c r="AU197" s="72">
        <v>599</v>
      </c>
      <c r="AV197" s="72">
        <v>599</v>
      </c>
      <c r="AW197" s="72">
        <v>599</v>
      </c>
      <c r="AX197" s="72">
        <v>599</v>
      </c>
      <c r="AY197" s="72">
        <v>575</v>
      </c>
      <c r="AZ197" s="72">
        <v>575</v>
      </c>
      <c r="BA197" s="72">
        <v>523</v>
      </c>
      <c r="BB197" s="72">
        <v>493</v>
      </c>
      <c r="BC197" s="72">
        <v>493</v>
      </c>
      <c r="BD197" s="72">
        <v>494</v>
      </c>
      <c r="BE197" s="72">
        <v>494</v>
      </c>
      <c r="BF197" s="72">
        <v>494</v>
      </c>
      <c r="BG197" s="72">
        <v>494</v>
      </c>
      <c r="BH197" s="72">
        <v>488</v>
      </c>
      <c r="BI197" s="72">
        <v>488</v>
      </c>
      <c r="BJ197" s="72">
        <v>488</v>
      </c>
      <c r="BK197" s="72">
        <v>488</v>
      </c>
      <c r="BL197" s="72">
        <v>488</v>
      </c>
      <c r="BM197" s="72">
        <v>488</v>
      </c>
      <c r="BN197" s="72">
        <v>488</v>
      </c>
      <c r="BO197" s="72">
        <v>488</v>
      </c>
      <c r="BP197" s="72">
        <v>488</v>
      </c>
      <c r="BQ197" s="72">
        <v>493</v>
      </c>
      <c r="BR197" s="72">
        <v>493</v>
      </c>
      <c r="BS197" s="72">
        <v>493</v>
      </c>
      <c r="BT197" s="72">
        <v>493</v>
      </c>
      <c r="BU197" s="72">
        <v>493</v>
      </c>
      <c r="BV197" s="72">
        <v>493</v>
      </c>
      <c r="BW197" s="72">
        <v>493</v>
      </c>
      <c r="BX197" s="72">
        <v>493</v>
      </c>
      <c r="BY197" s="72">
        <v>493</v>
      </c>
      <c r="BZ197" s="72">
        <v>493</v>
      </c>
      <c r="CA197" s="72">
        <v>493</v>
      </c>
      <c r="CB197" s="72">
        <v>493</v>
      </c>
      <c r="CC197" s="72">
        <v>493</v>
      </c>
      <c r="CD197" s="72">
        <v>493</v>
      </c>
      <c r="CE197" s="72">
        <v>493</v>
      </c>
      <c r="CF197" s="72">
        <v>493</v>
      </c>
      <c r="CG197" s="72">
        <v>493</v>
      </c>
      <c r="CH197" s="72">
        <v>493</v>
      </c>
      <c r="CI197" s="72">
        <v>493</v>
      </c>
      <c r="CJ197" s="72">
        <v>493</v>
      </c>
      <c r="CK197" s="72">
        <v>493</v>
      </c>
      <c r="CL197" s="72">
        <v>493</v>
      </c>
      <c r="CM197" s="72">
        <v>493</v>
      </c>
      <c r="CN197" s="72">
        <v>493</v>
      </c>
      <c r="CO197" s="72">
        <v>493</v>
      </c>
      <c r="CP197" s="72">
        <v>493</v>
      </c>
      <c r="CQ197" s="72">
        <v>493</v>
      </c>
      <c r="CR197" s="72">
        <v>493</v>
      </c>
      <c r="CS197" s="72">
        <v>493</v>
      </c>
      <c r="CT197" s="72">
        <v>493</v>
      </c>
      <c r="CU197" s="72">
        <v>493</v>
      </c>
      <c r="CV197" s="72">
        <v>493</v>
      </c>
      <c r="CW197" s="72">
        <v>493</v>
      </c>
      <c r="CX197" s="72">
        <v>493</v>
      </c>
      <c r="CY197" s="72">
        <v>493</v>
      </c>
      <c r="CZ197" s="72">
        <v>493</v>
      </c>
      <c r="DA197" s="72">
        <v>493</v>
      </c>
      <c r="DB197" s="72">
        <v>493</v>
      </c>
      <c r="DC197" s="72">
        <v>493</v>
      </c>
      <c r="DD197" s="72">
        <v>493</v>
      </c>
      <c r="DE197" s="72">
        <v>493</v>
      </c>
      <c r="DF197" s="72">
        <v>493</v>
      </c>
      <c r="DG197" s="72">
        <v>493</v>
      </c>
      <c r="DH197" s="72">
        <v>493</v>
      </c>
      <c r="DI197" s="72">
        <v>493</v>
      </c>
      <c r="DJ197" s="72">
        <v>493</v>
      </c>
      <c r="DK197" s="72">
        <v>488</v>
      </c>
      <c r="DL197" s="72">
        <v>488</v>
      </c>
    </row>
    <row r="198" spans="1:116" x14ac:dyDescent="0.35">
      <c r="A198" s="7"/>
      <c r="B198" s="8" t="s">
        <v>373</v>
      </c>
      <c r="C198" s="9" t="s">
        <v>374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424</v>
      </c>
      <c r="J198" s="10"/>
      <c r="K198" s="10"/>
      <c r="L198" s="8"/>
      <c r="M198" s="12">
        <v>2.7909599999999997</v>
      </c>
      <c r="N198" s="12">
        <f t="shared" si="5"/>
        <v>842.86991999999987</v>
      </c>
      <c r="O198" s="11">
        <v>489</v>
      </c>
      <c r="P198" s="11">
        <v>483</v>
      </c>
      <c r="Q198" s="11">
        <v>483</v>
      </c>
      <c r="R198" s="11">
        <v>483</v>
      </c>
      <c r="S198" s="11">
        <v>483</v>
      </c>
      <c r="T198" s="11">
        <v>483</v>
      </c>
      <c r="U198" s="11">
        <v>483</v>
      </c>
      <c r="V198" s="11">
        <v>483</v>
      </c>
      <c r="W198" s="11">
        <v>483</v>
      </c>
      <c r="X198" s="11">
        <v>483</v>
      </c>
      <c r="Y198" s="11">
        <v>483</v>
      </c>
      <c r="Z198" s="11">
        <v>481</v>
      </c>
      <c r="AA198" s="11">
        <v>481</v>
      </c>
      <c r="AB198" s="11">
        <v>477</v>
      </c>
      <c r="AC198" s="11">
        <v>464</v>
      </c>
      <c r="AD198" s="11">
        <v>464</v>
      </c>
      <c r="AE198" s="11">
        <v>444</v>
      </c>
      <c r="AF198" s="11">
        <v>444</v>
      </c>
      <c r="AG198" s="11">
        <v>444</v>
      </c>
      <c r="AH198" s="11">
        <v>424</v>
      </c>
      <c r="AI198" s="11">
        <v>424</v>
      </c>
      <c r="AJ198" s="11">
        <v>424</v>
      </c>
      <c r="AK198" s="11">
        <v>424</v>
      </c>
      <c r="AL198" s="11">
        <v>422</v>
      </c>
      <c r="AM198" s="11">
        <v>424</v>
      </c>
      <c r="AN198" s="72">
        <v>419</v>
      </c>
      <c r="AO198" s="72">
        <v>419</v>
      </c>
      <c r="AP198" s="72">
        <v>419</v>
      </c>
      <c r="AQ198" s="72">
        <v>419</v>
      </c>
      <c r="AR198" s="72">
        <v>399</v>
      </c>
      <c r="AS198" s="72">
        <v>399</v>
      </c>
      <c r="AT198" s="72">
        <v>399</v>
      </c>
      <c r="AU198" s="72">
        <v>399</v>
      </c>
      <c r="AV198" s="72">
        <v>399</v>
      </c>
      <c r="AW198" s="72">
        <v>399</v>
      </c>
      <c r="AX198" s="72">
        <v>399</v>
      </c>
      <c r="AY198" s="72">
        <v>388</v>
      </c>
      <c r="AZ198" s="72">
        <v>388</v>
      </c>
      <c r="BA198" s="72">
        <v>388</v>
      </c>
      <c r="BB198" s="72">
        <v>358</v>
      </c>
      <c r="BC198" s="72">
        <v>358</v>
      </c>
      <c r="BD198" s="72">
        <v>377</v>
      </c>
      <c r="BE198" s="72">
        <v>377</v>
      </c>
      <c r="BF198" s="72">
        <v>377</v>
      </c>
      <c r="BG198" s="72">
        <v>377</v>
      </c>
      <c r="BH198" s="72">
        <v>377</v>
      </c>
      <c r="BI198" s="72">
        <v>374</v>
      </c>
      <c r="BJ198" s="72">
        <v>374</v>
      </c>
      <c r="BK198" s="72">
        <v>318</v>
      </c>
      <c r="BL198" s="72">
        <v>318</v>
      </c>
      <c r="BM198" s="72">
        <v>318</v>
      </c>
      <c r="BN198" s="72">
        <v>318</v>
      </c>
      <c r="BO198" s="72">
        <v>318</v>
      </c>
      <c r="BP198" s="72">
        <v>318</v>
      </c>
      <c r="BQ198" s="72">
        <v>318</v>
      </c>
      <c r="BR198" s="72">
        <v>318</v>
      </c>
      <c r="BS198" s="72">
        <v>318</v>
      </c>
      <c r="BT198" s="72">
        <v>318</v>
      </c>
      <c r="BU198" s="72">
        <v>318</v>
      </c>
      <c r="BV198" s="72">
        <v>318</v>
      </c>
      <c r="BW198" s="72">
        <v>318</v>
      </c>
      <c r="BX198" s="72">
        <v>318</v>
      </c>
      <c r="BY198" s="72">
        <v>312</v>
      </c>
      <c r="BZ198" s="72">
        <v>312</v>
      </c>
      <c r="CA198" s="72">
        <v>312</v>
      </c>
      <c r="CB198" s="72">
        <v>312</v>
      </c>
      <c r="CC198" s="72">
        <v>312</v>
      </c>
      <c r="CD198" s="72">
        <v>312</v>
      </c>
      <c r="CE198" s="72">
        <v>312</v>
      </c>
      <c r="CF198" s="72">
        <v>312</v>
      </c>
      <c r="CG198" s="72">
        <v>312</v>
      </c>
      <c r="CH198" s="72">
        <v>312</v>
      </c>
      <c r="CI198" s="72">
        <v>312</v>
      </c>
      <c r="CJ198" s="72">
        <v>312</v>
      </c>
      <c r="CK198" s="72">
        <v>312</v>
      </c>
      <c r="CL198" s="72">
        <v>312</v>
      </c>
      <c r="CM198" s="72">
        <v>312</v>
      </c>
      <c r="CN198" s="72">
        <v>312</v>
      </c>
      <c r="CO198" s="72">
        <v>312</v>
      </c>
      <c r="CP198" s="72">
        <v>312</v>
      </c>
      <c r="CQ198" s="72">
        <v>312</v>
      </c>
      <c r="CR198" s="72">
        <v>312</v>
      </c>
      <c r="CS198" s="72">
        <v>312</v>
      </c>
      <c r="CT198" s="72">
        <v>312</v>
      </c>
      <c r="CU198" s="72">
        <v>312</v>
      </c>
      <c r="CV198" s="72">
        <v>312</v>
      </c>
      <c r="CW198" s="72">
        <v>312</v>
      </c>
      <c r="CX198" s="72">
        <v>312</v>
      </c>
      <c r="CY198" s="72">
        <v>312</v>
      </c>
      <c r="CZ198" s="72">
        <v>312</v>
      </c>
      <c r="DA198" s="72">
        <v>312</v>
      </c>
      <c r="DB198" s="72">
        <v>312</v>
      </c>
      <c r="DC198" s="72">
        <v>310</v>
      </c>
      <c r="DD198" s="72">
        <v>312</v>
      </c>
      <c r="DE198" s="72">
        <v>312</v>
      </c>
      <c r="DF198" s="72">
        <v>312</v>
      </c>
      <c r="DG198" s="72">
        <v>312</v>
      </c>
      <c r="DH198" s="72">
        <v>312</v>
      </c>
      <c r="DI198" s="72">
        <v>312</v>
      </c>
      <c r="DJ198" s="72">
        <v>312</v>
      </c>
      <c r="DK198" s="72">
        <v>302</v>
      </c>
      <c r="DL198" s="72">
        <v>302</v>
      </c>
    </row>
    <row r="199" spans="1:116" x14ac:dyDescent="0.35">
      <c r="A199" s="7"/>
      <c r="B199" s="8" t="s">
        <v>375</v>
      </c>
      <c r="C199" s="9" t="s">
        <v>376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134</v>
      </c>
      <c r="J199" s="10"/>
      <c r="K199" s="10"/>
      <c r="L199" s="8"/>
      <c r="M199" s="12">
        <v>3.1401599999999998</v>
      </c>
      <c r="N199" s="12">
        <f t="shared" si="5"/>
        <v>320.29631999999998</v>
      </c>
      <c r="O199" s="11">
        <v>265</v>
      </c>
      <c r="P199" s="11">
        <v>256</v>
      </c>
      <c r="Q199" s="11">
        <v>256</v>
      </c>
      <c r="R199" s="11">
        <v>247</v>
      </c>
      <c r="S199" s="11">
        <v>247</v>
      </c>
      <c r="T199" s="11">
        <v>213</v>
      </c>
      <c r="U199" s="11">
        <v>213</v>
      </c>
      <c r="V199" s="11">
        <v>213</v>
      </c>
      <c r="W199" s="11">
        <v>213</v>
      </c>
      <c r="X199" s="11">
        <v>209</v>
      </c>
      <c r="Y199" s="11">
        <v>187</v>
      </c>
      <c r="Z199" s="11">
        <v>160</v>
      </c>
      <c r="AA199" s="11">
        <v>160</v>
      </c>
      <c r="AB199" s="11">
        <v>156</v>
      </c>
      <c r="AC199" s="11">
        <v>156</v>
      </c>
      <c r="AD199" s="11">
        <v>156</v>
      </c>
      <c r="AE199" s="11">
        <v>154</v>
      </c>
      <c r="AF199" s="11">
        <v>154</v>
      </c>
      <c r="AG199" s="11">
        <v>156</v>
      </c>
      <c r="AH199" s="11">
        <v>134</v>
      </c>
      <c r="AI199" s="11">
        <v>134</v>
      </c>
      <c r="AJ199" s="11">
        <v>134</v>
      </c>
      <c r="AK199" s="11">
        <v>134</v>
      </c>
      <c r="AL199" s="11">
        <v>134</v>
      </c>
      <c r="AM199" s="11">
        <v>134</v>
      </c>
      <c r="AN199" s="72">
        <v>134</v>
      </c>
      <c r="AO199" s="72">
        <v>134</v>
      </c>
      <c r="AP199" s="72">
        <v>134</v>
      </c>
      <c r="AQ199" s="72">
        <v>129</v>
      </c>
      <c r="AR199" s="72">
        <v>109</v>
      </c>
      <c r="AS199" s="72">
        <v>109</v>
      </c>
      <c r="AT199" s="72">
        <v>109</v>
      </c>
      <c r="AU199" s="72">
        <v>109</v>
      </c>
      <c r="AV199" s="72">
        <v>109</v>
      </c>
      <c r="AW199" s="72">
        <v>109</v>
      </c>
      <c r="AX199" s="72">
        <v>109</v>
      </c>
      <c r="AY199" s="72">
        <v>104</v>
      </c>
      <c r="AZ199" s="72">
        <v>104</v>
      </c>
      <c r="BA199" s="72">
        <v>104</v>
      </c>
      <c r="BB199" s="72">
        <v>84</v>
      </c>
      <c r="BC199" s="72">
        <v>84</v>
      </c>
      <c r="BD199" s="72">
        <v>104</v>
      </c>
      <c r="BE199" s="72">
        <v>104</v>
      </c>
      <c r="BF199" s="72">
        <v>102</v>
      </c>
      <c r="BG199" s="72">
        <v>102</v>
      </c>
      <c r="BH199" s="72">
        <v>104</v>
      </c>
      <c r="BI199" s="72">
        <v>104</v>
      </c>
      <c r="BJ199" s="72">
        <v>104</v>
      </c>
      <c r="BK199" s="72">
        <v>104</v>
      </c>
      <c r="BL199" s="72">
        <v>104</v>
      </c>
      <c r="BM199" s="72">
        <v>104</v>
      </c>
      <c r="BN199" s="72">
        <v>104</v>
      </c>
      <c r="BO199" s="72">
        <v>104</v>
      </c>
      <c r="BP199" s="72">
        <v>104</v>
      </c>
      <c r="BQ199" s="72">
        <v>104</v>
      </c>
      <c r="BR199" s="72">
        <v>104</v>
      </c>
      <c r="BS199" s="72">
        <v>104</v>
      </c>
      <c r="BT199" s="72">
        <v>104</v>
      </c>
      <c r="BU199" s="72">
        <v>104</v>
      </c>
      <c r="BV199" s="72">
        <v>104</v>
      </c>
      <c r="BW199" s="72">
        <v>104</v>
      </c>
      <c r="BX199" s="72">
        <v>104</v>
      </c>
      <c r="BY199" s="72">
        <v>102</v>
      </c>
      <c r="BZ199" s="72">
        <v>102</v>
      </c>
      <c r="CA199" s="72">
        <v>102</v>
      </c>
      <c r="CB199" s="72">
        <v>102</v>
      </c>
      <c r="CC199" s="72">
        <v>102</v>
      </c>
      <c r="CD199" s="72">
        <v>102</v>
      </c>
      <c r="CE199" s="72">
        <v>102</v>
      </c>
      <c r="CF199" s="72">
        <v>102</v>
      </c>
      <c r="CG199" s="72">
        <v>102</v>
      </c>
      <c r="CH199" s="72">
        <v>102</v>
      </c>
      <c r="CI199" s="72">
        <v>102</v>
      </c>
      <c r="CJ199" s="72">
        <v>102</v>
      </c>
      <c r="CK199" s="72">
        <v>102</v>
      </c>
      <c r="CL199" s="72">
        <v>102</v>
      </c>
      <c r="CM199" s="72">
        <v>102</v>
      </c>
      <c r="CN199" s="72">
        <v>102</v>
      </c>
      <c r="CO199" s="72">
        <v>102</v>
      </c>
      <c r="CP199" s="72">
        <v>102</v>
      </c>
      <c r="CQ199" s="72">
        <v>102</v>
      </c>
      <c r="CR199" s="72">
        <v>102</v>
      </c>
      <c r="CS199" s="72">
        <v>102</v>
      </c>
      <c r="CT199" s="72">
        <v>102</v>
      </c>
      <c r="CU199" s="72">
        <v>102</v>
      </c>
      <c r="CV199" s="72">
        <v>102</v>
      </c>
      <c r="CW199" s="72">
        <v>102</v>
      </c>
      <c r="CX199" s="72">
        <v>102</v>
      </c>
      <c r="CY199" s="72">
        <v>102</v>
      </c>
      <c r="CZ199" s="72">
        <v>102</v>
      </c>
      <c r="DA199" s="72">
        <v>102</v>
      </c>
      <c r="DB199" s="72">
        <v>102</v>
      </c>
      <c r="DC199" s="72">
        <v>102</v>
      </c>
      <c r="DD199" s="72">
        <v>102</v>
      </c>
      <c r="DE199" s="72">
        <v>102</v>
      </c>
      <c r="DF199" s="72">
        <v>102</v>
      </c>
      <c r="DG199" s="72">
        <v>102</v>
      </c>
      <c r="DH199" s="72">
        <v>102</v>
      </c>
      <c r="DI199" s="72">
        <v>102</v>
      </c>
      <c r="DJ199" s="72">
        <v>102</v>
      </c>
      <c r="DK199" s="72">
        <v>102</v>
      </c>
      <c r="DL199" s="72">
        <v>102</v>
      </c>
    </row>
    <row r="200" spans="1:116" x14ac:dyDescent="0.35">
      <c r="A200" s="7"/>
      <c r="B200" s="8" t="s">
        <v>377</v>
      </c>
      <c r="C200" s="9" t="s">
        <v>378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81</v>
      </c>
      <c r="J200" s="10"/>
      <c r="K200" s="10"/>
      <c r="L200" s="8"/>
      <c r="M200" s="12">
        <v>3.8385600000000002</v>
      </c>
      <c r="N200" s="12">
        <f t="shared" si="5"/>
        <v>291.73056000000003</v>
      </c>
      <c r="O200" s="11">
        <v>85</v>
      </c>
      <c r="P200" s="11">
        <v>85</v>
      </c>
      <c r="Q200" s="11">
        <v>85</v>
      </c>
      <c r="R200" s="11">
        <v>85</v>
      </c>
      <c r="S200" s="11">
        <v>85</v>
      </c>
      <c r="T200" s="11">
        <v>85</v>
      </c>
      <c r="U200" s="11">
        <v>85</v>
      </c>
      <c r="V200" s="11">
        <v>85</v>
      </c>
      <c r="W200" s="11">
        <v>81</v>
      </c>
      <c r="X200" s="11">
        <v>81</v>
      </c>
      <c r="Y200" s="11">
        <v>81</v>
      </c>
      <c r="Z200" s="11">
        <v>81</v>
      </c>
      <c r="AA200" s="11">
        <v>81</v>
      </c>
      <c r="AB200" s="11">
        <v>81</v>
      </c>
      <c r="AC200" s="11">
        <v>81</v>
      </c>
      <c r="AD200" s="11">
        <v>81</v>
      </c>
      <c r="AE200" s="11">
        <v>81</v>
      </c>
      <c r="AF200" s="11">
        <v>81</v>
      </c>
      <c r="AG200" s="11">
        <v>81</v>
      </c>
      <c r="AH200" s="11">
        <v>81</v>
      </c>
      <c r="AI200" s="11">
        <v>81</v>
      </c>
      <c r="AJ200" s="11">
        <v>81</v>
      </c>
      <c r="AK200" s="11">
        <v>81</v>
      </c>
      <c r="AL200" s="11">
        <v>81</v>
      </c>
      <c r="AM200" s="11">
        <v>81</v>
      </c>
      <c r="AN200" s="72">
        <v>81</v>
      </c>
      <c r="AO200" s="72">
        <v>81</v>
      </c>
      <c r="AP200" s="72">
        <v>81</v>
      </c>
      <c r="AQ200" s="72">
        <v>81</v>
      </c>
      <c r="AR200" s="72">
        <v>81</v>
      </c>
      <c r="AS200" s="72">
        <v>81</v>
      </c>
      <c r="AT200" s="72">
        <v>81</v>
      </c>
      <c r="AU200" s="72">
        <v>81</v>
      </c>
      <c r="AV200" s="72">
        <v>81</v>
      </c>
      <c r="AW200" s="72">
        <v>81</v>
      </c>
      <c r="AX200" s="72">
        <v>81</v>
      </c>
      <c r="AY200" s="72">
        <v>76</v>
      </c>
      <c r="AZ200" s="72">
        <v>76</v>
      </c>
      <c r="BA200" s="72">
        <v>76</v>
      </c>
      <c r="BB200" s="72">
        <v>76</v>
      </c>
      <c r="BC200" s="72">
        <v>76</v>
      </c>
      <c r="BD200" s="72">
        <v>76</v>
      </c>
      <c r="BE200" s="72">
        <v>76</v>
      </c>
      <c r="BF200" s="72">
        <v>76</v>
      </c>
      <c r="BG200" s="72">
        <v>76</v>
      </c>
      <c r="BH200" s="72">
        <v>76</v>
      </c>
      <c r="BI200" s="72">
        <v>76</v>
      </c>
      <c r="BJ200" s="72">
        <v>76</v>
      </c>
      <c r="BK200" s="72">
        <v>76</v>
      </c>
      <c r="BL200" s="72">
        <v>76</v>
      </c>
      <c r="BM200" s="72">
        <v>76</v>
      </c>
      <c r="BN200" s="72">
        <v>76</v>
      </c>
      <c r="BO200" s="72">
        <v>76</v>
      </c>
      <c r="BP200" s="72">
        <v>76</v>
      </c>
      <c r="BQ200" s="72">
        <v>76</v>
      </c>
      <c r="BR200" s="72">
        <v>76</v>
      </c>
      <c r="BS200" s="72">
        <v>76</v>
      </c>
      <c r="BT200" s="72">
        <v>76</v>
      </c>
      <c r="BU200" s="72">
        <v>76</v>
      </c>
      <c r="BV200" s="72">
        <v>76</v>
      </c>
      <c r="BW200" s="72">
        <v>76</v>
      </c>
      <c r="BX200" s="72">
        <v>76</v>
      </c>
      <c r="BY200" s="72">
        <v>76</v>
      </c>
      <c r="BZ200" s="72">
        <v>76</v>
      </c>
      <c r="CA200" s="72">
        <v>76</v>
      </c>
      <c r="CB200" s="72">
        <v>76</v>
      </c>
      <c r="CC200" s="72">
        <v>76</v>
      </c>
      <c r="CD200" s="72">
        <v>76</v>
      </c>
      <c r="CE200" s="72">
        <v>76</v>
      </c>
      <c r="CF200" s="72">
        <v>76</v>
      </c>
      <c r="CG200" s="72">
        <v>76</v>
      </c>
      <c r="CH200" s="72">
        <v>76</v>
      </c>
      <c r="CI200" s="72">
        <v>76</v>
      </c>
      <c r="CJ200" s="72">
        <v>76</v>
      </c>
      <c r="CK200" s="72">
        <v>76</v>
      </c>
      <c r="CL200" s="72">
        <v>76</v>
      </c>
      <c r="CM200" s="72">
        <v>76</v>
      </c>
      <c r="CN200" s="72">
        <v>76</v>
      </c>
      <c r="CO200" s="72">
        <v>76</v>
      </c>
      <c r="CP200" s="72">
        <v>76</v>
      </c>
      <c r="CQ200" s="72">
        <v>76</v>
      </c>
      <c r="CR200" s="72">
        <v>76</v>
      </c>
      <c r="CS200" s="72">
        <v>76</v>
      </c>
      <c r="CT200" s="72">
        <v>76</v>
      </c>
      <c r="CU200" s="72">
        <v>76</v>
      </c>
      <c r="CV200" s="72">
        <v>76</v>
      </c>
      <c r="CW200" s="72">
        <v>76</v>
      </c>
      <c r="CX200" s="72">
        <v>76</v>
      </c>
      <c r="CY200" s="72">
        <v>76</v>
      </c>
      <c r="CZ200" s="72">
        <v>76</v>
      </c>
      <c r="DA200" s="72">
        <v>76</v>
      </c>
      <c r="DB200" s="72">
        <v>76</v>
      </c>
      <c r="DC200" s="72">
        <v>76</v>
      </c>
      <c r="DD200" s="72">
        <v>76</v>
      </c>
      <c r="DE200" s="72">
        <v>76</v>
      </c>
      <c r="DF200" s="72">
        <v>76</v>
      </c>
      <c r="DG200" s="72">
        <v>76</v>
      </c>
      <c r="DH200" s="72">
        <v>76</v>
      </c>
      <c r="DI200" s="72">
        <v>76</v>
      </c>
      <c r="DJ200" s="72">
        <v>76</v>
      </c>
      <c r="DK200" s="72">
        <v>76</v>
      </c>
      <c r="DL200" s="72">
        <v>76</v>
      </c>
    </row>
    <row r="201" spans="1:116" x14ac:dyDescent="0.35">
      <c r="A201" s="7"/>
      <c r="B201" s="8" t="s">
        <v>379</v>
      </c>
      <c r="C201" s="9" t="s">
        <v>380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268</v>
      </c>
      <c r="J201" s="10">
        <v>2</v>
      </c>
      <c r="K201" s="10" t="s">
        <v>42</v>
      </c>
      <c r="L201" s="8" t="s">
        <v>381</v>
      </c>
      <c r="M201" s="12">
        <v>1.9296000000000002</v>
      </c>
      <c r="N201" s="12">
        <f t="shared" si="5"/>
        <v>0</v>
      </c>
      <c r="O201" s="11">
        <v>675</v>
      </c>
      <c r="P201" s="11">
        <v>675</v>
      </c>
      <c r="Q201" s="11">
        <v>675</v>
      </c>
      <c r="R201" s="11">
        <v>663</v>
      </c>
      <c r="S201" s="11">
        <v>673</v>
      </c>
      <c r="T201" s="11">
        <v>673</v>
      </c>
      <c r="U201" s="11">
        <v>673</v>
      </c>
      <c r="V201" s="11">
        <v>673</v>
      </c>
      <c r="W201" s="11">
        <v>663</v>
      </c>
      <c r="X201" s="11">
        <v>663</v>
      </c>
      <c r="Y201" s="11">
        <v>643</v>
      </c>
      <c r="Z201" s="11">
        <v>643</v>
      </c>
      <c r="AA201" s="11">
        <v>643</v>
      </c>
      <c r="AB201" s="11">
        <v>643</v>
      </c>
      <c r="AC201" s="11">
        <v>643</v>
      </c>
      <c r="AD201" s="11">
        <v>643</v>
      </c>
      <c r="AE201" s="11">
        <v>643</v>
      </c>
      <c r="AF201" s="11">
        <v>643</v>
      </c>
      <c r="AG201" s="11">
        <v>643</v>
      </c>
      <c r="AH201" s="11">
        <v>643</v>
      </c>
      <c r="AI201" s="11">
        <v>643</v>
      </c>
      <c r="AJ201" s="11">
        <v>268</v>
      </c>
      <c r="AK201" s="11">
        <v>268</v>
      </c>
      <c r="AL201" s="11">
        <v>267</v>
      </c>
      <c r="AM201" s="11">
        <v>247</v>
      </c>
      <c r="AN201" s="72">
        <v>247</v>
      </c>
      <c r="AO201" s="72">
        <v>243</v>
      </c>
      <c r="AP201" s="72">
        <v>243</v>
      </c>
      <c r="AQ201" s="72">
        <v>243</v>
      </c>
      <c r="AR201" s="72">
        <v>233</v>
      </c>
      <c r="AS201" s="72">
        <v>233</v>
      </c>
      <c r="AT201" s="72">
        <v>233</v>
      </c>
      <c r="AU201" s="72">
        <v>233</v>
      </c>
      <c r="AV201" s="72">
        <v>233</v>
      </c>
      <c r="AW201" s="72">
        <v>233</v>
      </c>
      <c r="AX201" s="72">
        <v>233</v>
      </c>
      <c r="AY201" s="72">
        <v>233</v>
      </c>
      <c r="AZ201" s="72">
        <v>233</v>
      </c>
      <c r="BA201" s="72">
        <v>233</v>
      </c>
      <c r="BB201" s="72">
        <v>233</v>
      </c>
      <c r="BC201" s="72">
        <v>233</v>
      </c>
      <c r="BD201" s="72">
        <v>203</v>
      </c>
      <c r="BE201" s="72">
        <v>203</v>
      </c>
      <c r="BF201" s="72">
        <v>203</v>
      </c>
      <c r="BG201" s="72">
        <v>203</v>
      </c>
      <c r="BH201" s="72">
        <v>203</v>
      </c>
      <c r="BI201" s="72">
        <v>203</v>
      </c>
      <c r="BJ201" s="72">
        <v>203</v>
      </c>
      <c r="BK201" s="72">
        <v>203</v>
      </c>
      <c r="BL201" s="72">
        <v>203</v>
      </c>
      <c r="BM201" s="72">
        <v>203</v>
      </c>
      <c r="BN201" s="72">
        <v>203</v>
      </c>
      <c r="BO201" s="72">
        <v>202</v>
      </c>
      <c r="BP201" s="72">
        <v>197</v>
      </c>
      <c r="BQ201" s="72">
        <v>193</v>
      </c>
      <c r="BR201" s="72">
        <v>193</v>
      </c>
      <c r="BS201" s="72">
        <v>177</v>
      </c>
      <c r="BT201" s="72">
        <v>175</v>
      </c>
      <c r="BU201" s="72">
        <v>177</v>
      </c>
      <c r="BV201" s="72">
        <v>173</v>
      </c>
      <c r="BW201" s="72">
        <v>173</v>
      </c>
      <c r="BX201" s="72">
        <v>173</v>
      </c>
      <c r="BY201" s="72">
        <v>173</v>
      </c>
      <c r="BZ201" s="72">
        <v>173</v>
      </c>
      <c r="CA201" s="72">
        <v>157</v>
      </c>
      <c r="CB201" s="72">
        <v>157</v>
      </c>
      <c r="CC201" s="72">
        <v>157</v>
      </c>
      <c r="CD201" s="72">
        <v>157</v>
      </c>
      <c r="CE201" s="72">
        <v>157</v>
      </c>
      <c r="CF201" s="72">
        <v>117</v>
      </c>
      <c r="CG201" s="72">
        <v>117</v>
      </c>
      <c r="CH201" s="72">
        <v>117</v>
      </c>
      <c r="CI201" s="72">
        <v>77</v>
      </c>
      <c r="CJ201" s="72">
        <v>27</v>
      </c>
      <c r="CK201" s="72">
        <v>27</v>
      </c>
      <c r="CL201" s="72">
        <v>27</v>
      </c>
      <c r="CM201" s="72">
        <v>27</v>
      </c>
      <c r="CN201" s="72">
        <v>2</v>
      </c>
      <c r="CO201" s="72">
        <v>2</v>
      </c>
      <c r="CP201" s="72">
        <v>2</v>
      </c>
      <c r="CQ201" s="72">
        <v>2</v>
      </c>
      <c r="CR201" s="72">
        <v>2</v>
      </c>
      <c r="CS201" s="72">
        <v>2</v>
      </c>
      <c r="CT201" s="72">
        <v>2</v>
      </c>
      <c r="CU201" s="72">
        <v>2</v>
      </c>
      <c r="CV201" s="72">
        <v>2</v>
      </c>
      <c r="CW201" s="72">
        <v>2</v>
      </c>
      <c r="CX201" s="72">
        <v>2</v>
      </c>
      <c r="CY201" s="72">
        <v>2</v>
      </c>
      <c r="CZ201" s="72">
        <v>2</v>
      </c>
      <c r="DA201" s="72">
        <v>2</v>
      </c>
      <c r="DB201" s="72">
        <v>2</v>
      </c>
      <c r="DC201" s="72">
        <v>2</v>
      </c>
      <c r="DD201" s="72">
        <v>2</v>
      </c>
      <c r="DE201" s="72">
        <v>2</v>
      </c>
      <c r="DF201" s="72">
        <v>2</v>
      </c>
      <c r="DG201" s="72">
        <v>2</v>
      </c>
      <c r="DH201" s="72">
        <v>2</v>
      </c>
      <c r="DI201" s="72">
        <v>0</v>
      </c>
      <c r="DJ201" s="72">
        <v>0</v>
      </c>
      <c r="DK201" s="72">
        <v>0</v>
      </c>
      <c r="DL201" s="72">
        <v>0</v>
      </c>
    </row>
    <row r="202" spans="1:116" x14ac:dyDescent="0.35">
      <c r="A202" s="7"/>
      <c r="B202" s="8" t="s">
        <v>382</v>
      </c>
      <c r="C202" s="9" t="s">
        <v>383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200</v>
      </c>
      <c r="J202" s="10"/>
      <c r="K202" s="10"/>
      <c r="L202" s="8"/>
      <c r="M202" s="12">
        <v>2.0227200000000001</v>
      </c>
      <c r="N202" s="12">
        <f t="shared" si="5"/>
        <v>113.27232000000001</v>
      </c>
      <c r="O202" s="11">
        <v>200</v>
      </c>
      <c r="P202" s="11">
        <v>200</v>
      </c>
      <c r="Q202" s="11">
        <v>200</v>
      </c>
      <c r="R202" s="11">
        <v>200</v>
      </c>
      <c r="S202" s="11">
        <v>200</v>
      </c>
      <c r="T202" s="11">
        <v>200</v>
      </c>
      <c r="U202" s="11">
        <v>200</v>
      </c>
      <c r="V202" s="11">
        <v>200</v>
      </c>
      <c r="W202" s="11">
        <v>200</v>
      </c>
      <c r="X202" s="11">
        <v>200</v>
      </c>
      <c r="Y202" s="11">
        <v>200</v>
      </c>
      <c r="Z202" s="11">
        <v>200</v>
      </c>
      <c r="AA202" s="11">
        <v>200</v>
      </c>
      <c r="AB202" s="11">
        <v>200</v>
      </c>
      <c r="AC202" s="11">
        <v>200</v>
      </c>
      <c r="AD202" s="11">
        <v>200</v>
      </c>
      <c r="AE202" s="11">
        <v>200</v>
      </c>
      <c r="AF202" s="11">
        <v>200</v>
      </c>
      <c r="AG202" s="11">
        <v>200</v>
      </c>
      <c r="AH202" s="11">
        <v>200</v>
      </c>
      <c r="AI202" s="11">
        <v>200</v>
      </c>
      <c r="AJ202" s="11">
        <v>200</v>
      </c>
      <c r="AK202" s="11">
        <v>200</v>
      </c>
      <c r="AL202" s="11">
        <v>200</v>
      </c>
      <c r="AM202" s="11">
        <v>200</v>
      </c>
      <c r="AN202" s="72">
        <v>200</v>
      </c>
      <c r="AO202" s="72">
        <v>200</v>
      </c>
      <c r="AP202" s="72">
        <v>200</v>
      </c>
      <c r="AQ202" s="72">
        <v>200</v>
      </c>
      <c r="AR202" s="72">
        <v>200</v>
      </c>
      <c r="AS202" s="72">
        <v>200</v>
      </c>
      <c r="AT202" s="72">
        <v>200</v>
      </c>
      <c r="AU202" s="72">
        <v>200</v>
      </c>
      <c r="AV202" s="72">
        <v>200</v>
      </c>
      <c r="AW202" s="72">
        <v>200</v>
      </c>
      <c r="AX202" s="72">
        <v>200</v>
      </c>
      <c r="AY202" s="72">
        <v>200</v>
      </c>
      <c r="AZ202" s="72">
        <v>200</v>
      </c>
      <c r="BA202" s="72">
        <v>200</v>
      </c>
      <c r="BB202" s="72">
        <v>200</v>
      </c>
      <c r="BC202" s="72">
        <v>200</v>
      </c>
      <c r="BD202" s="72">
        <v>200</v>
      </c>
      <c r="BE202" s="72">
        <v>200</v>
      </c>
      <c r="BF202" s="72">
        <v>200</v>
      </c>
      <c r="BG202" s="72">
        <v>200</v>
      </c>
      <c r="BH202" s="72">
        <v>200</v>
      </c>
      <c r="BI202" s="72">
        <v>200</v>
      </c>
      <c r="BJ202" s="72">
        <v>200</v>
      </c>
      <c r="BK202" s="72">
        <v>200</v>
      </c>
      <c r="BL202" s="72">
        <v>200</v>
      </c>
      <c r="BM202" s="72">
        <v>200</v>
      </c>
      <c r="BN202" s="72">
        <v>200</v>
      </c>
      <c r="BO202" s="72">
        <v>200</v>
      </c>
      <c r="BP202" s="72">
        <v>200</v>
      </c>
      <c r="BQ202" s="72">
        <v>190</v>
      </c>
      <c r="BR202" s="72">
        <v>190</v>
      </c>
      <c r="BS202" s="72">
        <v>208</v>
      </c>
      <c r="BT202" s="72">
        <v>208</v>
      </c>
      <c r="BU202" s="72">
        <v>208</v>
      </c>
      <c r="BV202" s="72">
        <v>206</v>
      </c>
      <c r="BW202" s="72">
        <v>206</v>
      </c>
      <c r="BX202" s="72">
        <v>206</v>
      </c>
      <c r="BY202" s="72">
        <v>206</v>
      </c>
      <c r="BZ202" s="72">
        <v>206</v>
      </c>
      <c r="CA202" s="72">
        <v>206</v>
      </c>
      <c r="CB202" s="72">
        <v>206</v>
      </c>
      <c r="CC202" s="72">
        <v>206</v>
      </c>
      <c r="CD202" s="72">
        <v>206</v>
      </c>
      <c r="CE202" s="72">
        <v>206</v>
      </c>
      <c r="CF202" s="72">
        <v>206</v>
      </c>
      <c r="CG202" s="72">
        <v>206</v>
      </c>
      <c r="CH202" s="72">
        <v>206</v>
      </c>
      <c r="CI202" s="72">
        <v>166</v>
      </c>
      <c r="CJ202" s="72">
        <v>116</v>
      </c>
      <c r="CK202" s="72">
        <v>116</v>
      </c>
      <c r="CL202" s="72">
        <v>116</v>
      </c>
      <c r="CM202" s="72">
        <v>116</v>
      </c>
      <c r="CN202" s="72">
        <v>91</v>
      </c>
      <c r="CO202" s="72">
        <v>91</v>
      </c>
      <c r="CP202" s="72">
        <v>91</v>
      </c>
      <c r="CQ202" s="72">
        <v>91</v>
      </c>
      <c r="CR202" s="72">
        <v>91</v>
      </c>
      <c r="CS202" s="72">
        <v>91</v>
      </c>
      <c r="CT202" s="72">
        <v>91</v>
      </c>
      <c r="CU202" s="72">
        <v>91</v>
      </c>
      <c r="CV202" s="72">
        <v>91</v>
      </c>
      <c r="CW202" s="72">
        <v>91</v>
      </c>
      <c r="CX202" s="72">
        <v>91</v>
      </c>
      <c r="CY202" s="72">
        <v>91</v>
      </c>
      <c r="CZ202" s="72">
        <v>91</v>
      </c>
      <c r="DA202" s="72">
        <v>71</v>
      </c>
      <c r="DB202" s="72">
        <v>71</v>
      </c>
      <c r="DC202" s="72">
        <v>71</v>
      </c>
      <c r="DD202" s="72">
        <v>71</v>
      </c>
      <c r="DE202" s="72">
        <v>71</v>
      </c>
      <c r="DF202" s="72">
        <v>71</v>
      </c>
      <c r="DG202" s="72">
        <v>71</v>
      </c>
      <c r="DH202" s="72">
        <v>71</v>
      </c>
      <c r="DI202" s="72">
        <v>71</v>
      </c>
      <c r="DJ202" s="72">
        <v>71</v>
      </c>
      <c r="DK202" s="72">
        <v>71</v>
      </c>
      <c r="DL202" s="72">
        <v>56</v>
      </c>
    </row>
    <row r="203" spans="1:116" x14ac:dyDescent="0.35">
      <c r="A203" s="7"/>
      <c r="B203" s="8" t="s">
        <v>384</v>
      </c>
      <c r="C203" s="9" t="s">
        <v>385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61</v>
      </c>
      <c r="J203" s="10"/>
      <c r="K203" s="10"/>
      <c r="L203" s="8"/>
      <c r="M203" s="12">
        <v>2.2089600000000003</v>
      </c>
      <c r="N203" s="12">
        <f t="shared" si="5"/>
        <v>108.23904000000002</v>
      </c>
      <c r="O203" s="11">
        <v>91</v>
      </c>
      <c r="P203" s="11">
        <v>91</v>
      </c>
      <c r="Q203" s="11">
        <v>91</v>
      </c>
      <c r="R203" s="11">
        <v>91</v>
      </c>
      <c r="S203" s="11">
        <v>91</v>
      </c>
      <c r="T203" s="11">
        <v>91</v>
      </c>
      <c r="U203" s="11">
        <v>91</v>
      </c>
      <c r="V203" s="11">
        <v>91</v>
      </c>
      <c r="W203" s="11">
        <v>91</v>
      </c>
      <c r="X203" s="11">
        <v>91</v>
      </c>
      <c r="Y203" s="11">
        <v>91</v>
      </c>
      <c r="Z203" s="11">
        <v>91</v>
      </c>
      <c r="AA203" s="11">
        <v>91</v>
      </c>
      <c r="AB203" s="11">
        <v>91</v>
      </c>
      <c r="AC203" s="11">
        <v>91</v>
      </c>
      <c r="AD203" s="11">
        <v>91</v>
      </c>
      <c r="AE203" s="11">
        <v>91</v>
      </c>
      <c r="AF203" s="11">
        <v>91</v>
      </c>
      <c r="AG203" s="11">
        <v>91</v>
      </c>
      <c r="AH203" s="11">
        <v>91</v>
      </c>
      <c r="AI203" s="11">
        <v>91</v>
      </c>
      <c r="AJ203" s="11">
        <v>61</v>
      </c>
      <c r="AK203" s="11">
        <v>61</v>
      </c>
      <c r="AL203" s="11">
        <v>61</v>
      </c>
      <c r="AM203" s="11">
        <v>61</v>
      </c>
      <c r="AN203" s="72">
        <v>61</v>
      </c>
      <c r="AO203" s="72">
        <v>61</v>
      </c>
      <c r="AP203" s="72">
        <v>61</v>
      </c>
      <c r="AQ203" s="72">
        <v>61</v>
      </c>
      <c r="AR203" s="72">
        <v>61</v>
      </c>
      <c r="AS203" s="72">
        <v>61</v>
      </c>
      <c r="AT203" s="72">
        <v>61</v>
      </c>
      <c r="AU203" s="72">
        <v>61</v>
      </c>
      <c r="AV203" s="72">
        <v>61</v>
      </c>
      <c r="AW203" s="72">
        <v>61</v>
      </c>
      <c r="AX203" s="72">
        <v>61</v>
      </c>
      <c r="AY203" s="72">
        <v>61</v>
      </c>
      <c r="AZ203" s="72">
        <v>61</v>
      </c>
      <c r="BA203" s="72">
        <v>61</v>
      </c>
      <c r="BB203" s="72">
        <v>61</v>
      </c>
      <c r="BC203" s="72">
        <v>61</v>
      </c>
      <c r="BD203" s="72">
        <v>61</v>
      </c>
      <c r="BE203" s="72">
        <v>61</v>
      </c>
      <c r="BF203" s="72">
        <v>61</v>
      </c>
      <c r="BG203" s="72">
        <v>61</v>
      </c>
      <c r="BH203" s="72">
        <v>61</v>
      </c>
      <c r="BI203" s="72">
        <v>61</v>
      </c>
      <c r="BJ203" s="72">
        <v>61</v>
      </c>
      <c r="BK203" s="72">
        <v>61</v>
      </c>
      <c r="BL203" s="72">
        <v>61</v>
      </c>
      <c r="BM203" s="72">
        <v>61</v>
      </c>
      <c r="BN203" s="72">
        <v>61</v>
      </c>
      <c r="BO203" s="72">
        <v>61</v>
      </c>
      <c r="BP203" s="72">
        <v>61</v>
      </c>
      <c r="BQ203" s="72">
        <v>61</v>
      </c>
      <c r="BR203" s="72">
        <v>57</v>
      </c>
      <c r="BS203" s="72">
        <v>57</v>
      </c>
      <c r="BT203" s="72">
        <v>55</v>
      </c>
      <c r="BU203" s="72">
        <v>57</v>
      </c>
      <c r="BV203" s="72">
        <v>57</v>
      </c>
      <c r="BW203" s="72">
        <v>57</v>
      </c>
      <c r="BX203" s="72">
        <v>57</v>
      </c>
      <c r="BY203" s="72">
        <v>57</v>
      </c>
      <c r="BZ203" s="72">
        <v>57</v>
      </c>
      <c r="CA203" s="72">
        <v>57</v>
      </c>
      <c r="CB203" s="72">
        <v>57</v>
      </c>
      <c r="CC203" s="72">
        <v>57</v>
      </c>
      <c r="CD203" s="72">
        <v>57</v>
      </c>
      <c r="CE203" s="72">
        <v>57</v>
      </c>
      <c r="CF203" s="72">
        <v>57</v>
      </c>
      <c r="CG203" s="72">
        <v>57</v>
      </c>
      <c r="CH203" s="72">
        <v>57</v>
      </c>
      <c r="CI203" s="72">
        <v>57</v>
      </c>
      <c r="CJ203" s="72">
        <v>57</v>
      </c>
      <c r="CK203" s="72">
        <v>57</v>
      </c>
      <c r="CL203" s="72">
        <v>57</v>
      </c>
      <c r="CM203" s="72">
        <v>57</v>
      </c>
      <c r="CN203" s="72">
        <v>57</v>
      </c>
      <c r="CO203" s="72">
        <v>57</v>
      </c>
      <c r="CP203" s="72">
        <v>57</v>
      </c>
      <c r="CQ203" s="72">
        <v>57</v>
      </c>
      <c r="CR203" s="72">
        <v>57</v>
      </c>
      <c r="CS203" s="72">
        <v>57</v>
      </c>
      <c r="CT203" s="72">
        <v>57</v>
      </c>
      <c r="CU203" s="72">
        <v>57</v>
      </c>
      <c r="CV203" s="72">
        <v>57</v>
      </c>
      <c r="CW203" s="72">
        <v>57</v>
      </c>
      <c r="CX203" s="72">
        <v>57</v>
      </c>
      <c r="CY203" s="72">
        <v>57</v>
      </c>
      <c r="CZ203" s="72">
        <v>57</v>
      </c>
      <c r="DA203" s="72">
        <v>57</v>
      </c>
      <c r="DB203" s="72">
        <v>57</v>
      </c>
      <c r="DC203" s="72">
        <v>57</v>
      </c>
      <c r="DD203" s="72">
        <v>57</v>
      </c>
      <c r="DE203" s="72">
        <v>57</v>
      </c>
      <c r="DF203" s="72">
        <v>57</v>
      </c>
      <c r="DG203" s="72">
        <v>57</v>
      </c>
      <c r="DH203" s="72">
        <v>57</v>
      </c>
      <c r="DI203" s="72">
        <v>57</v>
      </c>
      <c r="DJ203" s="72">
        <v>57</v>
      </c>
      <c r="DK203" s="72">
        <v>57</v>
      </c>
      <c r="DL203" s="72">
        <v>49</v>
      </c>
    </row>
    <row r="204" spans="1:116" x14ac:dyDescent="0.35">
      <c r="A204" s="7"/>
      <c r="B204" s="8" t="s">
        <v>386</v>
      </c>
      <c r="C204" s="9" t="s">
        <v>387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50</v>
      </c>
      <c r="J204" s="10"/>
      <c r="K204" s="10"/>
      <c r="L204" s="8"/>
      <c r="M204" s="12">
        <v>2.3835600000000001</v>
      </c>
      <c r="N204" s="12">
        <f t="shared" si="5"/>
        <v>21.45204</v>
      </c>
      <c r="O204" s="11">
        <v>50</v>
      </c>
      <c r="P204" s="11">
        <v>50</v>
      </c>
      <c r="Q204" s="11">
        <v>50</v>
      </c>
      <c r="R204" s="11">
        <v>50</v>
      </c>
      <c r="S204" s="11">
        <v>50</v>
      </c>
      <c r="T204" s="11">
        <v>50</v>
      </c>
      <c r="U204" s="11">
        <v>50</v>
      </c>
      <c r="V204" s="11">
        <v>50</v>
      </c>
      <c r="W204" s="11">
        <v>50</v>
      </c>
      <c r="X204" s="11">
        <v>50</v>
      </c>
      <c r="Y204" s="11">
        <v>50</v>
      </c>
      <c r="Z204" s="11">
        <v>50</v>
      </c>
      <c r="AA204" s="11">
        <v>50</v>
      </c>
      <c r="AB204" s="11">
        <v>50</v>
      </c>
      <c r="AC204" s="11">
        <v>50</v>
      </c>
      <c r="AD204" s="11">
        <v>50</v>
      </c>
      <c r="AE204" s="11">
        <v>50</v>
      </c>
      <c r="AF204" s="11">
        <v>50</v>
      </c>
      <c r="AG204" s="11">
        <v>50</v>
      </c>
      <c r="AH204" s="11">
        <v>50</v>
      </c>
      <c r="AI204" s="11">
        <v>50</v>
      </c>
      <c r="AJ204" s="11">
        <v>50</v>
      </c>
      <c r="AK204" s="11">
        <v>50</v>
      </c>
      <c r="AL204" s="11">
        <v>50</v>
      </c>
      <c r="AM204" s="11">
        <v>50</v>
      </c>
      <c r="AN204" s="72">
        <v>50</v>
      </c>
      <c r="AO204" s="72">
        <v>50</v>
      </c>
      <c r="AP204" s="72">
        <v>50</v>
      </c>
      <c r="AQ204" s="72">
        <v>50</v>
      </c>
      <c r="AR204" s="72">
        <v>50</v>
      </c>
      <c r="AS204" s="72">
        <v>50</v>
      </c>
      <c r="AT204" s="72">
        <v>50</v>
      </c>
      <c r="AU204" s="72">
        <v>50</v>
      </c>
      <c r="AV204" s="72">
        <v>50</v>
      </c>
      <c r="AW204" s="72">
        <v>50</v>
      </c>
      <c r="AX204" s="72">
        <v>50</v>
      </c>
      <c r="AY204" s="72">
        <v>50</v>
      </c>
      <c r="AZ204" s="72">
        <v>50</v>
      </c>
      <c r="BA204" s="72">
        <v>50</v>
      </c>
      <c r="BB204" s="72">
        <v>50</v>
      </c>
      <c r="BC204" s="72">
        <v>50</v>
      </c>
      <c r="BD204" s="72">
        <v>50</v>
      </c>
      <c r="BE204" s="72">
        <v>50</v>
      </c>
      <c r="BF204" s="72">
        <v>50</v>
      </c>
      <c r="BG204" s="72">
        <v>50</v>
      </c>
      <c r="BH204" s="72">
        <v>50</v>
      </c>
      <c r="BI204" s="72">
        <v>50</v>
      </c>
      <c r="BJ204" s="72">
        <v>50</v>
      </c>
      <c r="BK204" s="72">
        <v>50</v>
      </c>
      <c r="BL204" s="72">
        <v>50</v>
      </c>
      <c r="BM204" s="72">
        <v>50</v>
      </c>
      <c r="BN204" s="72">
        <v>50</v>
      </c>
      <c r="BO204" s="72">
        <v>50</v>
      </c>
      <c r="BP204" s="72">
        <v>50</v>
      </c>
      <c r="BQ204" s="72">
        <v>50</v>
      </c>
      <c r="BR204" s="72">
        <v>50</v>
      </c>
      <c r="BS204" s="72">
        <v>14</v>
      </c>
      <c r="BT204" s="72">
        <v>14</v>
      </c>
      <c r="BU204" s="72">
        <v>14</v>
      </c>
      <c r="BV204" s="72">
        <v>14</v>
      </c>
      <c r="BW204" s="72">
        <v>14</v>
      </c>
      <c r="BX204" s="72">
        <v>14</v>
      </c>
      <c r="BY204" s="72">
        <v>14</v>
      </c>
      <c r="BZ204" s="72">
        <v>14</v>
      </c>
      <c r="CA204" s="72">
        <v>14</v>
      </c>
      <c r="CB204" s="72">
        <v>14</v>
      </c>
      <c r="CC204" s="72">
        <v>14</v>
      </c>
      <c r="CD204" s="72">
        <v>14</v>
      </c>
      <c r="CE204" s="72">
        <v>14</v>
      </c>
      <c r="CF204" s="72">
        <v>14</v>
      </c>
      <c r="CG204" s="72">
        <v>14</v>
      </c>
      <c r="CH204" s="72">
        <v>14</v>
      </c>
      <c r="CI204" s="72">
        <v>14</v>
      </c>
      <c r="CJ204" s="72">
        <v>14</v>
      </c>
      <c r="CK204" s="72">
        <v>14</v>
      </c>
      <c r="CL204" s="72">
        <v>14</v>
      </c>
      <c r="CM204" s="72">
        <v>14</v>
      </c>
      <c r="CN204" s="72">
        <v>14</v>
      </c>
      <c r="CO204" s="72">
        <v>14</v>
      </c>
      <c r="CP204" s="72">
        <v>14</v>
      </c>
      <c r="CQ204" s="72">
        <v>14</v>
      </c>
      <c r="CR204" s="72">
        <v>14</v>
      </c>
      <c r="CS204" s="72">
        <v>14</v>
      </c>
      <c r="CT204" s="72">
        <v>14</v>
      </c>
      <c r="CU204" s="72">
        <v>14</v>
      </c>
      <c r="CV204" s="72">
        <v>14</v>
      </c>
      <c r="CW204" s="72">
        <v>14</v>
      </c>
      <c r="CX204" s="72">
        <v>14</v>
      </c>
      <c r="CY204" s="72">
        <v>14</v>
      </c>
      <c r="CZ204" s="72">
        <v>14</v>
      </c>
      <c r="DA204" s="72">
        <v>14</v>
      </c>
      <c r="DB204" s="72">
        <v>14</v>
      </c>
      <c r="DC204" s="72">
        <v>14</v>
      </c>
      <c r="DD204" s="72">
        <v>14</v>
      </c>
      <c r="DE204" s="72">
        <v>14</v>
      </c>
      <c r="DF204" s="72">
        <v>14</v>
      </c>
      <c r="DG204" s="72">
        <v>14</v>
      </c>
      <c r="DH204" s="72">
        <v>14</v>
      </c>
      <c r="DI204" s="72">
        <v>14</v>
      </c>
      <c r="DJ204" s="72">
        <v>14</v>
      </c>
      <c r="DK204" s="72">
        <v>14</v>
      </c>
      <c r="DL204" s="72">
        <v>9</v>
      </c>
    </row>
    <row r="205" spans="1:116" x14ac:dyDescent="0.35">
      <c r="A205" s="7"/>
      <c r="B205" s="8" t="s">
        <v>388</v>
      </c>
      <c r="C205" s="9" t="s">
        <v>389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338</v>
      </c>
      <c r="J205" s="10">
        <v>2</v>
      </c>
      <c r="K205" s="10" t="s">
        <v>42</v>
      </c>
      <c r="L205" s="8" t="s">
        <v>381</v>
      </c>
      <c r="M205" s="12">
        <v>2.2320000000000002</v>
      </c>
      <c r="N205" s="12">
        <f t="shared" si="5"/>
        <v>658.44</v>
      </c>
      <c r="O205" s="11">
        <v>378</v>
      </c>
      <c r="P205" s="11">
        <v>372</v>
      </c>
      <c r="Q205" s="11">
        <v>372</v>
      </c>
      <c r="R205" s="11">
        <v>372</v>
      </c>
      <c r="S205" s="11">
        <v>372</v>
      </c>
      <c r="T205" s="11">
        <v>372</v>
      </c>
      <c r="U205" s="11">
        <v>372</v>
      </c>
      <c r="V205" s="11">
        <v>372</v>
      </c>
      <c r="W205" s="11">
        <v>340</v>
      </c>
      <c r="X205" s="11">
        <v>340</v>
      </c>
      <c r="Y205" s="11">
        <v>340</v>
      </c>
      <c r="Z205" s="11">
        <v>340</v>
      </c>
      <c r="AA205" s="11">
        <v>340</v>
      </c>
      <c r="AB205" s="11">
        <v>340</v>
      </c>
      <c r="AC205" s="11">
        <v>340</v>
      </c>
      <c r="AD205" s="11">
        <v>340</v>
      </c>
      <c r="AE205" s="11">
        <v>340</v>
      </c>
      <c r="AF205" s="11">
        <v>340</v>
      </c>
      <c r="AG205" s="11">
        <v>340</v>
      </c>
      <c r="AH205" s="11">
        <v>340</v>
      </c>
      <c r="AI205" s="11">
        <v>340</v>
      </c>
      <c r="AJ205" s="11">
        <v>338</v>
      </c>
      <c r="AK205" s="11">
        <v>338</v>
      </c>
      <c r="AL205" s="11">
        <v>315</v>
      </c>
      <c r="AM205" s="11">
        <v>313</v>
      </c>
      <c r="AN205" s="72">
        <v>313</v>
      </c>
      <c r="AO205" s="72">
        <v>313</v>
      </c>
      <c r="AP205" s="72">
        <v>313</v>
      </c>
      <c r="AQ205" s="72">
        <v>313</v>
      </c>
      <c r="AR205" s="72">
        <v>313</v>
      </c>
      <c r="AS205" s="72">
        <v>313</v>
      </c>
      <c r="AT205" s="72">
        <v>313</v>
      </c>
      <c r="AU205" s="72">
        <v>321</v>
      </c>
      <c r="AV205" s="72">
        <v>321</v>
      </c>
      <c r="AW205" s="72">
        <v>317</v>
      </c>
      <c r="AX205" s="72">
        <v>317</v>
      </c>
      <c r="AY205" s="72">
        <v>317</v>
      </c>
      <c r="AZ205" s="72">
        <v>317</v>
      </c>
      <c r="BA205" s="72">
        <v>317</v>
      </c>
      <c r="BB205" s="72">
        <v>317</v>
      </c>
      <c r="BC205" s="72">
        <v>317</v>
      </c>
      <c r="BD205" s="72">
        <v>317</v>
      </c>
      <c r="BE205" s="72">
        <v>317</v>
      </c>
      <c r="BF205" s="72">
        <v>317</v>
      </c>
      <c r="BG205" s="72">
        <v>317</v>
      </c>
      <c r="BH205" s="72">
        <v>317</v>
      </c>
      <c r="BI205" s="72">
        <v>317</v>
      </c>
      <c r="BJ205" s="72">
        <v>317</v>
      </c>
      <c r="BK205" s="72">
        <v>317</v>
      </c>
      <c r="BL205" s="72">
        <v>317</v>
      </c>
      <c r="BM205" s="72">
        <v>317</v>
      </c>
      <c r="BN205" s="72">
        <v>317</v>
      </c>
      <c r="BO205" s="72">
        <v>317</v>
      </c>
      <c r="BP205" s="72">
        <v>317</v>
      </c>
      <c r="BQ205" s="72">
        <v>317</v>
      </c>
      <c r="BR205" s="72">
        <v>317</v>
      </c>
      <c r="BS205" s="72">
        <v>315</v>
      </c>
      <c r="BT205" s="72">
        <v>311</v>
      </c>
      <c r="BU205" s="72">
        <v>315</v>
      </c>
      <c r="BV205" s="72">
        <v>296</v>
      </c>
      <c r="BW205" s="72">
        <v>296</v>
      </c>
      <c r="BX205" s="72">
        <v>296</v>
      </c>
      <c r="BY205" s="72">
        <v>296</v>
      </c>
      <c r="BZ205" s="72">
        <v>296</v>
      </c>
      <c r="CA205" s="72">
        <v>296</v>
      </c>
      <c r="CB205" s="72">
        <v>296</v>
      </c>
      <c r="CC205" s="72">
        <v>296</v>
      </c>
      <c r="CD205" s="72">
        <v>296</v>
      </c>
      <c r="CE205" s="72">
        <v>296</v>
      </c>
      <c r="CF205" s="72">
        <v>296</v>
      </c>
      <c r="CG205" s="72">
        <v>296</v>
      </c>
      <c r="CH205" s="72">
        <v>296</v>
      </c>
      <c r="CI205" s="72">
        <v>296</v>
      </c>
      <c r="CJ205" s="72">
        <v>296</v>
      </c>
      <c r="CK205" s="72">
        <v>295</v>
      </c>
      <c r="CL205" s="72">
        <v>295</v>
      </c>
      <c r="CM205" s="72">
        <v>295</v>
      </c>
      <c r="CN205" s="72">
        <v>295</v>
      </c>
      <c r="CO205" s="72">
        <v>295</v>
      </c>
      <c r="CP205" s="72">
        <v>295</v>
      </c>
      <c r="CQ205" s="72">
        <v>295</v>
      </c>
      <c r="CR205" s="72">
        <v>295</v>
      </c>
      <c r="CS205" s="72">
        <v>295</v>
      </c>
      <c r="CT205" s="72">
        <v>295</v>
      </c>
      <c r="CU205" s="72">
        <v>295</v>
      </c>
      <c r="CV205" s="72">
        <v>295</v>
      </c>
      <c r="CW205" s="72">
        <v>295</v>
      </c>
      <c r="CX205" s="72">
        <v>295</v>
      </c>
      <c r="CY205" s="72">
        <v>295</v>
      </c>
      <c r="CZ205" s="72">
        <v>295</v>
      </c>
      <c r="DA205" s="72">
        <v>295</v>
      </c>
      <c r="DB205" s="72">
        <v>295</v>
      </c>
      <c r="DC205" s="72">
        <v>295</v>
      </c>
      <c r="DD205" s="72">
        <v>295</v>
      </c>
      <c r="DE205" s="72">
        <v>295</v>
      </c>
      <c r="DF205" s="72">
        <v>295</v>
      </c>
      <c r="DG205" s="72">
        <v>295</v>
      </c>
      <c r="DH205" s="72">
        <v>295</v>
      </c>
      <c r="DI205" s="72">
        <v>295</v>
      </c>
      <c r="DJ205" s="72">
        <v>295</v>
      </c>
      <c r="DK205" s="72">
        <v>295</v>
      </c>
      <c r="DL205" s="72">
        <v>295</v>
      </c>
    </row>
    <row r="206" spans="1:116" x14ac:dyDescent="0.35">
      <c r="A206" s="7"/>
      <c r="B206" s="8" t="s">
        <v>390</v>
      </c>
      <c r="C206" s="9" t="s">
        <v>391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482</v>
      </c>
      <c r="J206" s="10">
        <v>2</v>
      </c>
      <c r="K206" s="10" t="s">
        <v>42</v>
      </c>
      <c r="L206" s="8" t="s">
        <v>381</v>
      </c>
      <c r="M206" s="12">
        <v>2.472</v>
      </c>
      <c r="N206" s="12">
        <f t="shared" si="5"/>
        <v>803.4</v>
      </c>
      <c r="O206" s="11">
        <v>484</v>
      </c>
      <c r="P206" s="11">
        <v>484</v>
      </c>
      <c r="Q206" s="11">
        <v>484</v>
      </c>
      <c r="R206" s="11">
        <v>482</v>
      </c>
      <c r="S206" s="11">
        <v>482</v>
      </c>
      <c r="T206" s="11">
        <v>482</v>
      </c>
      <c r="U206" s="11">
        <v>482</v>
      </c>
      <c r="V206" s="11">
        <v>482</v>
      </c>
      <c r="W206" s="11">
        <v>482</v>
      </c>
      <c r="X206" s="11">
        <v>482</v>
      </c>
      <c r="Y206" s="11">
        <v>482</v>
      </c>
      <c r="Z206" s="11">
        <v>482</v>
      </c>
      <c r="AA206" s="11">
        <v>482</v>
      </c>
      <c r="AB206" s="11">
        <v>482</v>
      </c>
      <c r="AC206" s="11">
        <v>482</v>
      </c>
      <c r="AD206" s="11">
        <v>482</v>
      </c>
      <c r="AE206" s="11">
        <v>482</v>
      </c>
      <c r="AF206" s="11">
        <v>482</v>
      </c>
      <c r="AG206" s="11">
        <v>482</v>
      </c>
      <c r="AH206" s="11">
        <v>482</v>
      </c>
      <c r="AI206" s="11">
        <v>482</v>
      </c>
      <c r="AJ206" s="11">
        <v>482</v>
      </c>
      <c r="AK206" s="11">
        <v>482</v>
      </c>
      <c r="AL206" s="11">
        <v>481</v>
      </c>
      <c r="AM206" s="11">
        <v>481</v>
      </c>
      <c r="AN206" s="72">
        <v>481</v>
      </c>
      <c r="AO206" s="72">
        <v>481</v>
      </c>
      <c r="AP206" s="72">
        <v>481</v>
      </c>
      <c r="AQ206" s="72">
        <v>481</v>
      </c>
      <c r="AR206" s="72">
        <v>481</v>
      </c>
      <c r="AS206" s="72">
        <v>481</v>
      </c>
      <c r="AT206" s="72">
        <v>481</v>
      </c>
      <c r="AU206" s="72">
        <v>481</v>
      </c>
      <c r="AV206" s="72">
        <v>481</v>
      </c>
      <c r="AW206" s="72">
        <v>341</v>
      </c>
      <c r="AX206" s="72">
        <v>341</v>
      </c>
      <c r="AY206" s="72">
        <v>341</v>
      </c>
      <c r="AZ206" s="72">
        <v>341</v>
      </c>
      <c r="BA206" s="72">
        <v>341</v>
      </c>
      <c r="BB206" s="72">
        <v>341</v>
      </c>
      <c r="BC206" s="72">
        <v>341</v>
      </c>
      <c r="BD206" s="72">
        <v>341</v>
      </c>
      <c r="BE206" s="72">
        <v>341</v>
      </c>
      <c r="BF206" s="72">
        <v>341</v>
      </c>
      <c r="BG206" s="72">
        <v>341</v>
      </c>
      <c r="BH206" s="72">
        <v>341</v>
      </c>
      <c r="BI206" s="72">
        <v>341</v>
      </c>
      <c r="BJ206" s="72">
        <v>341</v>
      </c>
      <c r="BK206" s="72">
        <v>341</v>
      </c>
      <c r="BL206" s="72">
        <v>341</v>
      </c>
      <c r="BM206" s="72">
        <v>341</v>
      </c>
      <c r="BN206" s="72">
        <v>341</v>
      </c>
      <c r="BO206" s="72">
        <v>341</v>
      </c>
      <c r="BP206" s="72">
        <v>341</v>
      </c>
      <c r="BQ206" s="72">
        <v>341</v>
      </c>
      <c r="BR206" s="72">
        <v>329</v>
      </c>
      <c r="BS206" s="72">
        <v>329</v>
      </c>
      <c r="BT206" s="72">
        <v>329</v>
      </c>
      <c r="BU206" s="72">
        <v>329</v>
      </c>
      <c r="BV206" s="72">
        <v>325</v>
      </c>
      <c r="BW206" s="72">
        <v>325</v>
      </c>
      <c r="BX206" s="72">
        <v>325</v>
      </c>
      <c r="BY206" s="72">
        <v>325</v>
      </c>
      <c r="BZ206" s="72">
        <v>325</v>
      </c>
      <c r="CA206" s="72">
        <v>325</v>
      </c>
      <c r="CB206" s="72">
        <v>325</v>
      </c>
      <c r="CC206" s="72">
        <v>325</v>
      </c>
      <c r="CD206" s="72">
        <v>325</v>
      </c>
      <c r="CE206" s="72">
        <v>325</v>
      </c>
      <c r="CF206" s="72">
        <v>325</v>
      </c>
      <c r="CG206" s="72">
        <v>325</v>
      </c>
      <c r="CH206" s="72">
        <v>325</v>
      </c>
      <c r="CI206" s="72">
        <v>325</v>
      </c>
      <c r="CJ206" s="72">
        <v>325</v>
      </c>
      <c r="CK206" s="72">
        <v>325</v>
      </c>
      <c r="CL206" s="72">
        <v>325</v>
      </c>
      <c r="CM206" s="72">
        <v>325</v>
      </c>
      <c r="CN206" s="72">
        <v>325</v>
      </c>
      <c r="CO206" s="72">
        <v>325</v>
      </c>
      <c r="CP206" s="72">
        <v>325</v>
      </c>
      <c r="CQ206" s="72">
        <v>325</v>
      </c>
      <c r="CR206" s="72">
        <v>325</v>
      </c>
      <c r="CS206" s="72">
        <v>325</v>
      </c>
      <c r="CT206" s="72">
        <v>325</v>
      </c>
      <c r="CU206" s="72">
        <v>325</v>
      </c>
      <c r="CV206" s="72">
        <v>325</v>
      </c>
      <c r="CW206" s="72">
        <v>325</v>
      </c>
      <c r="CX206" s="72">
        <v>325</v>
      </c>
      <c r="CY206" s="72">
        <v>325</v>
      </c>
      <c r="CZ206" s="72">
        <v>325</v>
      </c>
      <c r="DA206" s="72">
        <v>325</v>
      </c>
      <c r="DB206" s="72">
        <v>325</v>
      </c>
      <c r="DC206" s="72">
        <v>325</v>
      </c>
      <c r="DD206" s="72">
        <v>325</v>
      </c>
      <c r="DE206" s="72">
        <v>325</v>
      </c>
      <c r="DF206" s="72">
        <v>325</v>
      </c>
      <c r="DG206" s="72">
        <v>325</v>
      </c>
      <c r="DH206" s="72">
        <v>325</v>
      </c>
      <c r="DI206" s="72">
        <v>325</v>
      </c>
      <c r="DJ206" s="72">
        <v>325</v>
      </c>
      <c r="DK206" s="72">
        <v>325</v>
      </c>
      <c r="DL206" s="72">
        <v>325</v>
      </c>
    </row>
    <row r="207" spans="1:116" x14ac:dyDescent="0.35">
      <c r="A207" s="7"/>
      <c r="B207" s="26" t="s">
        <v>392</v>
      </c>
      <c r="C207" s="27" t="s">
        <v>393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837</v>
      </c>
      <c r="J207" s="10">
        <v>8</v>
      </c>
      <c r="K207" s="10" t="s">
        <v>42</v>
      </c>
      <c r="L207" s="8" t="s">
        <v>381</v>
      </c>
      <c r="M207" s="12">
        <v>0.27600000000000002</v>
      </c>
      <c r="N207" s="12">
        <f t="shared" si="5"/>
        <v>91.632000000000005</v>
      </c>
      <c r="O207" s="29">
        <v>1565</v>
      </c>
      <c r="P207" s="29">
        <v>1565</v>
      </c>
      <c r="Q207" s="29">
        <v>1565</v>
      </c>
      <c r="R207" s="29">
        <v>1485</v>
      </c>
      <c r="S207" s="29">
        <v>1485</v>
      </c>
      <c r="T207" s="29">
        <v>1485</v>
      </c>
      <c r="U207" s="29">
        <v>1451</v>
      </c>
      <c r="V207" s="29">
        <v>1451</v>
      </c>
      <c r="W207" s="29">
        <v>1451</v>
      </c>
      <c r="X207" s="29">
        <v>1451</v>
      </c>
      <c r="Y207" s="29">
        <v>1427</v>
      </c>
      <c r="Z207" s="29">
        <v>1427</v>
      </c>
      <c r="AA207" s="29">
        <v>1427</v>
      </c>
      <c r="AB207" s="29">
        <v>1277</v>
      </c>
      <c r="AC207" s="29">
        <v>1277</v>
      </c>
      <c r="AD207" s="29">
        <v>1277</v>
      </c>
      <c r="AE207" s="29">
        <v>1277</v>
      </c>
      <c r="AF207" s="29">
        <v>1277</v>
      </c>
      <c r="AG207" s="29">
        <v>1277</v>
      </c>
      <c r="AH207" s="29">
        <v>1277</v>
      </c>
      <c r="AI207" s="29">
        <v>1277</v>
      </c>
      <c r="AJ207" s="29">
        <v>837</v>
      </c>
      <c r="AK207" s="29">
        <v>837</v>
      </c>
      <c r="AL207" s="29">
        <v>832</v>
      </c>
      <c r="AM207" s="29">
        <v>832</v>
      </c>
      <c r="AN207" s="75">
        <v>832</v>
      </c>
      <c r="AO207" s="75">
        <v>832</v>
      </c>
      <c r="AP207" s="75">
        <v>832</v>
      </c>
      <c r="AQ207" s="75">
        <v>832</v>
      </c>
      <c r="AR207" s="75">
        <v>816</v>
      </c>
      <c r="AS207" s="75">
        <v>654</v>
      </c>
      <c r="AT207" s="75">
        <v>638</v>
      </c>
      <c r="AU207" s="75">
        <v>638</v>
      </c>
      <c r="AV207" s="75">
        <v>614</v>
      </c>
      <c r="AW207" s="75">
        <v>602</v>
      </c>
      <c r="AX207" s="75">
        <v>602</v>
      </c>
      <c r="AY207" s="75">
        <v>602</v>
      </c>
      <c r="AZ207" s="75">
        <v>602</v>
      </c>
      <c r="BA207" s="75">
        <v>602</v>
      </c>
      <c r="BB207" s="75">
        <v>594</v>
      </c>
      <c r="BC207" s="75">
        <v>594</v>
      </c>
      <c r="BD207" s="75">
        <v>594</v>
      </c>
      <c r="BE207" s="75">
        <v>594</v>
      </c>
      <c r="BF207" s="75">
        <v>594</v>
      </c>
      <c r="BG207" s="75">
        <v>594</v>
      </c>
      <c r="BH207" s="75">
        <v>530</v>
      </c>
      <c r="BI207" s="75">
        <v>506</v>
      </c>
      <c r="BJ207" s="75">
        <v>506</v>
      </c>
      <c r="BK207" s="75">
        <v>506</v>
      </c>
      <c r="BL207" s="75">
        <v>506</v>
      </c>
      <c r="BM207" s="75">
        <v>506</v>
      </c>
      <c r="BN207" s="75">
        <v>506</v>
      </c>
      <c r="BO207" s="75">
        <v>506</v>
      </c>
      <c r="BP207" s="75">
        <v>506</v>
      </c>
      <c r="BQ207" s="75">
        <v>498</v>
      </c>
      <c r="BR207" s="75">
        <v>408</v>
      </c>
      <c r="BS207" s="75">
        <v>372</v>
      </c>
      <c r="BT207" s="75">
        <v>372</v>
      </c>
      <c r="BU207" s="75">
        <v>372</v>
      </c>
      <c r="BV207" s="75">
        <v>372</v>
      </c>
      <c r="BW207" s="75">
        <v>372</v>
      </c>
      <c r="BX207" s="75">
        <v>372</v>
      </c>
      <c r="BY207" s="75">
        <v>372</v>
      </c>
      <c r="BZ207" s="75">
        <v>372</v>
      </c>
      <c r="CA207" s="75">
        <v>372</v>
      </c>
      <c r="CB207" s="75">
        <v>372</v>
      </c>
      <c r="CC207" s="75">
        <v>372</v>
      </c>
      <c r="CD207" s="75">
        <v>372</v>
      </c>
      <c r="CE207" s="75">
        <v>372</v>
      </c>
      <c r="CF207" s="75">
        <v>372</v>
      </c>
      <c r="CG207" s="75">
        <v>372</v>
      </c>
      <c r="CH207" s="75">
        <v>372</v>
      </c>
      <c r="CI207" s="75">
        <v>372</v>
      </c>
      <c r="CJ207" s="75">
        <v>372</v>
      </c>
      <c r="CK207" s="75">
        <v>342</v>
      </c>
      <c r="CL207" s="75">
        <v>342</v>
      </c>
      <c r="CM207" s="75">
        <v>342</v>
      </c>
      <c r="CN207" s="75">
        <v>332</v>
      </c>
      <c r="CO207" s="75">
        <v>332</v>
      </c>
      <c r="CP207" s="75">
        <v>332</v>
      </c>
      <c r="CQ207" s="75">
        <v>332</v>
      </c>
      <c r="CR207" s="75">
        <v>332</v>
      </c>
      <c r="CS207" s="75">
        <v>332</v>
      </c>
      <c r="CT207" s="75">
        <v>332</v>
      </c>
      <c r="CU207" s="75">
        <v>332</v>
      </c>
      <c r="CV207" s="75">
        <v>332</v>
      </c>
      <c r="CW207" s="75">
        <v>332</v>
      </c>
      <c r="CX207" s="75">
        <v>332</v>
      </c>
      <c r="CY207" s="75">
        <v>332</v>
      </c>
      <c r="CZ207" s="75">
        <v>332</v>
      </c>
      <c r="DA207" s="75">
        <v>332</v>
      </c>
      <c r="DB207" s="75">
        <v>332</v>
      </c>
      <c r="DC207" s="75">
        <v>332</v>
      </c>
      <c r="DD207" s="75">
        <v>332</v>
      </c>
      <c r="DE207" s="75">
        <v>332</v>
      </c>
      <c r="DF207" s="75">
        <v>332</v>
      </c>
      <c r="DG207" s="75">
        <v>332</v>
      </c>
      <c r="DH207" s="75">
        <v>332</v>
      </c>
      <c r="DI207" s="75">
        <v>332</v>
      </c>
      <c r="DJ207" s="75">
        <v>332</v>
      </c>
      <c r="DK207" s="75">
        <v>332</v>
      </c>
      <c r="DL207" s="75">
        <v>332</v>
      </c>
    </row>
    <row r="208" spans="1:116" x14ac:dyDescent="0.35">
      <c r="A208" s="7"/>
      <c r="B208" s="26" t="s">
        <v>394</v>
      </c>
      <c r="C208" s="27" t="s">
        <v>395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1361</v>
      </c>
      <c r="J208" s="10">
        <v>8</v>
      </c>
      <c r="K208" s="10" t="s">
        <v>42</v>
      </c>
      <c r="L208" s="8" t="s">
        <v>381</v>
      </c>
      <c r="M208" s="12">
        <v>0.28799999999999998</v>
      </c>
      <c r="N208" s="12">
        <f t="shared" si="5"/>
        <v>367.2</v>
      </c>
      <c r="O208" s="29">
        <v>1368</v>
      </c>
      <c r="P208" s="29">
        <v>1368</v>
      </c>
      <c r="Q208" s="29">
        <v>1368</v>
      </c>
      <c r="R208" s="29">
        <v>1360</v>
      </c>
      <c r="S208" s="29">
        <v>1360</v>
      </c>
      <c r="T208" s="29">
        <v>1360</v>
      </c>
      <c r="U208" s="29">
        <v>1360</v>
      </c>
      <c r="V208" s="29">
        <v>1360</v>
      </c>
      <c r="W208" s="29">
        <v>1360</v>
      </c>
      <c r="X208" s="29">
        <v>1360</v>
      </c>
      <c r="Y208" s="29">
        <v>1373</v>
      </c>
      <c r="Z208" s="29">
        <v>1373</v>
      </c>
      <c r="AA208" s="29">
        <v>1373</v>
      </c>
      <c r="AB208" s="29">
        <v>1373</v>
      </c>
      <c r="AC208" s="29">
        <v>1373</v>
      </c>
      <c r="AD208" s="29">
        <v>1373</v>
      </c>
      <c r="AE208" s="29">
        <v>1373</v>
      </c>
      <c r="AF208" s="29">
        <v>1373</v>
      </c>
      <c r="AG208" s="29">
        <v>1373</v>
      </c>
      <c r="AH208" s="29">
        <v>1373</v>
      </c>
      <c r="AI208" s="29">
        <v>1361</v>
      </c>
      <c r="AJ208" s="29">
        <v>1361</v>
      </c>
      <c r="AK208" s="29">
        <v>1357</v>
      </c>
      <c r="AL208" s="29">
        <v>1356</v>
      </c>
      <c r="AM208" s="29">
        <v>1356</v>
      </c>
      <c r="AN208" s="75">
        <v>1356</v>
      </c>
      <c r="AO208" s="75">
        <v>1356</v>
      </c>
      <c r="AP208" s="75">
        <v>1356</v>
      </c>
      <c r="AQ208" s="75">
        <v>1356</v>
      </c>
      <c r="AR208" s="75">
        <v>1356</v>
      </c>
      <c r="AS208" s="75">
        <v>1356</v>
      </c>
      <c r="AT208" s="75">
        <v>1356</v>
      </c>
      <c r="AU208" s="75">
        <v>1356</v>
      </c>
      <c r="AV208" s="75">
        <v>1356</v>
      </c>
      <c r="AW208" s="75">
        <v>1356</v>
      </c>
      <c r="AX208" s="75">
        <v>1356</v>
      </c>
      <c r="AY208" s="75">
        <v>1356</v>
      </c>
      <c r="AZ208" s="75">
        <v>1356</v>
      </c>
      <c r="BA208" s="75">
        <v>1356</v>
      </c>
      <c r="BB208" s="75">
        <v>1356</v>
      </c>
      <c r="BC208" s="75">
        <v>1356</v>
      </c>
      <c r="BD208" s="75">
        <v>1356</v>
      </c>
      <c r="BE208" s="75">
        <v>1356</v>
      </c>
      <c r="BF208" s="75">
        <v>1356</v>
      </c>
      <c r="BG208" s="75">
        <v>1356</v>
      </c>
      <c r="BH208" s="75">
        <v>1356</v>
      </c>
      <c r="BI208" s="75">
        <v>1356</v>
      </c>
      <c r="BJ208" s="75">
        <v>1356</v>
      </c>
      <c r="BK208" s="75">
        <v>1356</v>
      </c>
      <c r="BL208" s="75">
        <v>1356</v>
      </c>
      <c r="BM208" s="75">
        <v>1356</v>
      </c>
      <c r="BN208" s="75">
        <v>1356</v>
      </c>
      <c r="BO208" s="75">
        <v>1356</v>
      </c>
      <c r="BP208" s="75">
        <v>1356</v>
      </c>
      <c r="BQ208" s="75">
        <v>1356</v>
      </c>
      <c r="BR208" s="75">
        <v>1356</v>
      </c>
      <c r="BS208" s="75">
        <v>1356</v>
      </c>
      <c r="BT208" s="75">
        <v>1356</v>
      </c>
      <c r="BU208" s="75">
        <v>1356</v>
      </c>
      <c r="BV208" s="75">
        <v>1356</v>
      </c>
      <c r="BW208" s="75">
        <v>1356</v>
      </c>
      <c r="BX208" s="75">
        <v>1356</v>
      </c>
      <c r="BY208" s="75">
        <v>1356</v>
      </c>
      <c r="BZ208" s="75">
        <v>1332</v>
      </c>
      <c r="CA208" s="75">
        <v>1332</v>
      </c>
      <c r="CB208" s="75">
        <v>1332</v>
      </c>
      <c r="CC208" s="75">
        <v>1332</v>
      </c>
      <c r="CD208" s="75">
        <v>1332</v>
      </c>
      <c r="CE208" s="75">
        <v>1332</v>
      </c>
      <c r="CF208" s="75">
        <v>1332</v>
      </c>
      <c r="CG208" s="75">
        <v>1332</v>
      </c>
      <c r="CH208" s="75">
        <v>1332</v>
      </c>
      <c r="CI208" s="75">
        <v>1332</v>
      </c>
      <c r="CJ208" s="75">
        <v>1332</v>
      </c>
      <c r="CK208" s="75">
        <v>1331</v>
      </c>
      <c r="CL208" s="75">
        <v>1331</v>
      </c>
      <c r="CM208" s="75">
        <v>1331</v>
      </c>
      <c r="CN208" s="75">
        <v>1331</v>
      </c>
      <c r="CO208" s="75">
        <v>1331</v>
      </c>
      <c r="CP208" s="75">
        <v>1331</v>
      </c>
      <c r="CQ208" s="75">
        <v>1331</v>
      </c>
      <c r="CR208" s="75">
        <v>1331</v>
      </c>
      <c r="CS208" s="75">
        <v>1331</v>
      </c>
      <c r="CT208" s="75">
        <v>1331</v>
      </c>
      <c r="CU208" s="75">
        <v>1331</v>
      </c>
      <c r="CV208" s="75">
        <v>1331</v>
      </c>
      <c r="CW208" s="75">
        <v>1331</v>
      </c>
      <c r="CX208" s="75">
        <v>1331</v>
      </c>
      <c r="CY208" s="75">
        <v>1331</v>
      </c>
      <c r="CZ208" s="75">
        <v>1331</v>
      </c>
      <c r="DA208" s="75">
        <v>1331</v>
      </c>
      <c r="DB208" s="75">
        <v>1331</v>
      </c>
      <c r="DC208" s="75">
        <v>1281</v>
      </c>
      <c r="DD208" s="75">
        <v>1281</v>
      </c>
      <c r="DE208" s="75">
        <v>1281</v>
      </c>
      <c r="DF208" s="75">
        <v>1281</v>
      </c>
      <c r="DG208" s="75">
        <v>1281</v>
      </c>
      <c r="DH208" s="75">
        <v>1281</v>
      </c>
      <c r="DI208" s="75">
        <v>1281</v>
      </c>
      <c r="DJ208" s="75">
        <v>1281</v>
      </c>
      <c r="DK208" s="75">
        <v>1281</v>
      </c>
      <c r="DL208" s="75">
        <v>1275</v>
      </c>
    </row>
    <row r="209" spans="1:116" x14ac:dyDescent="0.35">
      <c r="A209" s="7"/>
      <c r="B209" s="26" t="s">
        <v>396</v>
      </c>
      <c r="C209" s="27" t="s">
        <v>397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915</v>
      </c>
      <c r="J209" s="10">
        <v>8</v>
      </c>
      <c r="K209" s="10" t="s">
        <v>42</v>
      </c>
      <c r="L209" s="8" t="s">
        <v>381</v>
      </c>
      <c r="M209" s="12">
        <v>0.312</v>
      </c>
      <c r="N209" s="12">
        <f t="shared" si="5"/>
        <v>275.80799999999999</v>
      </c>
      <c r="O209" s="29">
        <v>923</v>
      </c>
      <c r="P209" s="29">
        <v>923</v>
      </c>
      <c r="Q209" s="29">
        <v>923</v>
      </c>
      <c r="R209" s="29">
        <v>915</v>
      </c>
      <c r="S209" s="29">
        <v>915</v>
      </c>
      <c r="T209" s="29">
        <v>915</v>
      </c>
      <c r="U209" s="29">
        <v>915</v>
      </c>
      <c r="V209" s="29">
        <v>915</v>
      </c>
      <c r="W209" s="29">
        <v>915</v>
      </c>
      <c r="X209" s="29">
        <v>915</v>
      </c>
      <c r="Y209" s="29">
        <v>915</v>
      </c>
      <c r="Z209" s="29">
        <v>915</v>
      </c>
      <c r="AA209" s="29">
        <v>915</v>
      </c>
      <c r="AB209" s="29">
        <v>915</v>
      </c>
      <c r="AC209" s="29">
        <v>915</v>
      </c>
      <c r="AD209" s="29">
        <v>915</v>
      </c>
      <c r="AE209" s="29">
        <v>915</v>
      </c>
      <c r="AF209" s="29">
        <v>915</v>
      </c>
      <c r="AG209" s="29">
        <v>915</v>
      </c>
      <c r="AH209" s="29">
        <v>915</v>
      </c>
      <c r="AI209" s="29">
        <v>915</v>
      </c>
      <c r="AJ209" s="29">
        <v>915</v>
      </c>
      <c r="AK209" s="29">
        <v>915</v>
      </c>
      <c r="AL209" s="29">
        <v>914</v>
      </c>
      <c r="AM209" s="29">
        <v>914</v>
      </c>
      <c r="AN209" s="75">
        <v>914</v>
      </c>
      <c r="AO209" s="75">
        <v>914</v>
      </c>
      <c r="AP209" s="75">
        <v>914</v>
      </c>
      <c r="AQ209" s="75">
        <v>914</v>
      </c>
      <c r="AR209" s="75">
        <v>914</v>
      </c>
      <c r="AS209" s="75">
        <v>908</v>
      </c>
      <c r="AT209" s="75">
        <v>908</v>
      </c>
      <c r="AU209" s="75">
        <v>908</v>
      </c>
      <c r="AV209" s="75">
        <v>908</v>
      </c>
      <c r="AW209" s="75">
        <v>908</v>
      </c>
      <c r="AX209" s="75">
        <v>908</v>
      </c>
      <c r="AY209" s="75">
        <v>908</v>
      </c>
      <c r="AZ209" s="75">
        <v>908</v>
      </c>
      <c r="BA209" s="75">
        <v>884</v>
      </c>
      <c r="BB209" s="75">
        <v>884</v>
      </c>
      <c r="BC209" s="75">
        <v>884</v>
      </c>
      <c r="BD209" s="75">
        <v>884</v>
      </c>
      <c r="BE209" s="75">
        <v>884</v>
      </c>
      <c r="BF209" s="75">
        <v>884</v>
      </c>
      <c r="BG209" s="75">
        <v>884</v>
      </c>
      <c r="BH209" s="75">
        <v>884</v>
      </c>
      <c r="BI209" s="75">
        <v>884</v>
      </c>
      <c r="BJ209" s="75">
        <v>884</v>
      </c>
      <c r="BK209" s="75">
        <v>884</v>
      </c>
      <c r="BL209" s="75">
        <v>884</v>
      </c>
      <c r="BM209" s="75">
        <v>884</v>
      </c>
      <c r="BN209" s="75">
        <v>884</v>
      </c>
      <c r="BO209" s="75">
        <v>884</v>
      </c>
      <c r="BP209" s="75">
        <v>884</v>
      </c>
      <c r="BQ209" s="75">
        <v>884</v>
      </c>
      <c r="BR209" s="75">
        <v>884</v>
      </c>
      <c r="BS209" s="75">
        <v>884</v>
      </c>
      <c r="BT209" s="75">
        <v>884</v>
      </c>
      <c r="BU209" s="75">
        <v>884</v>
      </c>
      <c r="BV209" s="75">
        <v>884</v>
      </c>
      <c r="BW209" s="75">
        <v>884</v>
      </c>
      <c r="BX209" s="75">
        <v>884</v>
      </c>
      <c r="BY209" s="75">
        <v>884</v>
      </c>
      <c r="BZ209" s="75">
        <v>884</v>
      </c>
      <c r="CA209" s="75">
        <v>884</v>
      </c>
      <c r="CB209" s="75">
        <v>884</v>
      </c>
      <c r="CC209" s="75">
        <v>884</v>
      </c>
      <c r="CD209" s="75">
        <v>884</v>
      </c>
      <c r="CE209" s="75">
        <v>884</v>
      </c>
      <c r="CF209" s="75">
        <v>884</v>
      </c>
      <c r="CG209" s="75">
        <v>884</v>
      </c>
      <c r="CH209" s="75">
        <v>884</v>
      </c>
      <c r="CI209" s="75">
        <v>884</v>
      </c>
      <c r="CJ209" s="75">
        <v>884</v>
      </c>
      <c r="CK209" s="75">
        <v>884</v>
      </c>
      <c r="CL209" s="75">
        <v>884</v>
      </c>
      <c r="CM209" s="75">
        <v>884</v>
      </c>
      <c r="CN209" s="75">
        <v>884</v>
      </c>
      <c r="CO209" s="75">
        <v>884</v>
      </c>
      <c r="CP209" s="75">
        <v>884</v>
      </c>
      <c r="CQ209" s="75">
        <v>884</v>
      </c>
      <c r="CR209" s="75">
        <v>884</v>
      </c>
      <c r="CS209" s="75">
        <v>884</v>
      </c>
      <c r="CT209" s="75">
        <v>884</v>
      </c>
      <c r="CU209" s="75">
        <v>884</v>
      </c>
      <c r="CV209" s="75">
        <v>884</v>
      </c>
      <c r="CW209" s="75">
        <v>884</v>
      </c>
      <c r="CX209" s="75">
        <v>884</v>
      </c>
      <c r="CY209" s="75">
        <v>884</v>
      </c>
      <c r="CZ209" s="75">
        <v>884</v>
      </c>
      <c r="DA209" s="75">
        <v>884</v>
      </c>
      <c r="DB209" s="75">
        <v>884</v>
      </c>
      <c r="DC209" s="75">
        <v>884</v>
      </c>
      <c r="DD209" s="75">
        <v>884</v>
      </c>
      <c r="DE209" s="75">
        <v>884</v>
      </c>
      <c r="DF209" s="75">
        <v>884</v>
      </c>
      <c r="DG209" s="75">
        <v>884</v>
      </c>
      <c r="DH209" s="75">
        <v>884</v>
      </c>
      <c r="DI209" s="75">
        <v>884</v>
      </c>
      <c r="DJ209" s="75">
        <v>884</v>
      </c>
      <c r="DK209" s="75">
        <v>884</v>
      </c>
      <c r="DL209" s="75">
        <v>884</v>
      </c>
    </row>
    <row r="210" spans="1:116" x14ac:dyDescent="0.35">
      <c r="A210" s="7"/>
      <c r="B210" s="26" t="s">
        <v>398</v>
      </c>
      <c r="C210" s="27" t="s">
        <v>399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286</v>
      </c>
      <c r="J210" s="10">
        <v>8</v>
      </c>
      <c r="K210" s="10" t="s">
        <v>42</v>
      </c>
      <c r="L210" s="8" t="s">
        <v>381</v>
      </c>
      <c r="M210" s="12">
        <v>0.14399999999999999</v>
      </c>
      <c r="N210" s="12">
        <f t="shared" si="5"/>
        <v>33.263999999999996</v>
      </c>
      <c r="O210" s="29">
        <v>666</v>
      </c>
      <c r="P210" s="29">
        <v>666</v>
      </c>
      <c r="Q210" s="29">
        <v>666</v>
      </c>
      <c r="R210" s="29">
        <v>658</v>
      </c>
      <c r="S210" s="29">
        <v>658</v>
      </c>
      <c r="T210" s="29">
        <v>658</v>
      </c>
      <c r="U210" s="29">
        <v>658</v>
      </c>
      <c r="V210" s="29">
        <v>658</v>
      </c>
      <c r="W210" s="29">
        <v>658</v>
      </c>
      <c r="X210" s="29">
        <v>658</v>
      </c>
      <c r="Y210" s="29">
        <v>586</v>
      </c>
      <c r="Z210" s="29">
        <v>586</v>
      </c>
      <c r="AA210" s="29">
        <v>586</v>
      </c>
      <c r="AB210" s="29">
        <v>586</v>
      </c>
      <c r="AC210" s="29">
        <v>586</v>
      </c>
      <c r="AD210" s="29">
        <v>586</v>
      </c>
      <c r="AE210" s="29">
        <v>586</v>
      </c>
      <c r="AF210" s="29">
        <v>586</v>
      </c>
      <c r="AG210" s="29">
        <v>586</v>
      </c>
      <c r="AH210" s="29">
        <v>586</v>
      </c>
      <c r="AI210" s="29">
        <v>586</v>
      </c>
      <c r="AJ210" s="29">
        <v>286</v>
      </c>
      <c r="AK210" s="29">
        <v>286</v>
      </c>
      <c r="AL210" s="29">
        <v>285</v>
      </c>
      <c r="AM210" s="29">
        <v>285</v>
      </c>
      <c r="AN210" s="75">
        <v>285</v>
      </c>
      <c r="AO210" s="75">
        <v>285</v>
      </c>
      <c r="AP210" s="75">
        <v>285</v>
      </c>
      <c r="AQ210" s="75">
        <v>285</v>
      </c>
      <c r="AR210" s="75">
        <v>285</v>
      </c>
      <c r="AS210" s="75">
        <v>285</v>
      </c>
      <c r="AT210" s="75">
        <v>285</v>
      </c>
      <c r="AU210" s="75">
        <v>285</v>
      </c>
      <c r="AV210" s="75">
        <v>285</v>
      </c>
      <c r="AW210" s="75">
        <v>285</v>
      </c>
      <c r="AX210" s="75">
        <v>285</v>
      </c>
      <c r="AY210" s="75">
        <v>285</v>
      </c>
      <c r="AZ210" s="75">
        <v>285</v>
      </c>
      <c r="BA210" s="75">
        <v>285</v>
      </c>
      <c r="BB210" s="75">
        <v>285</v>
      </c>
      <c r="BC210" s="75">
        <v>285</v>
      </c>
      <c r="BD210" s="75">
        <v>235</v>
      </c>
      <c r="BE210" s="75">
        <v>235</v>
      </c>
      <c r="BF210" s="75">
        <v>235</v>
      </c>
      <c r="BG210" s="75">
        <v>235</v>
      </c>
      <c r="BH210" s="75">
        <v>235</v>
      </c>
      <c r="BI210" s="75">
        <v>235</v>
      </c>
      <c r="BJ210" s="75">
        <v>235</v>
      </c>
      <c r="BK210" s="75">
        <v>235</v>
      </c>
      <c r="BL210" s="75">
        <v>235</v>
      </c>
      <c r="BM210" s="75">
        <v>235</v>
      </c>
      <c r="BN210" s="75">
        <v>235</v>
      </c>
      <c r="BO210" s="75">
        <v>235</v>
      </c>
      <c r="BP210" s="75">
        <v>235</v>
      </c>
      <c r="BQ210" s="75">
        <v>235</v>
      </c>
      <c r="BR210" s="75">
        <v>235</v>
      </c>
      <c r="BS210" s="75">
        <v>235</v>
      </c>
      <c r="BT210" s="75">
        <v>235</v>
      </c>
      <c r="BU210" s="75">
        <v>235</v>
      </c>
      <c r="BV210" s="75">
        <v>231</v>
      </c>
      <c r="BW210" s="75">
        <v>231</v>
      </c>
      <c r="BX210" s="75">
        <v>231</v>
      </c>
      <c r="BY210" s="75">
        <v>231</v>
      </c>
      <c r="BZ210" s="75">
        <v>231</v>
      </c>
      <c r="CA210" s="75">
        <v>231</v>
      </c>
      <c r="CB210" s="75">
        <v>231</v>
      </c>
      <c r="CC210" s="75">
        <v>231</v>
      </c>
      <c r="CD210" s="75">
        <v>231</v>
      </c>
      <c r="CE210" s="75">
        <v>231</v>
      </c>
      <c r="CF210" s="75">
        <v>231</v>
      </c>
      <c r="CG210" s="75">
        <v>231</v>
      </c>
      <c r="CH210" s="75">
        <v>231</v>
      </c>
      <c r="CI210" s="75">
        <v>231</v>
      </c>
      <c r="CJ210" s="75">
        <v>231</v>
      </c>
      <c r="CK210" s="75">
        <v>231</v>
      </c>
      <c r="CL210" s="75">
        <v>231</v>
      </c>
      <c r="CM210" s="75">
        <v>231</v>
      </c>
      <c r="CN210" s="75">
        <v>231</v>
      </c>
      <c r="CO210" s="75">
        <v>231</v>
      </c>
      <c r="CP210" s="75">
        <v>231</v>
      </c>
      <c r="CQ210" s="75">
        <v>231</v>
      </c>
      <c r="CR210" s="75">
        <v>231</v>
      </c>
      <c r="CS210" s="75">
        <v>231</v>
      </c>
      <c r="CT210" s="75">
        <v>231</v>
      </c>
      <c r="CU210" s="75">
        <v>231</v>
      </c>
      <c r="CV210" s="75">
        <v>231</v>
      </c>
      <c r="CW210" s="75">
        <v>231</v>
      </c>
      <c r="CX210" s="75">
        <v>231</v>
      </c>
      <c r="CY210" s="75">
        <v>231</v>
      </c>
      <c r="CZ210" s="75">
        <v>231</v>
      </c>
      <c r="DA210" s="75">
        <v>231</v>
      </c>
      <c r="DB210" s="75">
        <v>231</v>
      </c>
      <c r="DC210" s="75">
        <v>231</v>
      </c>
      <c r="DD210" s="75">
        <v>231</v>
      </c>
      <c r="DE210" s="75">
        <v>231</v>
      </c>
      <c r="DF210" s="75">
        <v>231</v>
      </c>
      <c r="DG210" s="75">
        <v>231</v>
      </c>
      <c r="DH210" s="75">
        <v>231</v>
      </c>
      <c r="DI210" s="75">
        <v>231</v>
      </c>
      <c r="DJ210" s="75">
        <v>231</v>
      </c>
      <c r="DK210" s="75">
        <v>231</v>
      </c>
      <c r="DL210" s="75">
        <v>231</v>
      </c>
    </row>
    <row r="211" spans="1:116" x14ac:dyDescent="0.35">
      <c r="A211" s="7"/>
      <c r="B211" s="26" t="s">
        <v>400</v>
      </c>
      <c r="C211" s="27" t="s">
        <v>401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892</v>
      </c>
      <c r="J211" s="10">
        <v>8</v>
      </c>
      <c r="K211" s="10" t="s">
        <v>42</v>
      </c>
      <c r="L211" s="8" t="s">
        <v>381</v>
      </c>
      <c r="M211" s="12">
        <v>0.156</v>
      </c>
      <c r="N211" s="12">
        <f t="shared" si="5"/>
        <v>125.42400000000001</v>
      </c>
      <c r="O211" s="29">
        <v>900</v>
      </c>
      <c r="P211" s="29">
        <v>900</v>
      </c>
      <c r="Q211" s="29">
        <v>900</v>
      </c>
      <c r="R211" s="29">
        <v>892</v>
      </c>
      <c r="S211" s="29">
        <v>892</v>
      </c>
      <c r="T211" s="29">
        <v>892</v>
      </c>
      <c r="U211" s="29">
        <v>892</v>
      </c>
      <c r="V211" s="29">
        <v>892</v>
      </c>
      <c r="W211" s="29">
        <v>892</v>
      </c>
      <c r="X211" s="29">
        <v>892</v>
      </c>
      <c r="Y211" s="29">
        <v>892</v>
      </c>
      <c r="Z211" s="29">
        <v>892</v>
      </c>
      <c r="AA211" s="29">
        <v>892</v>
      </c>
      <c r="AB211" s="29">
        <v>892</v>
      </c>
      <c r="AC211" s="29">
        <v>892</v>
      </c>
      <c r="AD211" s="29">
        <v>892</v>
      </c>
      <c r="AE211" s="29">
        <v>892</v>
      </c>
      <c r="AF211" s="29">
        <v>892</v>
      </c>
      <c r="AG211" s="29">
        <v>892</v>
      </c>
      <c r="AH211" s="29">
        <v>892</v>
      </c>
      <c r="AI211" s="29">
        <v>892</v>
      </c>
      <c r="AJ211" s="29">
        <v>892</v>
      </c>
      <c r="AK211" s="29">
        <v>892</v>
      </c>
      <c r="AL211" s="29">
        <v>859</v>
      </c>
      <c r="AM211" s="29">
        <v>859</v>
      </c>
      <c r="AN211" s="75">
        <v>859</v>
      </c>
      <c r="AO211" s="75">
        <v>859</v>
      </c>
      <c r="AP211" s="75">
        <v>859</v>
      </c>
      <c r="AQ211" s="75">
        <v>859</v>
      </c>
      <c r="AR211" s="75">
        <v>859</v>
      </c>
      <c r="AS211" s="75">
        <v>859</v>
      </c>
      <c r="AT211" s="75">
        <v>859</v>
      </c>
      <c r="AU211" s="75">
        <v>859</v>
      </c>
      <c r="AV211" s="75">
        <v>859</v>
      </c>
      <c r="AW211" s="75">
        <v>859</v>
      </c>
      <c r="AX211" s="75">
        <v>859</v>
      </c>
      <c r="AY211" s="75">
        <v>859</v>
      </c>
      <c r="AZ211" s="75">
        <v>859</v>
      </c>
      <c r="BA211" s="75">
        <v>859</v>
      </c>
      <c r="BB211" s="75">
        <v>859</v>
      </c>
      <c r="BC211" s="75">
        <v>859</v>
      </c>
      <c r="BD211" s="75">
        <v>859</v>
      </c>
      <c r="BE211" s="75">
        <v>859</v>
      </c>
      <c r="BF211" s="75">
        <v>859</v>
      </c>
      <c r="BG211" s="75">
        <v>859</v>
      </c>
      <c r="BH211" s="75">
        <v>859</v>
      </c>
      <c r="BI211" s="75">
        <v>859</v>
      </c>
      <c r="BJ211" s="75">
        <v>859</v>
      </c>
      <c r="BK211" s="75">
        <v>859</v>
      </c>
      <c r="BL211" s="75">
        <v>859</v>
      </c>
      <c r="BM211" s="75">
        <v>859</v>
      </c>
      <c r="BN211" s="75">
        <v>859</v>
      </c>
      <c r="BO211" s="75">
        <v>859</v>
      </c>
      <c r="BP211" s="75">
        <v>859</v>
      </c>
      <c r="BQ211" s="75">
        <v>859</v>
      </c>
      <c r="BR211" s="75">
        <v>859</v>
      </c>
      <c r="BS211" s="75">
        <v>859</v>
      </c>
      <c r="BT211" s="75">
        <v>859</v>
      </c>
      <c r="BU211" s="75">
        <v>859</v>
      </c>
      <c r="BV211" s="75">
        <v>855</v>
      </c>
      <c r="BW211" s="75">
        <v>855</v>
      </c>
      <c r="BX211" s="75">
        <v>855</v>
      </c>
      <c r="BY211" s="75">
        <v>855</v>
      </c>
      <c r="BZ211" s="75">
        <v>855</v>
      </c>
      <c r="CA211" s="75">
        <v>855</v>
      </c>
      <c r="CB211" s="75">
        <v>855</v>
      </c>
      <c r="CC211" s="75">
        <v>855</v>
      </c>
      <c r="CD211" s="75">
        <v>855</v>
      </c>
      <c r="CE211" s="75">
        <v>855</v>
      </c>
      <c r="CF211" s="75">
        <v>855</v>
      </c>
      <c r="CG211" s="75">
        <v>855</v>
      </c>
      <c r="CH211" s="75">
        <v>855</v>
      </c>
      <c r="CI211" s="75">
        <v>855</v>
      </c>
      <c r="CJ211" s="75">
        <v>855</v>
      </c>
      <c r="CK211" s="75">
        <v>854</v>
      </c>
      <c r="CL211" s="75">
        <v>854</v>
      </c>
      <c r="CM211" s="75">
        <v>854</v>
      </c>
      <c r="CN211" s="75">
        <v>854</v>
      </c>
      <c r="CO211" s="75">
        <v>854</v>
      </c>
      <c r="CP211" s="75">
        <v>854</v>
      </c>
      <c r="CQ211" s="75">
        <v>854</v>
      </c>
      <c r="CR211" s="75">
        <v>854</v>
      </c>
      <c r="CS211" s="75">
        <v>854</v>
      </c>
      <c r="CT211" s="75">
        <v>854</v>
      </c>
      <c r="CU211" s="75">
        <v>854</v>
      </c>
      <c r="CV211" s="75">
        <v>854</v>
      </c>
      <c r="CW211" s="75">
        <v>854</v>
      </c>
      <c r="CX211" s="75">
        <v>854</v>
      </c>
      <c r="CY211" s="75">
        <v>854</v>
      </c>
      <c r="CZ211" s="75">
        <v>854</v>
      </c>
      <c r="DA211" s="75">
        <v>854</v>
      </c>
      <c r="DB211" s="75">
        <v>854</v>
      </c>
      <c r="DC211" s="75">
        <v>804</v>
      </c>
      <c r="DD211" s="75">
        <v>804</v>
      </c>
      <c r="DE211" s="75">
        <v>804</v>
      </c>
      <c r="DF211" s="75">
        <v>804</v>
      </c>
      <c r="DG211" s="75">
        <v>804</v>
      </c>
      <c r="DH211" s="75">
        <v>804</v>
      </c>
      <c r="DI211" s="75">
        <v>804</v>
      </c>
      <c r="DJ211" s="75">
        <v>804</v>
      </c>
      <c r="DK211" s="75">
        <v>804</v>
      </c>
      <c r="DL211" s="75">
        <v>804</v>
      </c>
    </row>
    <row r="212" spans="1:116" x14ac:dyDescent="0.35">
      <c r="A212" s="7"/>
      <c r="B212" s="26" t="s">
        <v>402</v>
      </c>
      <c r="C212" s="27" t="s">
        <v>403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972</v>
      </c>
      <c r="J212" s="10">
        <v>8</v>
      </c>
      <c r="K212" s="10" t="s">
        <v>42</v>
      </c>
      <c r="L212" s="8" t="s">
        <v>381</v>
      </c>
      <c r="M212" s="12">
        <v>0.18</v>
      </c>
      <c r="N212" s="12">
        <f t="shared" si="5"/>
        <v>174.42</v>
      </c>
      <c r="O212" s="29">
        <v>980</v>
      </c>
      <c r="P212" s="29">
        <v>980</v>
      </c>
      <c r="Q212" s="29">
        <v>980</v>
      </c>
      <c r="R212" s="29">
        <v>972</v>
      </c>
      <c r="S212" s="29">
        <v>972</v>
      </c>
      <c r="T212" s="29">
        <v>972</v>
      </c>
      <c r="U212" s="29">
        <v>972</v>
      </c>
      <c r="V212" s="29">
        <v>972</v>
      </c>
      <c r="W212" s="29">
        <v>972</v>
      </c>
      <c r="X212" s="29">
        <v>972</v>
      </c>
      <c r="Y212" s="29">
        <v>972</v>
      </c>
      <c r="Z212" s="29">
        <v>972</v>
      </c>
      <c r="AA212" s="29">
        <v>972</v>
      </c>
      <c r="AB212" s="29">
        <v>972</v>
      </c>
      <c r="AC212" s="29">
        <v>972</v>
      </c>
      <c r="AD212" s="29">
        <v>972</v>
      </c>
      <c r="AE212" s="29">
        <v>972</v>
      </c>
      <c r="AF212" s="29">
        <v>972</v>
      </c>
      <c r="AG212" s="29">
        <v>972</v>
      </c>
      <c r="AH212" s="29">
        <v>972</v>
      </c>
      <c r="AI212" s="29">
        <v>972</v>
      </c>
      <c r="AJ212" s="29">
        <v>972</v>
      </c>
      <c r="AK212" s="29">
        <v>972</v>
      </c>
      <c r="AL212" s="29">
        <v>971</v>
      </c>
      <c r="AM212" s="29">
        <v>971</v>
      </c>
      <c r="AN212" s="75">
        <v>971</v>
      </c>
      <c r="AO212" s="75">
        <v>971</v>
      </c>
      <c r="AP212" s="75">
        <v>971</v>
      </c>
      <c r="AQ212" s="75">
        <v>971</v>
      </c>
      <c r="AR212" s="75">
        <v>971</v>
      </c>
      <c r="AS212" s="75">
        <v>971</v>
      </c>
      <c r="AT212" s="75">
        <v>971</v>
      </c>
      <c r="AU212" s="75">
        <v>971</v>
      </c>
      <c r="AV212" s="75">
        <v>971</v>
      </c>
      <c r="AW212" s="75">
        <v>971</v>
      </c>
      <c r="AX212" s="75">
        <v>971</v>
      </c>
      <c r="AY212" s="75">
        <v>971</v>
      </c>
      <c r="AZ212" s="75">
        <v>971</v>
      </c>
      <c r="BA212" s="75">
        <v>971</v>
      </c>
      <c r="BB212" s="75">
        <v>971</v>
      </c>
      <c r="BC212" s="75">
        <v>971</v>
      </c>
      <c r="BD212" s="75">
        <v>971</v>
      </c>
      <c r="BE212" s="75">
        <v>971</v>
      </c>
      <c r="BF212" s="75">
        <v>971</v>
      </c>
      <c r="BG212" s="75">
        <v>971</v>
      </c>
      <c r="BH212" s="75">
        <v>971</v>
      </c>
      <c r="BI212" s="75">
        <v>971</v>
      </c>
      <c r="BJ212" s="75">
        <v>971</v>
      </c>
      <c r="BK212" s="75">
        <v>971</v>
      </c>
      <c r="BL212" s="75">
        <v>971</v>
      </c>
      <c r="BM212" s="75">
        <v>971</v>
      </c>
      <c r="BN212" s="75">
        <v>971</v>
      </c>
      <c r="BO212" s="75">
        <v>971</v>
      </c>
      <c r="BP212" s="75">
        <v>971</v>
      </c>
      <c r="BQ212" s="75">
        <v>971</v>
      </c>
      <c r="BR212" s="75">
        <v>971</v>
      </c>
      <c r="BS212" s="75">
        <v>971</v>
      </c>
      <c r="BT212" s="75">
        <v>971</v>
      </c>
      <c r="BU212" s="75">
        <v>971</v>
      </c>
      <c r="BV212" s="75">
        <v>969</v>
      </c>
      <c r="BW212" s="75">
        <v>969</v>
      </c>
      <c r="BX212" s="75">
        <v>969</v>
      </c>
      <c r="BY212" s="75">
        <v>969</v>
      </c>
      <c r="BZ212" s="75">
        <v>969</v>
      </c>
      <c r="CA212" s="75">
        <v>969</v>
      </c>
      <c r="CB212" s="75">
        <v>969</v>
      </c>
      <c r="CC212" s="75">
        <v>969</v>
      </c>
      <c r="CD212" s="75">
        <v>969</v>
      </c>
      <c r="CE212" s="75">
        <v>969</v>
      </c>
      <c r="CF212" s="75">
        <v>969</v>
      </c>
      <c r="CG212" s="75">
        <v>969</v>
      </c>
      <c r="CH212" s="75">
        <v>969</v>
      </c>
      <c r="CI212" s="75">
        <v>969</v>
      </c>
      <c r="CJ212" s="75">
        <v>969</v>
      </c>
      <c r="CK212" s="75">
        <v>969</v>
      </c>
      <c r="CL212" s="75">
        <v>969</v>
      </c>
      <c r="CM212" s="75">
        <v>969</v>
      </c>
      <c r="CN212" s="75">
        <v>969</v>
      </c>
      <c r="CO212" s="75">
        <v>969</v>
      </c>
      <c r="CP212" s="75">
        <v>969</v>
      </c>
      <c r="CQ212" s="75">
        <v>969</v>
      </c>
      <c r="CR212" s="75">
        <v>969</v>
      </c>
      <c r="CS212" s="75">
        <v>969</v>
      </c>
      <c r="CT212" s="75">
        <v>969</v>
      </c>
      <c r="CU212" s="75">
        <v>969</v>
      </c>
      <c r="CV212" s="75">
        <v>969</v>
      </c>
      <c r="CW212" s="75">
        <v>969</v>
      </c>
      <c r="CX212" s="75">
        <v>969</v>
      </c>
      <c r="CY212" s="75">
        <v>969</v>
      </c>
      <c r="CZ212" s="75">
        <v>969</v>
      </c>
      <c r="DA212" s="75">
        <v>969</v>
      </c>
      <c r="DB212" s="75">
        <v>969</v>
      </c>
      <c r="DC212" s="75">
        <v>969</v>
      </c>
      <c r="DD212" s="75">
        <v>969</v>
      </c>
      <c r="DE212" s="75">
        <v>969</v>
      </c>
      <c r="DF212" s="75">
        <v>969</v>
      </c>
      <c r="DG212" s="75">
        <v>969</v>
      </c>
      <c r="DH212" s="75">
        <v>969</v>
      </c>
      <c r="DI212" s="75">
        <v>969</v>
      </c>
      <c r="DJ212" s="75">
        <v>969</v>
      </c>
      <c r="DK212" s="75">
        <v>969</v>
      </c>
      <c r="DL212" s="75">
        <v>969</v>
      </c>
    </row>
    <row r="213" spans="1:116" x14ac:dyDescent="0.35">
      <c r="A213" s="7"/>
      <c r="B213" s="26" t="s">
        <v>404</v>
      </c>
      <c r="C213" s="27" t="s">
        <v>405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1186</v>
      </c>
      <c r="J213" s="10">
        <v>16</v>
      </c>
      <c r="K213" s="10" t="s">
        <v>42</v>
      </c>
      <c r="L213" s="8" t="s">
        <v>381</v>
      </c>
      <c r="M213" s="12">
        <v>0.49199999999999999</v>
      </c>
      <c r="N213" s="12">
        <f t="shared" si="5"/>
        <v>7.8719999999999999</v>
      </c>
      <c r="O213" s="29">
        <v>2546</v>
      </c>
      <c r="P213" s="29">
        <v>2546</v>
      </c>
      <c r="Q213" s="29">
        <v>2546</v>
      </c>
      <c r="R213" s="29">
        <v>2382</v>
      </c>
      <c r="S213" s="29">
        <v>2386</v>
      </c>
      <c r="T213" s="29">
        <v>2386</v>
      </c>
      <c r="U213" s="29">
        <v>2318</v>
      </c>
      <c r="V213" s="29">
        <v>2318</v>
      </c>
      <c r="W213" s="29">
        <v>2318</v>
      </c>
      <c r="X213" s="29">
        <v>2318</v>
      </c>
      <c r="Y213" s="29">
        <v>2318</v>
      </c>
      <c r="Z213" s="29">
        <v>2318</v>
      </c>
      <c r="AA213" s="29">
        <v>2318</v>
      </c>
      <c r="AB213" s="29">
        <v>2018</v>
      </c>
      <c r="AC213" s="29">
        <v>2018</v>
      </c>
      <c r="AD213" s="29">
        <v>2018</v>
      </c>
      <c r="AE213" s="29">
        <v>2018</v>
      </c>
      <c r="AF213" s="29">
        <v>2018</v>
      </c>
      <c r="AG213" s="29">
        <v>2018</v>
      </c>
      <c r="AH213" s="29">
        <v>2018</v>
      </c>
      <c r="AI213" s="29">
        <v>2018</v>
      </c>
      <c r="AJ213" s="29">
        <v>1186</v>
      </c>
      <c r="AK213" s="29">
        <v>1186</v>
      </c>
      <c r="AL213" s="29">
        <v>1177</v>
      </c>
      <c r="AM213" s="29">
        <v>1177</v>
      </c>
      <c r="AN213" s="75">
        <v>1177</v>
      </c>
      <c r="AO213" s="75">
        <v>1093</v>
      </c>
      <c r="AP213" s="75">
        <v>1093</v>
      </c>
      <c r="AQ213" s="75">
        <v>1093</v>
      </c>
      <c r="AR213" s="75">
        <v>961</v>
      </c>
      <c r="AS213" s="75">
        <v>637</v>
      </c>
      <c r="AT213" s="75">
        <v>413</v>
      </c>
      <c r="AU213" s="75">
        <v>413</v>
      </c>
      <c r="AV213" s="75">
        <v>95</v>
      </c>
      <c r="AW213" s="75">
        <v>71</v>
      </c>
      <c r="AX213" s="75">
        <v>71</v>
      </c>
      <c r="AY213" s="75">
        <v>71</v>
      </c>
      <c r="AZ213" s="75">
        <v>71</v>
      </c>
      <c r="BA213" s="75">
        <v>71</v>
      </c>
      <c r="BB213" s="75">
        <v>55</v>
      </c>
      <c r="BC213" s="75">
        <v>55</v>
      </c>
      <c r="BD213" s="75">
        <v>132</v>
      </c>
      <c r="BE213" s="75">
        <v>132</v>
      </c>
      <c r="BF213" s="75">
        <v>132</v>
      </c>
      <c r="BG213" s="75">
        <v>132</v>
      </c>
      <c r="BH213" s="75">
        <v>4</v>
      </c>
      <c r="BI213" s="75">
        <v>4</v>
      </c>
      <c r="BJ213" s="75">
        <v>4</v>
      </c>
      <c r="BK213" s="75">
        <v>4</v>
      </c>
      <c r="BL213" s="75">
        <v>4</v>
      </c>
      <c r="BM213" s="75">
        <v>4</v>
      </c>
      <c r="BN213" s="75">
        <v>1</v>
      </c>
      <c r="BO213" s="75">
        <v>1</v>
      </c>
      <c r="BP213" s="75">
        <v>1</v>
      </c>
      <c r="BQ213" s="75">
        <v>0</v>
      </c>
      <c r="BR213" s="75">
        <v>12</v>
      </c>
      <c r="BS213" s="75">
        <v>16</v>
      </c>
      <c r="BT213" s="75">
        <v>16</v>
      </c>
      <c r="BU213" s="75">
        <v>16</v>
      </c>
      <c r="BV213" s="75">
        <v>16</v>
      </c>
      <c r="BW213" s="75">
        <v>16</v>
      </c>
      <c r="BX213" s="75">
        <v>16</v>
      </c>
      <c r="BY213" s="75">
        <v>16</v>
      </c>
      <c r="BZ213" s="75">
        <v>16</v>
      </c>
      <c r="CA213" s="75">
        <v>16</v>
      </c>
      <c r="CB213" s="75">
        <v>16</v>
      </c>
      <c r="CC213" s="75">
        <v>16</v>
      </c>
      <c r="CD213" s="75">
        <v>16</v>
      </c>
      <c r="CE213" s="75">
        <v>16</v>
      </c>
      <c r="CF213" s="75">
        <v>16</v>
      </c>
      <c r="CG213" s="75">
        <v>16</v>
      </c>
      <c r="CH213" s="75">
        <v>16</v>
      </c>
      <c r="CI213" s="75">
        <v>16</v>
      </c>
      <c r="CJ213" s="75">
        <v>16</v>
      </c>
      <c r="CK213" s="75">
        <v>16</v>
      </c>
      <c r="CL213" s="75">
        <v>16</v>
      </c>
      <c r="CM213" s="75">
        <v>16</v>
      </c>
      <c r="CN213" s="75">
        <v>16</v>
      </c>
      <c r="CO213" s="75">
        <v>16</v>
      </c>
      <c r="CP213" s="75">
        <v>16</v>
      </c>
      <c r="CQ213" s="75">
        <v>16</v>
      </c>
      <c r="CR213" s="75">
        <v>16</v>
      </c>
      <c r="CS213" s="75">
        <v>16</v>
      </c>
      <c r="CT213" s="75">
        <v>16</v>
      </c>
      <c r="CU213" s="75">
        <v>16</v>
      </c>
      <c r="CV213" s="75">
        <v>16</v>
      </c>
      <c r="CW213" s="75">
        <v>16</v>
      </c>
      <c r="CX213" s="75">
        <v>16</v>
      </c>
      <c r="CY213" s="75">
        <v>16</v>
      </c>
      <c r="CZ213" s="75">
        <v>16</v>
      </c>
      <c r="DA213" s="75">
        <v>16</v>
      </c>
      <c r="DB213" s="75">
        <v>16</v>
      </c>
      <c r="DC213" s="75">
        <v>16</v>
      </c>
      <c r="DD213" s="75">
        <v>16</v>
      </c>
      <c r="DE213" s="75">
        <v>16</v>
      </c>
      <c r="DF213" s="75">
        <v>16</v>
      </c>
      <c r="DG213" s="75">
        <v>16</v>
      </c>
      <c r="DH213" s="75">
        <v>16</v>
      </c>
      <c r="DI213" s="75">
        <v>16</v>
      </c>
      <c r="DJ213" s="75">
        <v>16</v>
      </c>
      <c r="DK213" s="75">
        <v>16</v>
      </c>
      <c r="DL213" s="75">
        <v>16</v>
      </c>
    </row>
    <row r="214" spans="1:116" x14ac:dyDescent="0.35">
      <c r="A214" s="7"/>
      <c r="B214" s="26" t="s">
        <v>406</v>
      </c>
      <c r="C214" s="27" t="s">
        <v>407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1774</v>
      </c>
      <c r="J214" s="10">
        <v>16</v>
      </c>
      <c r="K214" s="10" t="s">
        <v>42</v>
      </c>
      <c r="L214" s="8" t="s">
        <v>381</v>
      </c>
      <c r="M214" s="12">
        <v>0.58799999999999997</v>
      </c>
      <c r="N214" s="12">
        <f t="shared" si="5"/>
        <v>876.12</v>
      </c>
      <c r="O214" s="29">
        <v>1814</v>
      </c>
      <c r="P214" s="29">
        <v>1814</v>
      </c>
      <c r="Q214" s="29">
        <v>1814</v>
      </c>
      <c r="R214" s="29">
        <v>1798</v>
      </c>
      <c r="S214" s="29">
        <v>1798</v>
      </c>
      <c r="T214" s="29">
        <v>1798</v>
      </c>
      <c r="U214" s="29">
        <v>1798</v>
      </c>
      <c r="V214" s="29">
        <v>1798</v>
      </c>
      <c r="W214" s="29">
        <v>1798</v>
      </c>
      <c r="X214" s="29">
        <v>1798</v>
      </c>
      <c r="Y214" s="29">
        <v>1798</v>
      </c>
      <c r="Z214" s="29">
        <v>1798</v>
      </c>
      <c r="AA214" s="29">
        <v>1798</v>
      </c>
      <c r="AB214" s="29">
        <v>1798</v>
      </c>
      <c r="AC214" s="29">
        <v>1798</v>
      </c>
      <c r="AD214" s="29">
        <v>1798</v>
      </c>
      <c r="AE214" s="29">
        <v>1798</v>
      </c>
      <c r="AF214" s="29">
        <v>1798</v>
      </c>
      <c r="AG214" s="29">
        <v>1798</v>
      </c>
      <c r="AH214" s="29">
        <v>1798</v>
      </c>
      <c r="AI214" s="29">
        <v>1774</v>
      </c>
      <c r="AJ214" s="29">
        <v>1774</v>
      </c>
      <c r="AK214" s="29">
        <v>1766</v>
      </c>
      <c r="AL214" s="29">
        <v>1765</v>
      </c>
      <c r="AM214" s="29">
        <v>1765</v>
      </c>
      <c r="AN214" s="75">
        <v>1765</v>
      </c>
      <c r="AO214" s="75">
        <v>1765</v>
      </c>
      <c r="AP214" s="75">
        <v>1765</v>
      </c>
      <c r="AQ214" s="75">
        <v>1765</v>
      </c>
      <c r="AR214" s="75">
        <v>1765</v>
      </c>
      <c r="AS214" s="75">
        <v>1765</v>
      </c>
      <c r="AT214" s="75">
        <v>1765</v>
      </c>
      <c r="AU214" s="75">
        <v>1765</v>
      </c>
      <c r="AV214" s="75">
        <v>1765</v>
      </c>
      <c r="AW214" s="75">
        <v>1765</v>
      </c>
      <c r="AX214" s="75">
        <v>1765</v>
      </c>
      <c r="AY214" s="75">
        <v>1765</v>
      </c>
      <c r="AZ214" s="75">
        <v>1765</v>
      </c>
      <c r="BA214" s="75">
        <v>1765</v>
      </c>
      <c r="BB214" s="75">
        <v>1765</v>
      </c>
      <c r="BC214" s="75">
        <v>1765</v>
      </c>
      <c r="BD214" s="75">
        <v>1765</v>
      </c>
      <c r="BE214" s="75">
        <v>1765</v>
      </c>
      <c r="BF214" s="75">
        <v>1765</v>
      </c>
      <c r="BG214" s="75">
        <v>1765</v>
      </c>
      <c r="BH214" s="75">
        <v>1765</v>
      </c>
      <c r="BI214" s="75">
        <v>1765</v>
      </c>
      <c r="BJ214" s="75">
        <v>1765</v>
      </c>
      <c r="BK214" s="75">
        <v>1765</v>
      </c>
      <c r="BL214" s="75">
        <v>1765</v>
      </c>
      <c r="BM214" s="75">
        <v>1765</v>
      </c>
      <c r="BN214" s="75">
        <v>1765</v>
      </c>
      <c r="BO214" s="75">
        <v>1765</v>
      </c>
      <c r="BP214" s="75">
        <v>1515</v>
      </c>
      <c r="BQ214" s="75">
        <v>1515</v>
      </c>
      <c r="BR214" s="75">
        <v>1515</v>
      </c>
      <c r="BS214" s="75">
        <v>1515</v>
      </c>
      <c r="BT214" s="75">
        <v>1515</v>
      </c>
      <c r="BU214" s="75">
        <v>1515</v>
      </c>
      <c r="BV214" s="75">
        <v>1515</v>
      </c>
      <c r="BW214" s="75">
        <v>1515</v>
      </c>
      <c r="BX214" s="75">
        <v>1515</v>
      </c>
      <c r="BY214" s="75">
        <v>1515</v>
      </c>
      <c r="BZ214" s="75">
        <v>1491</v>
      </c>
      <c r="CA214" s="75">
        <v>1491</v>
      </c>
      <c r="CB214" s="75">
        <v>1491</v>
      </c>
      <c r="CC214" s="75">
        <v>1491</v>
      </c>
      <c r="CD214" s="75">
        <v>1491</v>
      </c>
      <c r="CE214" s="75">
        <v>1491</v>
      </c>
      <c r="CF214" s="75">
        <v>1491</v>
      </c>
      <c r="CG214" s="75">
        <v>1491</v>
      </c>
      <c r="CH214" s="75">
        <v>1491</v>
      </c>
      <c r="CI214" s="75">
        <v>1491</v>
      </c>
      <c r="CJ214" s="75">
        <v>1491</v>
      </c>
      <c r="CK214" s="75">
        <v>1490</v>
      </c>
      <c r="CL214" s="75">
        <v>1490</v>
      </c>
      <c r="CM214" s="75">
        <v>1490</v>
      </c>
      <c r="CN214" s="75">
        <v>1490</v>
      </c>
      <c r="CO214" s="75">
        <v>1490</v>
      </c>
      <c r="CP214" s="75">
        <v>1490</v>
      </c>
      <c r="CQ214" s="75">
        <v>1490</v>
      </c>
      <c r="CR214" s="75">
        <v>1490</v>
      </c>
      <c r="CS214" s="75">
        <v>1490</v>
      </c>
      <c r="CT214" s="75">
        <v>1490</v>
      </c>
      <c r="CU214" s="75">
        <v>1490</v>
      </c>
      <c r="CV214" s="75">
        <v>1490</v>
      </c>
      <c r="CW214" s="75">
        <v>1490</v>
      </c>
      <c r="CX214" s="75">
        <v>1490</v>
      </c>
      <c r="CY214" s="75">
        <v>1490</v>
      </c>
      <c r="CZ214" s="75">
        <v>1490</v>
      </c>
      <c r="DA214" s="75">
        <v>1490</v>
      </c>
      <c r="DB214" s="75">
        <v>1490</v>
      </c>
      <c r="DC214" s="75">
        <v>1490</v>
      </c>
      <c r="DD214" s="75">
        <v>1490</v>
      </c>
      <c r="DE214" s="75">
        <v>1490</v>
      </c>
      <c r="DF214" s="75">
        <v>1490</v>
      </c>
      <c r="DG214" s="75">
        <v>1490</v>
      </c>
      <c r="DH214" s="75">
        <v>1490</v>
      </c>
      <c r="DI214" s="75">
        <v>1490</v>
      </c>
      <c r="DJ214" s="75">
        <v>1490</v>
      </c>
      <c r="DK214" s="75">
        <v>1490</v>
      </c>
      <c r="DL214" s="75">
        <v>1490</v>
      </c>
    </row>
    <row r="215" spans="1:116" x14ac:dyDescent="0.35">
      <c r="A215" s="7"/>
      <c r="B215" s="26" t="s">
        <v>408</v>
      </c>
      <c r="C215" s="27" t="s">
        <v>409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1332</v>
      </c>
      <c r="J215" s="10">
        <v>16</v>
      </c>
      <c r="K215" s="10" t="s">
        <v>42</v>
      </c>
      <c r="L215" s="8" t="s">
        <v>381</v>
      </c>
      <c r="M215" s="12">
        <v>0.63600000000000001</v>
      </c>
      <c r="N215" s="12">
        <f t="shared" si="5"/>
        <v>777.82799999999997</v>
      </c>
      <c r="O215" s="29">
        <v>1348</v>
      </c>
      <c r="P215" s="29">
        <v>1348</v>
      </c>
      <c r="Q215" s="29">
        <v>1348</v>
      </c>
      <c r="R215" s="29">
        <v>1332</v>
      </c>
      <c r="S215" s="29">
        <v>1332</v>
      </c>
      <c r="T215" s="29">
        <v>1332</v>
      </c>
      <c r="U215" s="29">
        <v>1332</v>
      </c>
      <c r="V215" s="29">
        <v>1332</v>
      </c>
      <c r="W215" s="29">
        <v>1332</v>
      </c>
      <c r="X215" s="29">
        <v>1332</v>
      </c>
      <c r="Y215" s="29">
        <v>1332</v>
      </c>
      <c r="Z215" s="29">
        <v>1332</v>
      </c>
      <c r="AA215" s="29">
        <v>1332</v>
      </c>
      <c r="AB215" s="29">
        <v>1332</v>
      </c>
      <c r="AC215" s="29">
        <v>1332</v>
      </c>
      <c r="AD215" s="29">
        <v>1332</v>
      </c>
      <c r="AE215" s="29">
        <v>1332</v>
      </c>
      <c r="AF215" s="29">
        <v>1332</v>
      </c>
      <c r="AG215" s="29">
        <v>1332</v>
      </c>
      <c r="AH215" s="29">
        <v>1332</v>
      </c>
      <c r="AI215" s="29">
        <v>1332</v>
      </c>
      <c r="AJ215" s="29">
        <v>1332</v>
      </c>
      <c r="AK215" s="29">
        <v>1332</v>
      </c>
      <c r="AL215" s="29">
        <v>1331</v>
      </c>
      <c r="AM215" s="29">
        <v>1331</v>
      </c>
      <c r="AN215" s="75">
        <v>1331</v>
      </c>
      <c r="AO215" s="75">
        <v>1331</v>
      </c>
      <c r="AP215" s="75">
        <v>1331</v>
      </c>
      <c r="AQ215" s="75">
        <v>1331</v>
      </c>
      <c r="AR215" s="75">
        <v>1331</v>
      </c>
      <c r="AS215" s="75">
        <v>1319</v>
      </c>
      <c r="AT215" s="75">
        <v>1319</v>
      </c>
      <c r="AU215" s="75">
        <v>1319</v>
      </c>
      <c r="AV215" s="75">
        <v>1319</v>
      </c>
      <c r="AW215" s="75">
        <v>1319</v>
      </c>
      <c r="AX215" s="75">
        <v>1319</v>
      </c>
      <c r="AY215" s="75">
        <v>1319</v>
      </c>
      <c r="AZ215" s="75">
        <v>1319</v>
      </c>
      <c r="BA215" s="75">
        <v>1223</v>
      </c>
      <c r="BB215" s="75">
        <v>1223</v>
      </c>
      <c r="BC215" s="75">
        <v>1223</v>
      </c>
      <c r="BD215" s="75">
        <v>1223</v>
      </c>
      <c r="BE215" s="75">
        <v>1223</v>
      </c>
      <c r="BF215" s="75">
        <v>1223</v>
      </c>
      <c r="BG215" s="75">
        <v>1223</v>
      </c>
      <c r="BH215" s="75">
        <v>1223</v>
      </c>
      <c r="BI215" s="75">
        <v>1223</v>
      </c>
      <c r="BJ215" s="75">
        <v>1223</v>
      </c>
      <c r="BK215" s="75">
        <v>1223</v>
      </c>
      <c r="BL215" s="75">
        <v>1223</v>
      </c>
      <c r="BM215" s="75">
        <v>1223</v>
      </c>
      <c r="BN215" s="75">
        <v>1223</v>
      </c>
      <c r="BO215" s="75">
        <v>1223</v>
      </c>
      <c r="BP215" s="75">
        <v>1223</v>
      </c>
      <c r="BQ215" s="75">
        <v>1223</v>
      </c>
      <c r="BR215" s="75">
        <v>1223</v>
      </c>
      <c r="BS215" s="75">
        <v>1223</v>
      </c>
      <c r="BT215" s="75">
        <v>1223</v>
      </c>
      <c r="BU215" s="75">
        <v>1223</v>
      </c>
      <c r="BV215" s="75">
        <v>1223</v>
      </c>
      <c r="BW215" s="75">
        <v>1223</v>
      </c>
      <c r="BX215" s="75">
        <v>1223</v>
      </c>
      <c r="BY215" s="75">
        <v>1223</v>
      </c>
      <c r="BZ215" s="75">
        <v>1223</v>
      </c>
      <c r="CA215" s="75">
        <v>1223</v>
      </c>
      <c r="CB215" s="75">
        <v>1223</v>
      </c>
      <c r="CC215" s="75">
        <v>1223</v>
      </c>
      <c r="CD215" s="75">
        <v>1223</v>
      </c>
      <c r="CE215" s="75">
        <v>1223</v>
      </c>
      <c r="CF215" s="75">
        <v>1223</v>
      </c>
      <c r="CG215" s="75">
        <v>1223</v>
      </c>
      <c r="CH215" s="75">
        <v>1223</v>
      </c>
      <c r="CI215" s="75">
        <v>1223</v>
      </c>
      <c r="CJ215" s="75">
        <v>1223</v>
      </c>
      <c r="CK215" s="75">
        <v>1223</v>
      </c>
      <c r="CL215" s="75">
        <v>1223</v>
      </c>
      <c r="CM215" s="75">
        <v>1223</v>
      </c>
      <c r="CN215" s="75">
        <v>1223</v>
      </c>
      <c r="CO215" s="75">
        <v>1223</v>
      </c>
      <c r="CP215" s="75">
        <v>1223</v>
      </c>
      <c r="CQ215" s="75">
        <v>1223</v>
      </c>
      <c r="CR215" s="75">
        <v>1223</v>
      </c>
      <c r="CS215" s="75">
        <v>1223</v>
      </c>
      <c r="CT215" s="75">
        <v>1223</v>
      </c>
      <c r="CU215" s="75">
        <v>1223</v>
      </c>
      <c r="CV215" s="75">
        <v>1223</v>
      </c>
      <c r="CW215" s="75">
        <v>1223</v>
      </c>
      <c r="CX215" s="75">
        <v>1223</v>
      </c>
      <c r="CY215" s="75">
        <v>1223</v>
      </c>
      <c r="CZ215" s="75">
        <v>1223</v>
      </c>
      <c r="DA215" s="75">
        <v>1223</v>
      </c>
      <c r="DB215" s="75">
        <v>1223</v>
      </c>
      <c r="DC215" s="75">
        <v>1223</v>
      </c>
      <c r="DD215" s="75">
        <v>1223</v>
      </c>
      <c r="DE215" s="75">
        <v>1223</v>
      </c>
      <c r="DF215" s="75">
        <v>1223</v>
      </c>
      <c r="DG215" s="75">
        <v>1223</v>
      </c>
      <c r="DH215" s="75">
        <v>1223</v>
      </c>
      <c r="DI215" s="75">
        <v>1223</v>
      </c>
      <c r="DJ215" s="75">
        <v>1223</v>
      </c>
      <c r="DK215" s="75">
        <v>1223</v>
      </c>
      <c r="DL215" s="75">
        <v>1223</v>
      </c>
    </row>
    <row r="216" spans="1:116" x14ac:dyDescent="0.35">
      <c r="A216" s="7"/>
      <c r="B216" s="26" t="s">
        <v>410</v>
      </c>
      <c r="C216" s="27" t="s">
        <v>411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 t="s">
        <v>412</v>
      </c>
      <c r="J216" s="10">
        <v>16</v>
      </c>
      <c r="K216" s="10" t="s">
        <v>42</v>
      </c>
      <c r="L216" s="8" t="s">
        <v>413</v>
      </c>
      <c r="M216" s="12">
        <v>0.49199999999999999</v>
      </c>
      <c r="N216" s="12">
        <f t="shared" si="5"/>
        <v>0</v>
      </c>
      <c r="O216" s="29">
        <v>609</v>
      </c>
      <c r="P216" s="29">
        <v>609</v>
      </c>
      <c r="Q216" s="29">
        <v>609</v>
      </c>
      <c r="R216" s="29">
        <v>593</v>
      </c>
      <c r="S216" s="29">
        <v>593</v>
      </c>
      <c r="T216" s="29">
        <v>593</v>
      </c>
      <c r="U216" s="29">
        <v>593</v>
      </c>
      <c r="V216" s="29">
        <v>593</v>
      </c>
      <c r="W216" s="29">
        <v>593</v>
      </c>
      <c r="X216" s="29">
        <v>593</v>
      </c>
      <c r="Y216" s="29">
        <v>443</v>
      </c>
      <c r="Z216" s="29">
        <v>443</v>
      </c>
      <c r="AA216" s="29">
        <v>443</v>
      </c>
      <c r="AB216" s="29">
        <v>443</v>
      </c>
      <c r="AC216" s="29">
        <v>443</v>
      </c>
      <c r="AD216" s="29">
        <v>443</v>
      </c>
      <c r="AE216" s="29">
        <v>443</v>
      </c>
      <c r="AF216" s="29">
        <v>443</v>
      </c>
      <c r="AG216" s="29">
        <v>443</v>
      </c>
      <c r="AH216" s="29">
        <v>443</v>
      </c>
      <c r="AI216" s="29">
        <v>443</v>
      </c>
      <c r="AJ216" s="29" t="s">
        <v>412</v>
      </c>
      <c r="AK216" s="29">
        <v>103</v>
      </c>
      <c r="AL216" s="29">
        <v>102</v>
      </c>
      <c r="AM216" s="29">
        <v>102</v>
      </c>
      <c r="AN216" s="75">
        <v>102</v>
      </c>
      <c r="AO216" s="75">
        <v>102</v>
      </c>
      <c r="AP216" s="75">
        <v>102</v>
      </c>
      <c r="AQ216" s="75">
        <v>102</v>
      </c>
      <c r="AR216" s="75">
        <v>102</v>
      </c>
      <c r="AS216" s="75">
        <v>102</v>
      </c>
      <c r="AT216" s="75">
        <v>102</v>
      </c>
      <c r="AU216" s="75">
        <v>102</v>
      </c>
      <c r="AV216" s="75">
        <v>102</v>
      </c>
      <c r="AW216" s="75">
        <v>102</v>
      </c>
      <c r="AX216" s="75">
        <v>102</v>
      </c>
      <c r="AY216" s="75">
        <v>102</v>
      </c>
      <c r="AZ216" s="75">
        <v>102</v>
      </c>
      <c r="BA216" s="75">
        <v>102</v>
      </c>
      <c r="BB216" s="75">
        <v>102</v>
      </c>
      <c r="BC216" s="75">
        <v>102</v>
      </c>
      <c r="BD216" s="75">
        <v>2</v>
      </c>
      <c r="BE216" s="75">
        <v>2</v>
      </c>
      <c r="BF216" s="75">
        <v>2</v>
      </c>
      <c r="BG216" s="75">
        <v>2</v>
      </c>
      <c r="BH216" s="75">
        <v>2</v>
      </c>
      <c r="BI216" s="75">
        <v>2</v>
      </c>
      <c r="BJ216" s="75">
        <v>2</v>
      </c>
      <c r="BK216" s="75">
        <v>2</v>
      </c>
      <c r="BL216" s="75">
        <v>2</v>
      </c>
      <c r="BM216" s="75">
        <v>2</v>
      </c>
      <c r="BN216" s="75">
        <v>2</v>
      </c>
      <c r="BO216" s="75">
        <v>2</v>
      </c>
      <c r="BP216" s="75">
        <v>2</v>
      </c>
      <c r="BQ216" s="75">
        <v>2</v>
      </c>
      <c r="BR216" s="75">
        <v>2</v>
      </c>
      <c r="BS216" s="75">
        <v>2</v>
      </c>
      <c r="BT216" s="75">
        <v>2</v>
      </c>
      <c r="BU216" s="75">
        <v>2</v>
      </c>
      <c r="BV216" s="75">
        <v>0</v>
      </c>
      <c r="BW216" s="75">
        <v>0</v>
      </c>
      <c r="BX216" s="75">
        <v>0</v>
      </c>
      <c r="BY216" s="75">
        <v>0</v>
      </c>
      <c r="BZ216" s="75">
        <v>0</v>
      </c>
      <c r="CA216" s="75">
        <v>0</v>
      </c>
      <c r="CB216" s="75">
        <v>0</v>
      </c>
      <c r="CC216" s="75">
        <v>0</v>
      </c>
      <c r="CD216" s="75">
        <v>0</v>
      </c>
      <c r="CE216" s="75">
        <v>0</v>
      </c>
      <c r="CF216" s="75">
        <v>0</v>
      </c>
      <c r="CG216" s="75">
        <v>0</v>
      </c>
      <c r="CH216" s="75">
        <v>0</v>
      </c>
      <c r="CI216" s="75">
        <v>0</v>
      </c>
      <c r="CJ216" s="75">
        <v>0</v>
      </c>
      <c r="CK216" s="75">
        <v>0</v>
      </c>
      <c r="CL216" s="75">
        <v>0</v>
      </c>
      <c r="CM216" s="75">
        <v>0</v>
      </c>
      <c r="CN216" s="75">
        <v>0</v>
      </c>
      <c r="CO216" s="75">
        <v>0</v>
      </c>
      <c r="CP216" s="75">
        <v>0</v>
      </c>
      <c r="CQ216" s="75">
        <v>0</v>
      </c>
      <c r="CR216" s="75">
        <v>0</v>
      </c>
      <c r="CS216" s="75">
        <v>0</v>
      </c>
      <c r="CT216" s="75">
        <v>0</v>
      </c>
      <c r="CU216" s="75">
        <v>0</v>
      </c>
      <c r="CV216" s="75">
        <v>0</v>
      </c>
      <c r="CW216" s="75">
        <v>0</v>
      </c>
      <c r="CX216" s="75">
        <v>0</v>
      </c>
      <c r="CY216" s="75">
        <v>0</v>
      </c>
      <c r="CZ216" s="75">
        <v>0</v>
      </c>
      <c r="DA216" s="75">
        <v>0</v>
      </c>
      <c r="DB216" s="75">
        <v>0</v>
      </c>
      <c r="DC216" s="75">
        <v>0</v>
      </c>
      <c r="DD216" s="75">
        <v>0</v>
      </c>
      <c r="DE216" s="75">
        <v>0</v>
      </c>
      <c r="DF216" s="75">
        <v>0</v>
      </c>
      <c r="DG216" s="75">
        <v>0</v>
      </c>
      <c r="DH216" s="75">
        <v>0</v>
      </c>
      <c r="DI216" s="75">
        <v>0</v>
      </c>
      <c r="DJ216" s="75">
        <v>0</v>
      </c>
      <c r="DK216" s="75">
        <v>0</v>
      </c>
      <c r="DL216" s="75">
        <v>0</v>
      </c>
    </row>
    <row r="217" spans="1:116" x14ac:dyDescent="0.35">
      <c r="A217" s="7"/>
      <c r="B217" s="8" t="s">
        <v>414</v>
      </c>
      <c r="C217" s="9" t="s">
        <v>415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1228</v>
      </c>
      <c r="J217" s="10">
        <v>16</v>
      </c>
      <c r="K217" s="10" t="s">
        <v>42</v>
      </c>
      <c r="L217" s="8" t="s">
        <v>381</v>
      </c>
      <c r="M217" s="12">
        <v>0.54</v>
      </c>
      <c r="N217" s="12">
        <f t="shared" si="5"/>
        <v>623.16000000000008</v>
      </c>
      <c r="O217" s="11">
        <v>1256</v>
      </c>
      <c r="P217" s="11">
        <v>1244</v>
      </c>
      <c r="Q217" s="11">
        <v>1244</v>
      </c>
      <c r="R217" s="11">
        <v>1228</v>
      </c>
      <c r="S217" s="11">
        <v>1228</v>
      </c>
      <c r="T217" s="11">
        <v>1228</v>
      </c>
      <c r="U217" s="11">
        <v>1228</v>
      </c>
      <c r="V217" s="11">
        <v>1228</v>
      </c>
      <c r="W217" s="11">
        <v>1228</v>
      </c>
      <c r="X217" s="11">
        <v>1228</v>
      </c>
      <c r="Y217" s="11">
        <v>1228</v>
      </c>
      <c r="Z217" s="11">
        <v>1228</v>
      </c>
      <c r="AA217" s="11">
        <v>1228</v>
      </c>
      <c r="AB217" s="11">
        <v>1228</v>
      </c>
      <c r="AC217" s="11">
        <v>1228</v>
      </c>
      <c r="AD217" s="11">
        <v>1228</v>
      </c>
      <c r="AE217" s="11">
        <v>1228</v>
      </c>
      <c r="AF217" s="11">
        <v>1228</v>
      </c>
      <c r="AG217" s="11">
        <v>1228</v>
      </c>
      <c r="AH217" s="11">
        <v>1228</v>
      </c>
      <c r="AI217" s="11">
        <v>1228</v>
      </c>
      <c r="AJ217" s="11">
        <v>1228</v>
      </c>
      <c r="AK217" s="11">
        <v>1228</v>
      </c>
      <c r="AL217" s="11">
        <v>1163</v>
      </c>
      <c r="AM217" s="11">
        <v>1163</v>
      </c>
      <c r="AN217" s="72">
        <v>1163</v>
      </c>
      <c r="AO217" s="72">
        <v>1163</v>
      </c>
      <c r="AP217" s="72">
        <v>1163</v>
      </c>
      <c r="AQ217" s="72">
        <v>1163</v>
      </c>
      <c r="AR217" s="72">
        <v>1163</v>
      </c>
      <c r="AS217" s="72">
        <v>1163</v>
      </c>
      <c r="AT217" s="72">
        <v>1163</v>
      </c>
      <c r="AU217" s="72">
        <v>1163</v>
      </c>
      <c r="AV217" s="72">
        <v>1163</v>
      </c>
      <c r="AW217" s="72">
        <v>1163</v>
      </c>
      <c r="AX217" s="72">
        <v>1163</v>
      </c>
      <c r="AY217" s="72">
        <v>1163</v>
      </c>
      <c r="AZ217" s="72">
        <v>1163</v>
      </c>
      <c r="BA217" s="72">
        <v>1163</v>
      </c>
      <c r="BB217" s="72">
        <v>1163</v>
      </c>
      <c r="BC217" s="72">
        <v>1163</v>
      </c>
      <c r="BD217" s="72">
        <v>1163</v>
      </c>
      <c r="BE217" s="72">
        <v>1163</v>
      </c>
      <c r="BF217" s="72">
        <v>1163</v>
      </c>
      <c r="BG217" s="72">
        <v>1163</v>
      </c>
      <c r="BH217" s="72">
        <v>1163</v>
      </c>
      <c r="BI217" s="72">
        <v>1163</v>
      </c>
      <c r="BJ217" s="72">
        <v>1163</v>
      </c>
      <c r="BK217" s="72">
        <v>1163</v>
      </c>
      <c r="BL217" s="72">
        <v>1163</v>
      </c>
      <c r="BM217" s="72">
        <v>1163</v>
      </c>
      <c r="BN217" s="72">
        <v>1163</v>
      </c>
      <c r="BO217" s="72">
        <v>1163</v>
      </c>
      <c r="BP217" s="72">
        <v>1163</v>
      </c>
      <c r="BQ217" s="72">
        <v>1163</v>
      </c>
      <c r="BR217" s="72">
        <v>1163</v>
      </c>
      <c r="BS217" s="72">
        <v>1163</v>
      </c>
      <c r="BT217" s="72">
        <v>1163</v>
      </c>
      <c r="BU217" s="72">
        <v>1163</v>
      </c>
      <c r="BV217" s="72">
        <v>1155</v>
      </c>
      <c r="BW217" s="72">
        <v>1155</v>
      </c>
      <c r="BX217" s="72">
        <v>1155</v>
      </c>
      <c r="BY217" s="72">
        <v>1155</v>
      </c>
      <c r="BZ217" s="72">
        <v>1155</v>
      </c>
      <c r="CA217" s="72">
        <v>1155</v>
      </c>
      <c r="CB217" s="72">
        <v>1155</v>
      </c>
      <c r="CC217" s="72">
        <v>1155</v>
      </c>
      <c r="CD217" s="72">
        <v>1155</v>
      </c>
      <c r="CE217" s="72">
        <v>1155</v>
      </c>
      <c r="CF217" s="72">
        <v>1155</v>
      </c>
      <c r="CG217" s="72">
        <v>1155</v>
      </c>
      <c r="CH217" s="72">
        <v>1155</v>
      </c>
      <c r="CI217" s="72">
        <v>1155</v>
      </c>
      <c r="CJ217" s="72">
        <v>1155</v>
      </c>
      <c r="CK217" s="72">
        <v>1154</v>
      </c>
      <c r="CL217" s="72">
        <v>1154</v>
      </c>
      <c r="CM217" s="72">
        <v>1154</v>
      </c>
      <c r="CN217" s="72">
        <v>1154</v>
      </c>
      <c r="CO217" s="72">
        <v>1154</v>
      </c>
      <c r="CP217" s="72">
        <v>1154</v>
      </c>
      <c r="CQ217" s="72">
        <v>1154</v>
      </c>
      <c r="CR217" s="72">
        <v>1154</v>
      </c>
      <c r="CS217" s="72">
        <v>1154</v>
      </c>
      <c r="CT217" s="72">
        <v>1154</v>
      </c>
      <c r="CU217" s="72">
        <v>1154</v>
      </c>
      <c r="CV217" s="72">
        <v>1154</v>
      </c>
      <c r="CW217" s="72">
        <v>1154</v>
      </c>
      <c r="CX217" s="72">
        <v>1154</v>
      </c>
      <c r="CY217" s="72">
        <v>1154</v>
      </c>
      <c r="CZ217" s="72">
        <v>1154</v>
      </c>
      <c r="DA217" s="72">
        <v>1154</v>
      </c>
      <c r="DB217" s="72">
        <v>1154</v>
      </c>
      <c r="DC217" s="72">
        <v>1154</v>
      </c>
      <c r="DD217" s="72">
        <v>1154</v>
      </c>
      <c r="DE217" s="72">
        <v>1154</v>
      </c>
      <c r="DF217" s="72">
        <v>1154</v>
      </c>
      <c r="DG217" s="72">
        <v>1154</v>
      </c>
      <c r="DH217" s="72">
        <v>1154</v>
      </c>
      <c r="DI217" s="72">
        <v>1154</v>
      </c>
      <c r="DJ217" s="72">
        <v>1154</v>
      </c>
      <c r="DK217" s="72">
        <v>1154</v>
      </c>
      <c r="DL217" s="72">
        <v>1154</v>
      </c>
    </row>
    <row r="218" spans="1:116" x14ac:dyDescent="0.35">
      <c r="A218" s="7"/>
      <c r="B218" s="8" t="s">
        <v>416</v>
      </c>
      <c r="C218" s="9" t="s">
        <v>417</v>
      </c>
      <c r="D218" s="10" t="s">
        <v>92</v>
      </c>
      <c r="E218" s="8" t="s">
        <v>1219</v>
      </c>
      <c r="F218" s="10">
        <v>1102</v>
      </c>
      <c r="G218" s="10" t="s">
        <v>92</v>
      </c>
      <c r="H218" s="10" t="s">
        <v>41</v>
      </c>
      <c r="I218" s="11">
        <v>1427</v>
      </c>
      <c r="J218" s="10">
        <v>16</v>
      </c>
      <c r="K218" s="10" t="s">
        <v>42</v>
      </c>
      <c r="L218" s="8" t="s">
        <v>381</v>
      </c>
      <c r="M218" s="12">
        <v>0.63600000000000001</v>
      </c>
      <c r="N218" s="12">
        <f t="shared" si="5"/>
        <v>840.79200000000003</v>
      </c>
      <c r="O218" s="11">
        <v>1443</v>
      </c>
      <c r="P218" s="11">
        <v>1443</v>
      </c>
      <c r="Q218" s="11">
        <v>1443</v>
      </c>
      <c r="R218" s="11">
        <v>1427</v>
      </c>
      <c r="S218" s="11">
        <v>1427</v>
      </c>
      <c r="T218" s="11">
        <v>1427</v>
      </c>
      <c r="U218" s="11">
        <v>1427</v>
      </c>
      <c r="V218" s="11">
        <v>1427</v>
      </c>
      <c r="W218" s="11">
        <v>1427</v>
      </c>
      <c r="X218" s="11">
        <v>1427</v>
      </c>
      <c r="Y218" s="11">
        <v>1427</v>
      </c>
      <c r="Z218" s="11">
        <v>1427</v>
      </c>
      <c r="AA218" s="11">
        <v>1427</v>
      </c>
      <c r="AB218" s="11">
        <v>1427</v>
      </c>
      <c r="AC218" s="11">
        <v>1427</v>
      </c>
      <c r="AD218" s="11">
        <v>1427</v>
      </c>
      <c r="AE218" s="11">
        <v>1427</v>
      </c>
      <c r="AF218" s="11">
        <v>1427</v>
      </c>
      <c r="AG218" s="11">
        <v>1427</v>
      </c>
      <c r="AH218" s="11">
        <v>1427</v>
      </c>
      <c r="AI218" s="11">
        <v>1427</v>
      </c>
      <c r="AJ218" s="11">
        <v>1427</v>
      </c>
      <c r="AK218" s="11">
        <v>1427</v>
      </c>
      <c r="AL218" s="11">
        <v>1426</v>
      </c>
      <c r="AM218" s="11">
        <v>1426</v>
      </c>
      <c r="AN218" s="72">
        <v>1426</v>
      </c>
      <c r="AO218" s="72">
        <v>1426</v>
      </c>
      <c r="AP218" s="72">
        <v>1426</v>
      </c>
      <c r="AQ218" s="72">
        <v>1426</v>
      </c>
      <c r="AR218" s="72">
        <v>1426</v>
      </c>
      <c r="AS218" s="72">
        <v>1426</v>
      </c>
      <c r="AT218" s="72">
        <v>1426</v>
      </c>
      <c r="AU218" s="72">
        <v>1426</v>
      </c>
      <c r="AV218" s="72">
        <v>1426</v>
      </c>
      <c r="AW218" s="72">
        <v>1426</v>
      </c>
      <c r="AX218" s="72">
        <v>1426</v>
      </c>
      <c r="AY218" s="72">
        <v>1426</v>
      </c>
      <c r="AZ218" s="72">
        <v>1426</v>
      </c>
      <c r="BA218" s="72">
        <v>1330</v>
      </c>
      <c r="BB218" s="72">
        <v>1330</v>
      </c>
      <c r="BC218" s="72">
        <v>1330</v>
      </c>
      <c r="BD218" s="72">
        <v>1330</v>
      </c>
      <c r="BE218" s="72">
        <v>1330</v>
      </c>
      <c r="BF218" s="72">
        <v>1330</v>
      </c>
      <c r="BG218" s="72">
        <v>1330</v>
      </c>
      <c r="BH218" s="72">
        <v>1330</v>
      </c>
      <c r="BI218" s="72">
        <v>1330</v>
      </c>
      <c r="BJ218" s="72">
        <v>1330</v>
      </c>
      <c r="BK218" s="72">
        <v>1330</v>
      </c>
      <c r="BL218" s="72">
        <v>1330</v>
      </c>
      <c r="BM218" s="72">
        <v>1330</v>
      </c>
      <c r="BN218" s="72">
        <v>1330</v>
      </c>
      <c r="BO218" s="72">
        <v>1330</v>
      </c>
      <c r="BP218" s="72">
        <v>1330</v>
      </c>
      <c r="BQ218" s="72">
        <v>1330</v>
      </c>
      <c r="BR218" s="72">
        <v>1330</v>
      </c>
      <c r="BS218" s="72">
        <v>1330</v>
      </c>
      <c r="BT218" s="72">
        <v>1330</v>
      </c>
      <c r="BU218" s="72">
        <v>1330</v>
      </c>
      <c r="BV218" s="72">
        <v>1322</v>
      </c>
      <c r="BW218" s="72">
        <v>1322</v>
      </c>
      <c r="BX218" s="72">
        <v>1322</v>
      </c>
      <c r="BY218" s="72">
        <v>1322</v>
      </c>
      <c r="BZ218" s="72">
        <v>1322</v>
      </c>
      <c r="CA218" s="72">
        <v>1322</v>
      </c>
      <c r="CB218" s="72">
        <v>1322</v>
      </c>
      <c r="CC218" s="72">
        <v>1322</v>
      </c>
      <c r="CD218" s="72">
        <v>1322</v>
      </c>
      <c r="CE218" s="72">
        <v>1322</v>
      </c>
      <c r="CF218" s="72">
        <v>1322</v>
      </c>
      <c r="CG218" s="72">
        <v>1322</v>
      </c>
      <c r="CH218" s="72">
        <v>1322</v>
      </c>
      <c r="CI218" s="72">
        <v>1322</v>
      </c>
      <c r="CJ218" s="72">
        <v>1322</v>
      </c>
      <c r="CK218" s="72">
        <v>1322</v>
      </c>
      <c r="CL218" s="72">
        <v>1322</v>
      </c>
      <c r="CM218" s="72">
        <v>1322</v>
      </c>
      <c r="CN218" s="72">
        <v>1322</v>
      </c>
      <c r="CO218" s="72">
        <v>1322</v>
      </c>
      <c r="CP218" s="72">
        <v>1322</v>
      </c>
      <c r="CQ218" s="72">
        <v>1322</v>
      </c>
      <c r="CR218" s="72">
        <v>1322</v>
      </c>
      <c r="CS218" s="72">
        <v>1322</v>
      </c>
      <c r="CT218" s="72">
        <v>1322</v>
      </c>
      <c r="CU218" s="72">
        <v>1322</v>
      </c>
      <c r="CV218" s="72">
        <v>1322</v>
      </c>
      <c r="CW218" s="72">
        <v>1322</v>
      </c>
      <c r="CX218" s="72">
        <v>1322</v>
      </c>
      <c r="CY218" s="72">
        <v>1322</v>
      </c>
      <c r="CZ218" s="72">
        <v>1322</v>
      </c>
      <c r="DA218" s="72">
        <v>1322</v>
      </c>
      <c r="DB218" s="72">
        <v>1322</v>
      </c>
      <c r="DC218" s="72">
        <v>1322</v>
      </c>
      <c r="DD218" s="72">
        <v>1322</v>
      </c>
      <c r="DE218" s="72">
        <v>1322</v>
      </c>
      <c r="DF218" s="72">
        <v>1322</v>
      </c>
      <c r="DG218" s="72">
        <v>1322</v>
      </c>
      <c r="DH218" s="72">
        <v>1322</v>
      </c>
      <c r="DI218" s="72">
        <v>1322</v>
      </c>
      <c r="DJ218" s="72">
        <v>1322</v>
      </c>
      <c r="DK218" s="72">
        <v>1322</v>
      </c>
      <c r="DL218" s="72">
        <v>1322</v>
      </c>
    </row>
    <row r="219" spans="1:116" x14ac:dyDescent="0.35">
      <c r="A219" s="7"/>
      <c r="B219" s="8" t="s">
        <v>418</v>
      </c>
      <c r="C219" s="9" t="s">
        <v>419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12648</v>
      </c>
      <c r="J219" s="10"/>
      <c r="K219" s="10" t="s">
        <v>42</v>
      </c>
      <c r="L219" s="31"/>
      <c r="M219" s="12">
        <v>4.8000000000000001E-2</v>
      </c>
      <c r="N219" s="12">
        <f t="shared" si="5"/>
        <v>549.072</v>
      </c>
      <c r="O219" s="11">
        <v>14016</v>
      </c>
      <c r="P219" s="11">
        <v>14016</v>
      </c>
      <c r="Q219" s="11">
        <v>14016</v>
      </c>
      <c r="R219" s="11">
        <v>13872</v>
      </c>
      <c r="S219" s="11">
        <v>13872</v>
      </c>
      <c r="T219" s="11">
        <v>13872</v>
      </c>
      <c r="U219" s="11">
        <v>13804</v>
      </c>
      <c r="V219" s="11">
        <v>13804</v>
      </c>
      <c r="W219" s="11">
        <v>13804</v>
      </c>
      <c r="X219" s="11">
        <v>13804</v>
      </c>
      <c r="Y219" s="11">
        <v>13804</v>
      </c>
      <c r="Z219" s="11">
        <v>13804</v>
      </c>
      <c r="AA219" s="11">
        <v>13804</v>
      </c>
      <c r="AB219" s="11">
        <v>13504</v>
      </c>
      <c r="AC219" s="11">
        <v>13504</v>
      </c>
      <c r="AD219" s="11">
        <v>13504</v>
      </c>
      <c r="AE219" s="11">
        <v>13504</v>
      </c>
      <c r="AF219" s="11">
        <v>13504</v>
      </c>
      <c r="AG219" s="11">
        <v>13504</v>
      </c>
      <c r="AH219" s="11">
        <v>13504</v>
      </c>
      <c r="AI219" s="11">
        <v>13480</v>
      </c>
      <c r="AJ219" s="11">
        <v>12648</v>
      </c>
      <c r="AK219" s="11">
        <v>12648</v>
      </c>
      <c r="AL219" s="11">
        <v>12584</v>
      </c>
      <c r="AM219" s="11">
        <v>12584</v>
      </c>
      <c r="AN219" s="72">
        <v>12584</v>
      </c>
      <c r="AO219" s="72">
        <v>12584</v>
      </c>
      <c r="AP219" s="72">
        <v>12584</v>
      </c>
      <c r="AQ219" s="72">
        <v>12584</v>
      </c>
      <c r="AR219" s="72">
        <v>12552</v>
      </c>
      <c r="AS219" s="72">
        <v>12216</v>
      </c>
      <c r="AT219" s="72">
        <v>12216</v>
      </c>
      <c r="AU219" s="72">
        <v>12216</v>
      </c>
      <c r="AV219" s="72">
        <v>12168</v>
      </c>
      <c r="AW219" s="72">
        <v>12144</v>
      </c>
      <c r="AX219" s="72">
        <v>12144</v>
      </c>
      <c r="AY219" s="72">
        <v>12144</v>
      </c>
      <c r="AZ219" s="72">
        <v>12144</v>
      </c>
      <c r="BA219" s="72">
        <v>12048</v>
      </c>
      <c r="BB219" s="72">
        <v>12032</v>
      </c>
      <c r="BC219" s="72">
        <v>12032</v>
      </c>
      <c r="BD219" s="72">
        <v>11932</v>
      </c>
      <c r="BE219" s="72">
        <v>11932</v>
      </c>
      <c r="BF219" s="72">
        <v>11932</v>
      </c>
      <c r="BG219" s="72">
        <v>11932</v>
      </c>
      <c r="BH219" s="72">
        <v>11860</v>
      </c>
      <c r="BI219" s="72">
        <v>11812</v>
      </c>
      <c r="BJ219" s="72">
        <v>11812</v>
      </c>
      <c r="BK219" s="72">
        <v>11812</v>
      </c>
      <c r="BL219" s="72">
        <v>11812</v>
      </c>
      <c r="BM219" s="72">
        <v>11812</v>
      </c>
      <c r="BN219" s="72">
        <v>11812</v>
      </c>
      <c r="BO219" s="72">
        <v>11829</v>
      </c>
      <c r="BP219" s="72">
        <v>11829</v>
      </c>
      <c r="BQ219" s="72">
        <v>11855</v>
      </c>
      <c r="BR219" s="72">
        <v>11663</v>
      </c>
      <c r="BS219" s="72">
        <v>11639</v>
      </c>
      <c r="BT219" s="72">
        <v>11639</v>
      </c>
      <c r="BU219" s="72">
        <v>11639</v>
      </c>
      <c r="BV219" s="72">
        <v>11639</v>
      </c>
      <c r="BW219" s="72">
        <v>11439</v>
      </c>
      <c r="BX219" s="72">
        <v>11439</v>
      </c>
      <c r="BY219" s="72">
        <v>11439</v>
      </c>
      <c r="BZ219" s="72">
        <v>11439</v>
      </c>
      <c r="CA219" s="72">
        <v>11439</v>
      </c>
      <c r="CB219" s="72">
        <v>11439</v>
      </c>
      <c r="CC219" s="72">
        <v>11439</v>
      </c>
      <c r="CD219" s="72">
        <v>11439</v>
      </c>
      <c r="CE219" s="72">
        <v>11439</v>
      </c>
      <c r="CF219" s="72">
        <v>11439</v>
      </c>
      <c r="CG219" s="72">
        <v>11439</v>
      </c>
      <c r="CH219" s="72">
        <v>11439</v>
      </c>
      <c r="CI219" s="72">
        <v>11439</v>
      </c>
      <c r="CJ219" s="72">
        <v>11439</v>
      </c>
      <c r="CK219" s="72">
        <v>11439</v>
      </c>
      <c r="CL219" s="72">
        <v>11439</v>
      </c>
      <c r="CM219" s="72">
        <v>11439</v>
      </c>
      <c r="CN219" s="72">
        <v>11439</v>
      </c>
      <c r="CO219" s="72">
        <v>11439</v>
      </c>
      <c r="CP219" s="72">
        <v>11439</v>
      </c>
      <c r="CQ219" s="72">
        <v>11439</v>
      </c>
      <c r="CR219" s="72">
        <v>11439</v>
      </c>
      <c r="CS219" s="72">
        <v>11439</v>
      </c>
      <c r="CT219" s="72">
        <v>11439</v>
      </c>
      <c r="CU219" s="72">
        <v>11439</v>
      </c>
      <c r="CV219" s="72">
        <v>11439</v>
      </c>
      <c r="CW219" s="72">
        <v>11439</v>
      </c>
      <c r="CX219" s="72">
        <v>11439</v>
      </c>
      <c r="CY219" s="72">
        <v>11439</v>
      </c>
      <c r="CZ219" s="72">
        <v>11439</v>
      </c>
      <c r="DA219" s="72">
        <v>11439</v>
      </c>
      <c r="DB219" s="72">
        <v>11439</v>
      </c>
      <c r="DC219" s="72">
        <v>11439</v>
      </c>
      <c r="DD219" s="72">
        <v>11439</v>
      </c>
      <c r="DE219" s="72">
        <v>11439</v>
      </c>
      <c r="DF219" s="72">
        <v>11439</v>
      </c>
      <c r="DG219" s="72">
        <v>11439</v>
      </c>
      <c r="DH219" s="72">
        <v>11439</v>
      </c>
      <c r="DI219" s="72">
        <v>11439</v>
      </c>
      <c r="DJ219" s="72">
        <v>11439</v>
      </c>
      <c r="DK219" s="72">
        <v>11439</v>
      </c>
      <c r="DL219" s="72">
        <v>11439</v>
      </c>
    </row>
    <row r="220" spans="1:116" x14ac:dyDescent="0.35">
      <c r="A220" s="7"/>
      <c r="B220" s="8" t="s">
        <v>420</v>
      </c>
      <c r="C220" s="9" t="s">
        <v>421</v>
      </c>
      <c r="D220" s="10" t="s">
        <v>92</v>
      </c>
      <c r="E220" s="8" t="s">
        <v>1205</v>
      </c>
      <c r="F220" s="10">
        <v>1102</v>
      </c>
      <c r="G220" s="10" t="s">
        <v>92</v>
      </c>
      <c r="H220" s="10" t="s">
        <v>41</v>
      </c>
      <c r="I220" s="11">
        <v>975</v>
      </c>
      <c r="J220" s="10"/>
      <c r="K220" s="10" t="s">
        <v>42</v>
      </c>
      <c r="L220" s="31"/>
      <c r="M220" s="12">
        <v>0.86399999999999999</v>
      </c>
      <c r="N220" s="12">
        <f t="shared" si="5"/>
        <v>816.48</v>
      </c>
      <c r="O220" s="11">
        <v>992</v>
      </c>
      <c r="P220" s="11">
        <v>992</v>
      </c>
      <c r="Q220" s="11">
        <v>992</v>
      </c>
      <c r="R220" s="11">
        <v>992</v>
      </c>
      <c r="S220" s="11">
        <v>992</v>
      </c>
      <c r="T220" s="11">
        <v>992</v>
      </c>
      <c r="U220" s="11">
        <v>990</v>
      </c>
      <c r="V220" s="11">
        <v>990</v>
      </c>
      <c r="W220" s="11">
        <v>990</v>
      </c>
      <c r="X220" s="11">
        <v>990</v>
      </c>
      <c r="Y220" s="11">
        <v>990</v>
      </c>
      <c r="Z220" s="11">
        <v>990</v>
      </c>
      <c r="AA220" s="11">
        <v>990</v>
      </c>
      <c r="AB220" s="11">
        <v>990</v>
      </c>
      <c r="AC220" s="11">
        <v>990</v>
      </c>
      <c r="AD220" s="11">
        <v>990</v>
      </c>
      <c r="AE220" s="11">
        <v>990</v>
      </c>
      <c r="AF220" s="11">
        <v>990</v>
      </c>
      <c r="AG220" s="11">
        <v>990</v>
      </c>
      <c r="AH220" s="11">
        <v>990</v>
      </c>
      <c r="AI220" s="11">
        <v>990</v>
      </c>
      <c r="AJ220" s="11">
        <v>975</v>
      </c>
      <c r="AK220" s="11">
        <v>975</v>
      </c>
      <c r="AL220" s="11">
        <v>974</v>
      </c>
      <c r="AM220" s="11">
        <v>974</v>
      </c>
      <c r="AN220" s="72">
        <v>974</v>
      </c>
      <c r="AO220" s="72">
        <v>974</v>
      </c>
      <c r="AP220" s="72">
        <v>970</v>
      </c>
      <c r="AQ220" s="72">
        <v>970</v>
      </c>
      <c r="AR220" s="72">
        <v>970</v>
      </c>
      <c r="AS220" s="72">
        <v>970</v>
      </c>
      <c r="AT220" s="72">
        <v>970</v>
      </c>
      <c r="AU220" s="72">
        <v>970</v>
      </c>
      <c r="AV220" s="72">
        <v>970</v>
      </c>
      <c r="AW220" s="72">
        <v>970</v>
      </c>
      <c r="AX220" s="72">
        <v>970</v>
      </c>
      <c r="AY220" s="72">
        <v>970</v>
      </c>
      <c r="AZ220" s="72">
        <v>970</v>
      </c>
      <c r="BA220" s="72">
        <v>970</v>
      </c>
      <c r="BB220" s="72">
        <v>970</v>
      </c>
      <c r="BC220" s="72">
        <v>970</v>
      </c>
      <c r="BD220" s="72">
        <v>970</v>
      </c>
      <c r="BE220" s="72">
        <v>970</v>
      </c>
      <c r="BF220" s="72">
        <v>970</v>
      </c>
      <c r="BG220" s="72">
        <v>970</v>
      </c>
      <c r="BH220" s="72">
        <v>966</v>
      </c>
      <c r="BI220" s="72">
        <v>966</v>
      </c>
      <c r="BJ220" s="72">
        <v>966</v>
      </c>
      <c r="BK220" s="72">
        <v>966</v>
      </c>
      <c r="BL220" s="72">
        <v>966</v>
      </c>
      <c r="BM220" s="72">
        <v>966</v>
      </c>
      <c r="BN220" s="72">
        <v>966</v>
      </c>
      <c r="BO220" s="72">
        <v>966</v>
      </c>
      <c r="BP220" s="72">
        <v>966</v>
      </c>
      <c r="BQ220" s="72">
        <v>966</v>
      </c>
      <c r="BR220" s="72">
        <v>966</v>
      </c>
      <c r="BS220" s="72">
        <v>966</v>
      </c>
      <c r="BT220" s="72">
        <v>966</v>
      </c>
      <c r="BU220" s="72">
        <v>963</v>
      </c>
      <c r="BV220" s="72">
        <v>963</v>
      </c>
      <c r="BW220" s="72">
        <v>950</v>
      </c>
      <c r="BX220" s="72">
        <v>950</v>
      </c>
      <c r="BY220" s="72">
        <v>950</v>
      </c>
      <c r="BZ220" s="72">
        <v>950</v>
      </c>
      <c r="CA220" s="72">
        <v>950</v>
      </c>
      <c r="CB220" s="72">
        <v>950</v>
      </c>
      <c r="CC220" s="72">
        <v>950</v>
      </c>
      <c r="CD220" s="72">
        <v>950</v>
      </c>
      <c r="CE220" s="72">
        <v>950</v>
      </c>
      <c r="CF220" s="72">
        <v>950</v>
      </c>
      <c r="CG220" s="72">
        <v>950</v>
      </c>
      <c r="CH220" s="72">
        <v>950</v>
      </c>
      <c r="CI220" s="72">
        <v>950</v>
      </c>
      <c r="CJ220" s="72">
        <v>950</v>
      </c>
      <c r="CK220" s="72">
        <v>946</v>
      </c>
      <c r="CL220" s="72">
        <v>946</v>
      </c>
      <c r="CM220" s="72">
        <v>946</v>
      </c>
      <c r="CN220" s="72">
        <v>945</v>
      </c>
      <c r="CO220" s="72">
        <v>945</v>
      </c>
      <c r="CP220" s="72">
        <v>945</v>
      </c>
      <c r="CQ220" s="72">
        <v>945</v>
      </c>
      <c r="CR220" s="72">
        <v>945</v>
      </c>
      <c r="CS220" s="72">
        <v>945</v>
      </c>
      <c r="CT220" s="72">
        <v>945</v>
      </c>
      <c r="CU220" s="72">
        <v>945</v>
      </c>
      <c r="CV220" s="72">
        <v>945</v>
      </c>
      <c r="CW220" s="72">
        <v>945</v>
      </c>
      <c r="CX220" s="72">
        <v>945</v>
      </c>
      <c r="CY220" s="72">
        <v>945</v>
      </c>
      <c r="CZ220" s="72">
        <v>945</v>
      </c>
      <c r="DA220" s="72">
        <v>945</v>
      </c>
      <c r="DB220" s="72">
        <v>945</v>
      </c>
      <c r="DC220" s="72">
        <v>945</v>
      </c>
      <c r="DD220" s="72">
        <v>945</v>
      </c>
      <c r="DE220" s="72">
        <v>945</v>
      </c>
      <c r="DF220" s="72">
        <v>945</v>
      </c>
      <c r="DG220" s="72">
        <v>945</v>
      </c>
      <c r="DH220" s="72">
        <v>945</v>
      </c>
      <c r="DI220" s="72">
        <v>945</v>
      </c>
      <c r="DJ220" s="72">
        <v>945</v>
      </c>
      <c r="DK220" s="72">
        <v>945</v>
      </c>
      <c r="DL220" s="72">
        <v>945</v>
      </c>
    </row>
    <row r="221" spans="1:116" x14ac:dyDescent="0.35">
      <c r="A221" s="7"/>
      <c r="B221" s="21" t="s">
        <v>422</v>
      </c>
      <c r="C221" s="32" t="s">
        <v>1288</v>
      </c>
      <c r="D221" s="23" t="s">
        <v>92</v>
      </c>
      <c r="E221" s="21" t="s">
        <v>1207</v>
      </c>
      <c r="F221" s="23">
        <v>1006</v>
      </c>
      <c r="G221" s="23" t="s">
        <v>92</v>
      </c>
      <c r="H221" s="23" t="s">
        <v>41</v>
      </c>
      <c r="I221" s="11">
        <v>911</v>
      </c>
      <c r="J221" s="23"/>
      <c r="K221" s="10" t="s">
        <v>42</v>
      </c>
      <c r="L221" s="8"/>
      <c r="M221" s="12">
        <v>4.8125</v>
      </c>
      <c r="N221" s="12">
        <f t="shared" si="5"/>
        <v>3306.1875</v>
      </c>
      <c r="O221" s="11">
        <v>896</v>
      </c>
      <c r="P221" s="11">
        <v>896</v>
      </c>
      <c r="Q221" s="11">
        <v>896</v>
      </c>
      <c r="R221" s="11">
        <v>891</v>
      </c>
      <c r="S221" s="11">
        <v>891</v>
      </c>
      <c r="T221" s="11">
        <v>891</v>
      </c>
      <c r="U221" s="11">
        <v>891</v>
      </c>
      <c r="V221" s="11">
        <v>906</v>
      </c>
      <c r="W221" s="11">
        <v>906</v>
      </c>
      <c r="X221" s="11">
        <v>906</v>
      </c>
      <c r="Y221" s="11">
        <v>906</v>
      </c>
      <c r="Z221" s="11">
        <v>911</v>
      </c>
      <c r="AA221" s="11">
        <v>911</v>
      </c>
      <c r="AB221" s="11">
        <v>911</v>
      </c>
      <c r="AC221" s="11">
        <v>911</v>
      </c>
      <c r="AD221" s="11">
        <v>911</v>
      </c>
      <c r="AE221" s="11">
        <v>911</v>
      </c>
      <c r="AF221" s="11">
        <v>911</v>
      </c>
      <c r="AG221" s="11">
        <v>911</v>
      </c>
      <c r="AH221" s="11">
        <v>911</v>
      </c>
      <c r="AI221" s="11">
        <v>911</v>
      </c>
      <c r="AJ221" s="11">
        <v>911</v>
      </c>
      <c r="AK221" s="11">
        <v>911</v>
      </c>
      <c r="AL221" s="11">
        <v>906</v>
      </c>
      <c r="AM221" s="11">
        <v>906</v>
      </c>
      <c r="AN221" s="72">
        <v>906</v>
      </c>
      <c r="AO221" s="72">
        <v>906</v>
      </c>
      <c r="AP221" s="72">
        <v>906</v>
      </c>
      <c r="AQ221" s="72">
        <v>906</v>
      </c>
      <c r="AR221" s="72">
        <v>906</v>
      </c>
      <c r="AS221" s="72">
        <v>906</v>
      </c>
      <c r="AT221" s="72">
        <v>906</v>
      </c>
      <c r="AU221" s="72">
        <v>906</v>
      </c>
      <c r="AV221" s="72">
        <v>906</v>
      </c>
      <c r="AW221" s="72">
        <v>740</v>
      </c>
      <c r="AX221" s="72">
        <v>740</v>
      </c>
      <c r="AY221" s="72">
        <v>740</v>
      </c>
      <c r="AZ221" s="72">
        <v>720</v>
      </c>
      <c r="BA221" s="72">
        <v>718</v>
      </c>
      <c r="BB221" s="72">
        <v>718</v>
      </c>
      <c r="BC221" s="72">
        <v>718</v>
      </c>
      <c r="BD221" s="72">
        <v>718</v>
      </c>
      <c r="BE221" s="72">
        <v>718</v>
      </c>
      <c r="BF221" s="72">
        <v>718</v>
      </c>
      <c r="BG221" s="72">
        <v>718</v>
      </c>
      <c r="BH221" s="72">
        <v>718</v>
      </c>
      <c r="BI221" s="72">
        <v>718</v>
      </c>
      <c r="BJ221" s="72">
        <v>718</v>
      </c>
      <c r="BK221" s="72">
        <v>706</v>
      </c>
      <c r="BL221" s="72">
        <v>706</v>
      </c>
      <c r="BM221" s="72">
        <v>706</v>
      </c>
      <c r="BN221" s="72">
        <v>706</v>
      </c>
      <c r="BO221" s="72">
        <v>706</v>
      </c>
      <c r="BP221" s="72">
        <v>706</v>
      </c>
      <c r="BQ221" s="72">
        <v>706</v>
      </c>
      <c r="BR221" s="72">
        <v>707</v>
      </c>
      <c r="BS221" s="72">
        <v>707</v>
      </c>
      <c r="BT221" s="72">
        <v>705</v>
      </c>
      <c r="BU221" s="72">
        <v>706</v>
      </c>
      <c r="BV221" s="72">
        <v>702</v>
      </c>
      <c r="BW221" s="72">
        <v>702</v>
      </c>
      <c r="BX221" s="72">
        <v>702</v>
      </c>
      <c r="BY221" s="72">
        <v>702</v>
      </c>
      <c r="BZ221" s="72">
        <v>702</v>
      </c>
      <c r="CA221" s="72">
        <v>702</v>
      </c>
      <c r="CB221" s="72">
        <v>702</v>
      </c>
      <c r="CC221" s="72">
        <v>702</v>
      </c>
      <c r="CD221" s="72">
        <v>702</v>
      </c>
      <c r="CE221" s="72">
        <v>694</v>
      </c>
      <c r="CF221" s="72">
        <v>694</v>
      </c>
      <c r="CG221" s="72">
        <v>694</v>
      </c>
      <c r="CH221" s="72">
        <v>694</v>
      </c>
      <c r="CI221" s="72">
        <v>694</v>
      </c>
      <c r="CJ221" s="72">
        <v>694</v>
      </c>
      <c r="CK221" s="72">
        <v>693</v>
      </c>
      <c r="CL221" s="72">
        <v>693</v>
      </c>
      <c r="CM221" s="72">
        <v>693</v>
      </c>
      <c r="CN221" s="72">
        <v>693</v>
      </c>
      <c r="CO221" s="72">
        <v>693</v>
      </c>
      <c r="CP221" s="72">
        <v>693</v>
      </c>
      <c r="CQ221" s="72">
        <v>693</v>
      </c>
      <c r="CR221" s="72">
        <v>693</v>
      </c>
      <c r="CS221" s="72">
        <v>693</v>
      </c>
      <c r="CT221" s="72">
        <v>693</v>
      </c>
      <c r="CU221" s="72">
        <v>693</v>
      </c>
      <c r="CV221" s="72">
        <v>691</v>
      </c>
      <c r="CW221" s="72">
        <v>691</v>
      </c>
      <c r="CX221" s="72">
        <v>693</v>
      </c>
      <c r="CY221" s="72">
        <v>693</v>
      </c>
      <c r="CZ221" s="72">
        <v>687</v>
      </c>
      <c r="DA221" s="72">
        <v>687</v>
      </c>
      <c r="DB221" s="72">
        <v>687</v>
      </c>
      <c r="DC221" s="72">
        <v>683</v>
      </c>
      <c r="DD221" s="72">
        <v>687</v>
      </c>
      <c r="DE221" s="72">
        <v>687</v>
      </c>
      <c r="DF221" s="72">
        <v>687</v>
      </c>
      <c r="DG221" s="72">
        <v>687</v>
      </c>
      <c r="DH221" s="72">
        <v>687</v>
      </c>
      <c r="DI221" s="72">
        <v>687</v>
      </c>
      <c r="DJ221" s="72">
        <v>687</v>
      </c>
      <c r="DK221" s="72">
        <v>687</v>
      </c>
      <c r="DL221" s="72">
        <v>687</v>
      </c>
    </row>
    <row r="222" spans="1:116" x14ac:dyDescent="0.35">
      <c r="A222" s="7"/>
      <c r="B222" s="8" t="s">
        <v>423</v>
      </c>
      <c r="C222" s="32" t="s">
        <v>1288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116</v>
      </c>
      <c r="J222" s="10"/>
      <c r="K222" s="10" t="s">
        <v>42</v>
      </c>
      <c r="L222" s="8"/>
      <c r="M222" s="12">
        <v>4.8125</v>
      </c>
      <c r="N222" s="12">
        <f t="shared" si="5"/>
        <v>486.0625</v>
      </c>
      <c r="O222" s="11">
        <v>125</v>
      </c>
      <c r="P222" s="11">
        <v>121</v>
      </c>
      <c r="Q222" s="11">
        <v>121</v>
      </c>
      <c r="R222" s="11">
        <v>121</v>
      </c>
      <c r="S222" s="11">
        <v>121</v>
      </c>
      <c r="T222" s="11">
        <v>121</v>
      </c>
      <c r="U222" s="11">
        <v>121</v>
      </c>
      <c r="V222" s="11">
        <v>121</v>
      </c>
      <c r="W222" s="11">
        <v>116</v>
      </c>
      <c r="X222" s="11">
        <v>116</v>
      </c>
      <c r="Y222" s="11">
        <v>116</v>
      </c>
      <c r="Z222" s="11">
        <v>116</v>
      </c>
      <c r="AA222" s="11">
        <v>116</v>
      </c>
      <c r="AB222" s="11">
        <v>116</v>
      </c>
      <c r="AC222" s="11">
        <v>116</v>
      </c>
      <c r="AD222" s="11">
        <v>116</v>
      </c>
      <c r="AE222" s="11">
        <v>116</v>
      </c>
      <c r="AF222" s="11">
        <v>116</v>
      </c>
      <c r="AG222" s="11">
        <v>116</v>
      </c>
      <c r="AH222" s="11">
        <v>116</v>
      </c>
      <c r="AI222" s="11">
        <v>116</v>
      </c>
      <c r="AJ222" s="11">
        <v>116</v>
      </c>
      <c r="AK222" s="11">
        <v>116</v>
      </c>
      <c r="AL222" s="11">
        <v>115</v>
      </c>
      <c r="AM222" s="11">
        <v>115</v>
      </c>
      <c r="AN222" s="72">
        <v>115</v>
      </c>
      <c r="AO222" s="72">
        <v>115</v>
      </c>
      <c r="AP222" s="72">
        <v>115</v>
      </c>
      <c r="AQ222" s="72">
        <v>115</v>
      </c>
      <c r="AR222" s="72">
        <v>115</v>
      </c>
      <c r="AS222" s="72">
        <v>115</v>
      </c>
      <c r="AT222" s="72">
        <v>115</v>
      </c>
      <c r="AU222" s="72">
        <v>115</v>
      </c>
      <c r="AV222" s="72">
        <v>115</v>
      </c>
      <c r="AW222" s="72">
        <v>115</v>
      </c>
      <c r="AX222" s="72">
        <v>115</v>
      </c>
      <c r="AY222" s="72">
        <v>115</v>
      </c>
      <c r="AZ222" s="72">
        <v>115</v>
      </c>
      <c r="BA222" s="72">
        <v>115</v>
      </c>
      <c r="BB222" s="72">
        <v>115</v>
      </c>
      <c r="BC222" s="72">
        <v>115</v>
      </c>
      <c r="BD222" s="72">
        <v>115</v>
      </c>
      <c r="BE222" s="72">
        <v>115</v>
      </c>
      <c r="BF222" s="72">
        <v>115</v>
      </c>
      <c r="BG222" s="72">
        <v>115</v>
      </c>
      <c r="BH222" s="72">
        <v>115</v>
      </c>
      <c r="BI222" s="72">
        <v>115</v>
      </c>
      <c r="BJ222" s="72">
        <v>115</v>
      </c>
      <c r="BK222" s="72">
        <v>115</v>
      </c>
      <c r="BL222" s="72">
        <v>115</v>
      </c>
      <c r="BM222" s="72">
        <v>115</v>
      </c>
      <c r="BN222" s="72">
        <v>115</v>
      </c>
      <c r="BO222" s="72">
        <v>115</v>
      </c>
      <c r="BP222" s="72">
        <v>115</v>
      </c>
      <c r="BQ222" s="72">
        <v>115</v>
      </c>
      <c r="BR222" s="72">
        <v>115</v>
      </c>
      <c r="BS222" s="72">
        <v>101</v>
      </c>
      <c r="BT222" s="72">
        <v>101</v>
      </c>
      <c r="BU222" s="72">
        <v>101</v>
      </c>
      <c r="BV222" s="72">
        <v>101</v>
      </c>
      <c r="BW222" s="72">
        <v>101</v>
      </c>
      <c r="BX222" s="72">
        <v>101</v>
      </c>
      <c r="BY222" s="72">
        <v>101</v>
      </c>
      <c r="BZ222" s="72">
        <v>101</v>
      </c>
      <c r="CA222" s="72">
        <v>101</v>
      </c>
      <c r="CB222" s="72">
        <v>101</v>
      </c>
      <c r="CC222" s="72">
        <v>101</v>
      </c>
      <c r="CD222" s="72">
        <v>101</v>
      </c>
      <c r="CE222" s="72">
        <v>101</v>
      </c>
      <c r="CF222" s="72">
        <v>101</v>
      </c>
      <c r="CG222" s="72">
        <v>101</v>
      </c>
      <c r="CH222" s="72">
        <v>101</v>
      </c>
      <c r="CI222" s="72">
        <v>101</v>
      </c>
      <c r="CJ222" s="72">
        <v>101</v>
      </c>
      <c r="CK222" s="72">
        <v>101</v>
      </c>
      <c r="CL222" s="72">
        <v>101</v>
      </c>
      <c r="CM222" s="72">
        <v>101</v>
      </c>
      <c r="CN222" s="72">
        <v>101</v>
      </c>
      <c r="CO222" s="72">
        <v>101</v>
      </c>
      <c r="CP222" s="72">
        <v>101</v>
      </c>
      <c r="CQ222" s="72">
        <v>101</v>
      </c>
      <c r="CR222" s="72">
        <v>101</v>
      </c>
      <c r="CS222" s="72">
        <v>101</v>
      </c>
      <c r="CT222" s="72">
        <v>101</v>
      </c>
      <c r="CU222" s="72">
        <v>101</v>
      </c>
      <c r="CV222" s="72">
        <v>101</v>
      </c>
      <c r="CW222" s="72">
        <v>101</v>
      </c>
      <c r="CX222" s="72">
        <v>101</v>
      </c>
      <c r="CY222" s="72">
        <v>101</v>
      </c>
      <c r="CZ222" s="72">
        <v>101</v>
      </c>
      <c r="DA222" s="72">
        <v>101</v>
      </c>
      <c r="DB222" s="72">
        <v>101</v>
      </c>
      <c r="DC222" s="72">
        <v>101</v>
      </c>
      <c r="DD222" s="72">
        <v>101</v>
      </c>
      <c r="DE222" s="72">
        <v>101</v>
      </c>
      <c r="DF222" s="72">
        <v>101</v>
      </c>
      <c r="DG222" s="72">
        <v>101</v>
      </c>
      <c r="DH222" s="72">
        <v>101</v>
      </c>
      <c r="DI222" s="72">
        <v>101</v>
      </c>
      <c r="DJ222" s="72">
        <v>101</v>
      </c>
      <c r="DK222" s="72">
        <v>101</v>
      </c>
      <c r="DL222" s="72">
        <v>101</v>
      </c>
    </row>
    <row r="223" spans="1:116" x14ac:dyDescent="0.35">
      <c r="A223" s="7"/>
      <c r="B223" s="8" t="s">
        <v>424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652</v>
      </c>
      <c r="J223" s="10"/>
      <c r="K223" s="10" t="s">
        <v>42</v>
      </c>
      <c r="L223" s="8"/>
      <c r="M223" s="12">
        <v>4.8125</v>
      </c>
      <c r="N223" s="12">
        <f t="shared" si="5"/>
        <v>1597.75</v>
      </c>
      <c r="O223" s="11">
        <v>705</v>
      </c>
      <c r="P223" s="11">
        <v>705</v>
      </c>
      <c r="Q223" s="11">
        <v>705</v>
      </c>
      <c r="R223" s="11">
        <v>704</v>
      </c>
      <c r="S223" s="11">
        <v>702</v>
      </c>
      <c r="T223" s="11">
        <v>702</v>
      </c>
      <c r="U223" s="11">
        <v>702</v>
      </c>
      <c r="V223" s="11">
        <v>702</v>
      </c>
      <c r="W223" s="11">
        <v>697</v>
      </c>
      <c r="X223" s="11">
        <v>697</v>
      </c>
      <c r="Y223" s="11">
        <v>667</v>
      </c>
      <c r="Z223" s="11">
        <v>667</v>
      </c>
      <c r="AA223" s="11">
        <v>667</v>
      </c>
      <c r="AB223" s="11">
        <v>667</v>
      </c>
      <c r="AC223" s="11">
        <v>664</v>
      </c>
      <c r="AD223" s="11">
        <v>664</v>
      </c>
      <c r="AE223" s="11">
        <v>664</v>
      </c>
      <c r="AF223" s="11">
        <v>664</v>
      </c>
      <c r="AG223" s="11">
        <v>652</v>
      </c>
      <c r="AH223" s="11">
        <v>652</v>
      </c>
      <c r="AI223" s="11">
        <v>652</v>
      </c>
      <c r="AJ223" s="11">
        <v>652</v>
      </c>
      <c r="AK223" s="11">
        <v>652</v>
      </c>
      <c r="AL223" s="11">
        <v>652</v>
      </c>
      <c r="AM223" s="11">
        <v>652</v>
      </c>
      <c r="AN223" s="72">
        <v>652</v>
      </c>
      <c r="AO223" s="72">
        <v>652</v>
      </c>
      <c r="AP223" s="72">
        <v>652</v>
      </c>
      <c r="AQ223" s="72">
        <v>652</v>
      </c>
      <c r="AR223" s="72">
        <v>632</v>
      </c>
      <c r="AS223" s="72">
        <v>632</v>
      </c>
      <c r="AT223" s="72">
        <v>632</v>
      </c>
      <c r="AU223" s="72">
        <v>632</v>
      </c>
      <c r="AV223" s="72">
        <v>632</v>
      </c>
      <c r="AW223" s="72">
        <v>652</v>
      </c>
      <c r="AX223" s="72">
        <v>652</v>
      </c>
      <c r="AY223" s="72">
        <v>652</v>
      </c>
      <c r="AZ223" s="72">
        <v>652</v>
      </c>
      <c r="BA223" s="72">
        <v>652</v>
      </c>
      <c r="BB223" s="72">
        <v>652</v>
      </c>
      <c r="BC223" s="72">
        <v>652</v>
      </c>
      <c r="BD223" s="72">
        <v>652</v>
      </c>
      <c r="BE223" s="72">
        <v>652</v>
      </c>
      <c r="BF223" s="72">
        <v>652</v>
      </c>
      <c r="BG223" s="72">
        <v>652</v>
      </c>
      <c r="BH223" s="72">
        <v>652</v>
      </c>
      <c r="BI223" s="72">
        <v>652</v>
      </c>
      <c r="BJ223" s="72">
        <v>652</v>
      </c>
      <c r="BK223" s="72">
        <v>627</v>
      </c>
      <c r="BL223" s="72">
        <v>627</v>
      </c>
      <c r="BM223" s="72">
        <v>619</v>
      </c>
      <c r="BN223" s="72">
        <v>587</v>
      </c>
      <c r="BO223" s="72">
        <v>586</v>
      </c>
      <c r="BP223" s="72">
        <v>586</v>
      </c>
      <c r="BQ223" s="72">
        <v>572</v>
      </c>
      <c r="BR223" s="72">
        <v>559</v>
      </c>
      <c r="BS223" s="72">
        <v>533</v>
      </c>
      <c r="BT223" s="72">
        <v>525</v>
      </c>
      <c r="BU223" s="72">
        <v>532</v>
      </c>
      <c r="BV223" s="72">
        <v>532</v>
      </c>
      <c r="BW223" s="72">
        <v>532</v>
      </c>
      <c r="BX223" s="72">
        <v>532</v>
      </c>
      <c r="BY223" s="72">
        <v>532</v>
      </c>
      <c r="BZ223" s="72">
        <v>532</v>
      </c>
      <c r="CA223" s="72">
        <v>532</v>
      </c>
      <c r="CB223" s="72">
        <v>532</v>
      </c>
      <c r="CC223" s="72">
        <v>532</v>
      </c>
      <c r="CD223" s="72">
        <v>532</v>
      </c>
      <c r="CE223" s="72">
        <v>532</v>
      </c>
      <c r="CF223" s="72">
        <v>532</v>
      </c>
      <c r="CG223" s="72">
        <v>482</v>
      </c>
      <c r="CH223" s="72">
        <v>476</v>
      </c>
      <c r="CI223" s="72">
        <v>476</v>
      </c>
      <c r="CJ223" s="72">
        <v>476</v>
      </c>
      <c r="CK223" s="72">
        <v>425</v>
      </c>
      <c r="CL223" s="72">
        <v>425</v>
      </c>
      <c r="CM223" s="72">
        <v>425</v>
      </c>
      <c r="CN223" s="72">
        <v>425</v>
      </c>
      <c r="CO223" s="72">
        <v>425</v>
      </c>
      <c r="CP223" s="72">
        <v>375</v>
      </c>
      <c r="CQ223" s="72">
        <v>375</v>
      </c>
      <c r="CR223" s="72">
        <v>375</v>
      </c>
      <c r="CS223" s="72">
        <v>347</v>
      </c>
      <c r="CT223" s="72">
        <v>347</v>
      </c>
      <c r="CU223" s="72">
        <v>347</v>
      </c>
      <c r="CV223" s="72">
        <v>345</v>
      </c>
      <c r="CW223" s="72">
        <v>345</v>
      </c>
      <c r="CX223" s="72">
        <v>347</v>
      </c>
      <c r="CY223" s="72">
        <v>347</v>
      </c>
      <c r="CZ223" s="72">
        <v>347</v>
      </c>
      <c r="DA223" s="72">
        <v>344</v>
      </c>
      <c r="DB223" s="72">
        <v>334</v>
      </c>
      <c r="DC223" s="72">
        <v>330</v>
      </c>
      <c r="DD223" s="72">
        <v>334</v>
      </c>
      <c r="DE223" s="72">
        <v>334</v>
      </c>
      <c r="DF223" s="72">
        <v>334</v>
      </c>
      <c r="DG223" s="72">
        <v>334</v>
      </c>
      <c r="DH223" s="72">
        <v>334</v>
      </c>
      <c r="DI223" s="72">
        <v>332</v>
      </c>
      <c r="DJ223" s="72">
        <v>332</v>
      </c>
      <c r="DK223" s="72">
        <v>332</v>
      </c>
      <c r="DL223" s="72">
        <v>332</v>
      </c>
    </row>
    <row r="224" spans="1:116" x14ac:dyDescent="0.35">
      <c r="A224" s="7"/>
      <c r="B224" s="8" t="s">
        <v>425</v>
      </c>
      <c r="C224" s="9" t="s">
        <v>1289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109</v>
      </c>
      <c r="J224" s="10"/>
      <c r="K224" s="10" t="s">
        <v>42</v>
      </c>
      <c r="L224" s="8"/>
      <c r="M224" s="12">
        <v>4.8125</v>
      </c>
      <c r="N224" s="12">
        <f t="shared" si="5"/>
        <v>423.5</v>
      </c>
      <c r="O224" s="11">
        <v>148</v>
      </c>
      <c r="P224" s="11">
        <v>148</v>
      </c>
      <c r="Q224" s="11">
        <v>148</v>
      </c>
      <c r="R224" s="11">
        <v>148</v>
      </c>
      <c r="S224" s="11">
        <v>148</v>
      </c>
      <c r="T224" s="11">
        <v>148</v>
      </c>
      <c r="U224" s="11">
        <v>148</v>
      </c>
      <c r="V224" s="11">
        <v>148</v>
      </c>
      <c r="W224" s="11">
        <v>148</v>
      </c>
      <c r="X224" s="11">
        <v>148</v>
      </c>
      <c r="Y224" s="11">
        <v>148</v>
      </c>
      <c r="Z224" s="11">
        <v>146</v>
      </c>
      <c r="AA224" s="11">
        <v>146</v>
      </c>
      <c r="AB224" s="11">
        <v>145</v>
      </c>
      <c r="AC224" s="11">
        <v>145</v>
      </c>
      <c r="AD224" s="11">
        <v>145</v>
      </c>
      <c r="AE224" s="11">
        <v>145</v>
      </c>
      <c r="AF224" s="11">
        <v>145</v>
      </c>
      <c r="AG224" s="11">
        <v>145</v>
      </c>
      <c r="AH224" s="11">
        <v>109</v>
      </c>
      <c r="AI224" s="11">
        <v>73</v>
      </c>
      <c r="AJ224" s="11">
        <v>109</v>
      </c>
      <c r="AK224" s="11">
        <v>109</v>
      </c>
      <c r="AL224" s="11">
        <v>108</v>
      </c>
      <c r="AM224" s="11">
        <v>108</v>
      </c>
      <c r="AN224" s="72">
        <v>108</v>
      </c>
      <c r="AO224" s="72">
        <v>108</v>
      </c>
      <c r="AP224" s="72">
        <v>108</v>
      </c>
      <c r="AQ224" s="72">
        <v>108</v>
      </c>
      <c r="AR224" s="72">
        <v>108</v>
      </c>
      <c r="AS224" s="72">
        <v>108</v>
      </c>
      <c r="AT224" s="72">
        <v>108</v>
      </c>
      <c r="AU224" s="72">
        <v>108</v>
      </c>
      <c r="AV224" s="72">
        <v>108</v>
      </c>
      <c r="AW224" s="72">
        <v>108</v>
      </c>
      <c r="AX224" s="72">
        <v>108</v>
      </c>
      <c r="AY224" s="72">
        <v>108</v>
      </c>
      <c r="AZ224" s="72">
        <v>108</v>
      </c>
      <c r="BA224" s="72">
        <v>108</v>
      </c>
      <c r="BB224" s="72">
        <v>108</v>
      </c>
      <c r="BC224" s="72">
        <v>108</v>
      </c>
      <c r="BD224" s="72">
        <v>108</v>
      </c>
      <c r="BE224" s="72">
        <v>108</v>
      </c>
      <c r="BF224" s="72">
        <v>108</v>
      </c>
      <c r="BG224" s="72">
        <v>108</v>
      </c>
      <c r="BH224" s="72">
        <v>108</v>
      </c>
      <c r="BI224" s="72">
        <v>108</v>
      </c>
      <c r="BJ224" s="72">
        <v>108</v>
      </c>
      <c r="BK224" s="72">
        <v>108</v>
      </c>
      <c r="BL224" s="72">
        <v>108</v>
      </c>
      <c r="BM224" s="72">
        <v>108</v>
      </c>
      <c r="BN224" s="72">
        <v>114</v>
      </c>
      <c r="BO224" s="72">
        <v>114</v>
      </c>
      <c r="BP224" s="72">
        <v>109</v>
      </c>
      <c r="BQ224" s="72">
        <v>109</v>
      </c>
      <c r="BR224" s="72">
        <v>109</v>
      </c>
      <c r="BS224" s="72">
        <v>109</v>
      </c>
      <c r="BT224" s="72">
        <v>107</v>
      </c>
      <c r="BU224" s="72">
        <v>109</v>
      </c>
      <c r="BV224" s="72">
        <v>109</v>
      </c>
      <c r="BW224" s="72">
        <v>109</v>
      </c>
      <c r="BX224" s="72">
        <v>109</v>
      </c>
      <c r="BY224" s="72">
        <v>109</v>
      </c>
      <c r="BZ224" s="72">
        <v>109</v>
      </c>
      <c r="CA224" s="72">
        <v>109</v>
      </c>
      <c r="CB224" s="72">
        <v>109</v>
      </c>
      <c r="CC224" s="72">
        <v>109</v>
      </c>
      <c r="CD224" s="72">
        <v>109</v>
      </c>
      <c r="CE224" s="72">
        <v>109</v>
      </c>
      <c r="CF224" s="72">
        <v>109</v>
      </c>
      <c r="CG224" s="72">
        <v>109</v>
      </c>
      <c r="CH224" s="72">
        <v>109</v>
      </c>
      <c r="CI224" s="72">
        <v>109</v>
      </c>
      <c r="CJ224" s="72">
        <v>109</v>
      </c>
      <c r="CK224" s="72">
        <v>109</v>
      </c>
      <c r="CL224" s="72">
        <v>109</v>
      </c>
      <c r="CM224" s="72">
        <v>109</v>
      </c>
      <c r="CN224" s="72">
        <v>109</v>
      </c>
      <c r="CO224" s="72">
        <v>89</v>
      </c>
      <c r="CP224" s="72">
        <v>89</v>
      </c>
      <c r="CQ224" s="72">
        <v>89</v>
      </c>
      <c r="CR224" s="72">
        <v>89</v>
      </c>
      <c r="CS224" s="72">
        <v>89</v>
      </c>
      <c r="CT224" s="72">
        <v>89</v>
      </c>
      <c r="CU224" s="72">
        <v>89</v>
      </c>
      <c r="CV224" s="72">
        <v>89</v>
      </c>
      <c r="CW224" s="72">
        <v>89</v>
      </c>
      <c r="CX224" s="72">
        <v>89</v>
      </c>
      <c r="CY224" s="72">
        <v>89</v>
      </c>
      <c r="CZ224" s="72">
        <v>89</v>
      </c>
      <c r="DA224" s="72">
        <v>89</v>
      </c>
      <c r="DB224" s="72">
        <v>89</v>
      </c>
      <c r="DC224" s="72">
        <v>89</v>
      </c>
      <c r="DD224" s="72">
        <v>88</v>
      </c>
      <c r="DE224" s="72">
        <v>88</v>
      </c>
      <c r="DF224" s="72">
        <v>88</v>
      </c>
      <c r="DG224" s="72">
        <v>88</v>
      </c>
      <c r="DH224" s="72">
        <v>88</v>
      </c>
      <c r="DI224" s="72">
        <v>88</v>
      </c>
      <c r="DJ224" s="72">
        <v>88</v>
      </c>
      <c r="DK224" s="72">
        <v>88</v>
      </c>
      <c r="DL224" s="72">
        <v>88</v>
      </c>
    </row>
    <row r="225" spans="1:116" x14ac:dyDescent="0.35">
      <c r="A225" s="7"/>
      <c r="B225" s="8" t="s">
        <v>426</v>
      </c>
      <c r="C225" s="9" t="s">
        <v>1290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114</v>
      </c>
      <c r="J225" s="10"/>
      <c r="K225" s="10" t="s">
        <v>42</v>
      </c>
      <c r="L225" s="8"/>
      <c r="M225" s="12">
        <v>6.25</v>
      </c>
      <c r="N225" s="12">
        <f t="shared" si="5"/>
        <v>712.5</v>
      </c>
      <c r="O225" s="11">
        <v>114</v>
      </c>
      <c r="P225" s="11">
        <v>114</v>
      </c>
      <c r="Q225" s="11">
        <v>114</v>
      </c>
      <c r="R225" s="11">
        <v>114</v>
      </c>
      <c r="S225" s="11">
        <v>114</v>
      </c>
      <c r="T225" s="11">
        <v>114</v>
      </c>
      <c r="U225" s="11">
        <v>114</v>
      </c>
      <c r="V225" s="11">
        <v>114</v>
      </c>
      <c r="W225" s="11">
        <v>114</v>
      </c>
      <c r="X225" s="11">
        <v>114</v>
      </c>
      <c r="Y225" s="11">
        <v>114</v>
      </c>
      <c r="Z225" s="11">
        <v>114</v>
      </c>
      <c r="AA225" s="11">
        <v>114</v>
      </c>
      <c r="AB225" s="11">
        <v>114</v>
      </c>
      <c r="AC225" s="11">
        <v>114</v>
      </c>
      <c r="AD225" s="11">
        <v>114</v>
      </c>
      <c r="AE225" s="11">
        <v>114</v>
      </c>
      <c r="AF225" s="11">
        <v>114</v>
      </c>
      <c r="AG225" s="11">
        <v>114</v>
      </c>
      <c r="AH225" s="11">
        <v>114</v>
      </c>
      <c r="AI225" s="11">
        <v>114</v>
      </c>
      <c r="AJ225" s="11">
        <v>114</v>
      </c>
      <c r="AK225" s="11">
        <v>114</v>
      </c>
      <c r="AL225" s="11">
        <v>114</v>
      </c>
      <c r="AM225" s="11">
        <v>114</v>
      </c>
      <c r="AN225" s="72">
        <v>114</v>
      </c>
      <c r="AO225" s="72">
        <v>114</v>
      </c>
      <c r="AP225" s="72">
        <v>114</v>
      </c>
      <c r="AQ225" s="72">
        <v>114</v>
      </c>
      <c r="AR225" s="72">
        <v>114</v>
      </c>
      <c r="AS225" s="72">
        <v>114</v>
      </c>
      <c r="AT225" s="72">
        <v>114</v>
      </c>
      <c r="AU225" s="72">
        <v>114</v>
      </c>
      <c r="AV225" s="72">
        <v>114</v>
      </c>
      <c r="AW225" s="72">
        <v>114</v>
      </c>
      <c r="AX225" s="72">
        <v>114</v>
      </c>
      <c r="AY225" s="72">
        <v>114</v>
      </c>
      <c r="AZ225" s="72">
        <v>114</v>
      </c>
      <c r="BA225" s="72">
        <v>114</v>
      </c>
      <c r="BB225" s="72">
        <v>114</v>
      </c>
      <c r="BC225" s="72">
        <v>114</v>
      </c>
      <c r="BD225" s="72">
        <v>114</v>
      </c>
      <c r="BE225" s="72">
        <v>114</v>
      </c>
      <c r="BF225" s="72">
        <v>114</v>
      </c>
      <c r="BG225" s="72">
        <v>114</v>
      </c>
      <c r="BH225" s="72">
        <v>114</v>
      </c>
      <c r="BI225" s="72">
        <v>114</v>
      </c>
      <c r="BJ225" s="72">
        <v>114</v>
      </c>
      <c r="BK225" s="72">
        <v>114</v>
      </c>
      <c r="BL225" s="72">
        <v>114</v>
      </c>
      <c r="BM225" s="72">
        <v>114</v>
      </c>
      <c r="BN225" s="72">
        <v>114</v>
      </c>
      <c r="BO225" s="72">
        <v>114</v>
      </c>
      <c r="BP225" s="72">
        <v>114</v>
      </c>
      <c r="BQ225" s="72">
        <v>114</v>
      </c>
      <c r="BR225" s="72">
        <v>114</v>
      </c>
      <c r="BS225" s="72">
        <v>114</v>
      </c>
      <c r="BT225" s="72">
        <v>114</v>
      </c>
      <c r="BU225" s="72">
        <v>114</v>
      </c>
      <c r="BV225" s="72">
        <v>114</v>
      </c>
      <c r="BW225" s="72">
        <v>114</v>
      </c>
      <c r="BX225" s="72">
        <v>114</v>
      </c>
      <c r="BY225" s="72">
        <v>114</v>
      </c>
      <c r="BZ225" s="72">
        <v>114</v>
      </c>
      <c r="CA225" s="72">
        <v>114</v>
      </c>
      <c r="CB225" s="72">
        <v>114</v>
      </c>
      <c r="CC225" s="72">
        <v>114</v>
      </c>
      <c r="CD225" s="72">
        <v>114</v>
      </c>
      <c r="CE225" s="72">
        <v>114</v>
      </c>
      <c r="CF225" s="72">
        <v>114</v>
      </c>
      <c r="CG225" s="72">
        <v>114</v>
      </c>
      <c r="CH225" s="72">
        <v>114</v>
      </c>
      <c r="CI225" s="72">
        <v>114</v>
      </c>
      <c r="CJ225" s="72">
        <v>114</v>
      </c>
      <c r="CK225" s="72">
        <v>114</v>
      </c>
      <c r="CL225" s="72">
        <v>114</v>
      </c>
      <c r="CM225" s="72">
        <v>114</v>
      </c>
      <c r="CN225" s="72">
        <v>114</v>
      </c>
      <c r="CO225" s="72">
        <v>114</v>
      </c>
      <c r="CP225" s="72">
        <v>114</v>
      </c>
      <c r="CQ225" s="72">
        <v>114</v>
      </c>
      <c r="CR225" s="72">
        <v>114</v>
      </c>
      <c r="CS225" s="72">
        <v>114</v>
      </c>
      <c r="CT225" s="72">
        <v>114</v>
      </c>
      <c r="CU225" s="72">
        <v>114</v>
      </c>
      <c r="CV225" s="72">
        <v>114</v>
      </c>
      <c r="CW225" s="72">
        <v>114</v>
      </c>
      <c r="CX225" s="72">
        <v>114</v>
      </c>
      <c r="CY225" s="72">
        <v>114</v>
      </c>
      <c r="CZ225" s="72">
        <v>114</v>
      </c>
      <c r="DA225" s="72">
        <v>114</v>
      </c>
      <c r="DB225" s="72">
        <v>114</v>
      </c>
      <c r="DC225" s="72">
        <v>114</v>
      </c>
      <c r="DD225" s="72">
        <v>114</v>
      </c>
      <c r="DE225" s="72">
        <v>114</v>
      </c>
      <c r="DF225" s="72">
        <v>114</v>
      </c>
      <c r="DG225" s="72">
        <v>114</v>
      </c>
      <c r="DH225" s="72">
        <v>114</v>
      </c>
      <c r="DI225" s="72">
        <v>114</v>
      </c>
      <c r="DJ225" s="72">
        <v>114</v>
      </c>
      <c r="DK225" s="72">
        <v>114</v>
      </c>
      <c r="DL225" s="72">
        <v>114</v>
      </c>
    </row>
    <row r="226" spans="1:116" x14ac:dyDescent="0.35">
      <c r="A226" s="7"/>
      <c r="B226" s="26" t="s">
        <v>427</v>
      </c>
      <c r="C226" s="27" t="s">
        <v>428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23</v>
      </c>
      <c r="J226" s="10">
        <v>1</v>
      </c>
      <c r="K226" s="10"/>
      <c r="L226" s="8" t="s">
        <v>429</v>
      </c>
      <c r="M226" s="12">
        <v>16.25</v>
      </c>
      <c r="N226" s="12">
        <f t="shared" si="5"/>
        <v>0</v>
      </c>
      <c r="O226" s="29">
        <v>65</v>
      </c>
      <c r="P226" s="29">
        <v>65</v>
      </c>
      <c r="Q226" s="29">
        <v>65</v>
      </c>
      <c r="R226" s="29">
        <v>62</v>
      </c>
      <c r="S226" s="29">
        <v>58</v>
      </c>
      <c r="T226" s="29">
        <v>49</v>
      </c>
      <c r="U226" s="29">
        <v>49</v>
      </c>
      <c r="V226" s="29">
        <v>50</v>
      </c>
      <c r="W226" s="29">
        <v>50</v>
      </c>
      <c r="X226" s="29">
        <v>48</v>
      </c>
      <c r="Y226" s="29">
        <v>48</v>
      </c>
      <c r="Z226" s="29">
        <v>48</v>
      </c>
      <c r="AA226" s="29">
        <v>48</v>
      </c>
      <c r="AB226" s="29">
        <v>48</v>
      </c>
      <c r="AC226" s="29">
        <v>48</v>
      </c>
      <c r="AD226" s="29">
        <v>48</v>
      </c>
      <c r="AE226" s="29">
        <v>28</v>
      </c>
      <c r="AF226" s="29">
        <v>28</v>
      </c>
      <c r="AG226" s="29">
        <v>23</v>
      </c>
      <c r="AH226" s="29">
        <v>23</v>
      </c>
      <c r="AI226" s="29">
        <v>23</v>
      </c>
      <c r="AJ226" s="29">
        <v>23</v>
      </c>
      <c r="AK226" s="29">
        <v>22</v>
      </c>
      <c r="AL226" s="29">
        <v>22</v>
      </c>
      <c r="AM226" s="29">
        <v>22</v>
      </c>
      <c r="AN226" s="75">
        <v>22</v>
      </c>
      <c r="AO226" s="75">
        <v>22</v>
      </c>
      <c r="AP226" s="75">
        <v>22</v>
      </c>
      <c r="AQ226" s="75">
        <v>22</v>
      </c>
      <c r="AR226" s="75">
        <v>22</v>
      </c>
      <c r="AS226" s="75">
        <v>22</v>
      </c>
      <c r="AT226" s="75">
        <v>22</v>
      </c>
      <c r="AU226" s="75">
        <v>22</v>
      </c>
      <c r="AV226" s="75">
        <v>22</v>
      </c>
      <c r="AW226" s="75">
        <v>22</v>
      </c>
      <c r="AX226" s="75">
        <v>22</v>
      </c>
      <c r="AY226" s="75">
        <v>22</v>
      </c>
      <c r="AZ226" s="75">
        <v>22</v>
      </c>
      <c r="BA226" s="75">
        <v>22</v>
      </c>
      <c r="BB226" s="75">
        <v>18</v>
      </c>
      <c r="BC226" s="75">
        <v>18</v>
      </c>
      <c r="BD226" s="75">
        <v>16</v>
      </c>
      <c r="BE226" s="75">
        <v>16</v>
      </c>
      <c r="BF226" s="75">
        <v>16</v>
      </c>
      <c r="BG226" s="75">
        <v>16</v>
      </c>
      <c r="BH226" s="75">
        <v>22</v>
      </c>
      <c r="BI226" s="75">
        <v>22</v>
      </c>
      <c r="BJ226" s="75">
        <v>22</v>
      </c>
      <c r="BK226" s="75">
        <v>22</v>
      </c>
      <c r="BL226" s="75">
        <v>22</v>
      </c>
      <c r="BM226" s="75">
        <v>12</v>
      </c>
      <c r="BN226" s="75">
        <v>12</v>
      </c>
      <c r="BO226" s="75">
        <v>12</v>
      </c>
      <c r="BP226" s="75">
        <v>12</v>
      </c>
      <c r="BQ226" s="75">
        <v>12</v>
      </c>
      <c r="BR226" s="75">
        <v>6</v>
      </c>
      <c r="BS226" s="75">
        <v>5</v>
      </c>
      <c r="BT226" s="75">
        <v>5</v>
      </c>
      <c r="BU226" s="75">
        <v>5</v>
      </c>
      <c r="BV226" s="75">
        <v>5</v>
      </c>
      <c r="BW226" s="75">
        <v>5</v>
      </c>
      <c r="BX226" s="75">
        <v>5</v>
      </c>
      <c r="BY226" s="75">
        <v>5</v>
      </c>
      <c r="BZ226" s="75">
        <v>0</v>
      </c>
      <c r="CA226" s="75">
        <v>0</v>
      </c>
      <c r="CB226" s="75">
        <v>0</v>
      </c>
      <c r="CC226" s="75">
        <v>0</v>
      </c>
      <c r="CD226" s="75">
        <v>0</v>
      </c>
      <c r="CE226" s="75">
        <v>0</v>
      </c>
      <c r="CF226" s="75">
        <v>0</v>
      </c>
      <c r="CG226" s="75">
        <v>0</v>
      </c>
      <c r="CH226" s="75">
        <v>0</v>
      </c>
      <c r="CI226" s="75">
        <v>0</v>
      </c>
      <c r="CJ226" s="75">
        <v>0</v>
      </c>
      <c r="CK226" s="75">
        <v>0</v>
      </c>
      <c r="CL226" s="75">
        <v>0</v>
      </c>
      <c r="CM226" s="75">
        <v>0</v>
      </c>
      <c r="CN226" s="75">
        <v>0</v>
      </c>
      <c r="CO226" s="75">
        <v>0</v>
      </c>
      <c r="CP226" s="75">
        <v>0</v>
      </c>
      <c r="CQ226" s="75">
        <v>0</v>
      </c>
      <c r="CR226" s="75">
        <v>0</v>
      </c>
      <c r="CS226" s="75">
        <v>0</v>
      </c>
      <c r="CT226" s="75">
        <v>0</v>
      </c>
      <c r="CU226" s="75">
        <v>0</v>
      </c>
      <c r="CV226" s="75">
        <v>0</v>
      </c>
      <c r="CW226" s="75">
        <v>0</v>
      </c>
      <c r="CX226" s="75">
        <v>0</v>
      </c>
      <c r="CY226" s="75">
        <v>0</v>
      </c>
      <c r="CZ226" s="75">
        <v>0</v>
      </c>
      <c r="DA226" s="75">
        <v>0</v>
      </c>
      <c r="DB226" s="75">
        <v>0</v>
      </c>
      <c r="DC226" s="75">
        <v>0</v>
      </c>
      <c r="DD226" s="75">
        <v>0</v>
      </c>
      <c r="DE226" s="75">
        <v>0</v>
      </c>
      <c r="DF226" s="75">
        <v>0</v>
      </c>
      <c r="DG226" s="75">
        <v>0</v>
      </c>
      <c r="DH226" s="75">
        <v>0</v>
      </c>
      <c r="DI226" s="75">
        <v>0</v>
      </c>
      <c r="DJ226" s="75">
        <v>0</v>
      </c>
      <c r="DK226" s="75">
        <v>0</v>
      </c>
      <c r="DL226" s="75">
        <v>0</v>
      </c>
    </row>
    <row r="227" spans="1:116" x14ac:dyDescent="0.35">
      <c r="A227" s="7"/>
      <c r="B227" s="26" t="s">
        <v>430</v>
      </c>
      <c r="C227" s="94" t="s">
        <v>1343</v>
      </c>
      <c r="D227" s="28" t="s">
        <v>92</v>
      </c>
      <c r="E227" s="26" t="s">
        <v>1207</v>
      </c>
      <c r="F227" s="10">
        <v>1006</v>
      </c>
      <c r="G227" s="28" t="s">
        <v>92</v>
      </c>
      <c r="H227" s="28" t="s">
        <v>41</v>
      </c>
      <c r="I227" s="29">
        <v>24</v>
      </c>
      <c r="J227" s="10"/>
      <c r="K227" s="10"/>
      <c r="L227" s="8"/>
      <c r="M227" s="12">
        <v>60</v>
      </c>
      <c r="N227" s="12">
        <f t="shared" si="5"/>
        <v>600</v>
      </c>
      <c r="O227" s="29">
        <v>24</v>
      </c>
      <c r="P227" s="29">
        <v>24</v>
      </c>
      <c r="Q227" s="29">
        <v>24</v>
      </c>
      <c r="R227" s="29">
        <v>24</v>
      </c>
      <c r="S227" s="29">
        <v>24</v>
      </c>
      <c r="T227" s="29">
        <v>24</v>
      </c>
      <c r="U227" s="29">
        <v>24</v>
      </c>
      <c r="V227" s="29">
        <v>24</v>
      </c>
      <c r="W227" s="29">
        <v>24</v>
      </c>
      <c r="X227" s="29">
        <v>24</v>
      </c>
      <c r="Y227" s="29">
        <v>24</v>
      </c>
      <c r="Z227" s="29">
        <v>24</v>
      </c>
      <c r="AA227" s="29">
        <v>24</v>
      </c>
      <c r="AB227" s="29">
        <v>24</v>
      </c>
      <c r="AC227" s="29">
        <v>24</v>
      </c>
      <c r="AD227" s="29">
        <v>24</v>
      </c>
      <c r="AE227" s="29">
        <v>24</v>
      </c>
      <c r="AF227" s="29">
        <v>24</v>
      </c>
      <c r="AG227" s="29">
        <v>24</v>
      </c>
      <c r="AH227" s="29">
        <v>24</v>
      </c>
      <c r="AI227" s="29">
        <v>24</v>
      </c>
      <c r="AJ227" s="29">
        <v>24</v>
      </c>
      <c r="AK227" s="29">
        <v>24</v>
      </c>
      <c r="AL227" s="29">
        <v>23</v>
      </c>
      <c r="AM227" s="29">
        <v>23</v>
      </c>
      <c r="AN227" s="75">
        <v>23</v>
      </c>
      <c r="AO227" s="75">
        <v>23</v>
      </c>
      <c r="AP227" s="75">
        <v>37</v>
      </c>
      <c r="AQ227" s="75">
        <v>35</v>
      </c>
      <c r="AR227" s="75">
        <v>35</v>
      </c>
      <c r="AS227" s="75">
        <v>35</v>
      </c>
      <c r="AT227" s="75">
        <v>35</v>
      </c>
      <c r="AU227" s="75">
        <v>35</v>
      </c>
      <c r="AV227" s="75">
        <v>35</v>
      </c>
      <c r="AW227" s="75">
        <v>33</v>
      </c>
      <c r="AX227" s="75">
        <v>33</v>
      </c>
      <c r="AY227" s="75">
        <v>33</v>
      </c>
      <c r="AZ227" s="75">
        <v>33</v>
      </c>
      <c r="BA227" s="75">
        <v>33</v>
      </c>
      <c r="BB227" s="75">
        <v>27</v>
      </c>
      <c r="BC227" s="75">
        <v>27</v>
      </c>
      <c r="BD227" s="75">
        <v>27</v>
      </c>
      <c r="BE227" s="75">
        <v>27</v>
      </c>
      <c r="BF227" s="75">
        <v>27</v>
      </c>
      <c r="BG227" s="75">
        <v>27</v>
      </c>
      <c r="BH227" s="75">
        <v>33</v>
      </c>
      <c r="BI227" s="75">
        <v>33</v>
      </c>
      <c r="BJ227" s="75">
        <v>33</v>
      </c>
      <c r="BK227" s="75">
        <v>33</v>
      </c>
      <c r="BL227" s="75">
        <v>33</v>
      </c>
      <c r="BM227" s="75">
        <v>33</v>
      </c>
      <c r="BN227" s="75">
        <v>33</v>
      </c>
      <c r="BO227" s="75">
        <v>33</v>
      </c>
      <c r="BP227" s="75">
        <v>33</v>
      </c>
      <c r="BQ227" s="75">
        <v>33</v>
      </c>
      <c r="BR227" s="75">
        <v>33</v>
      </c>
      <c r="BS227" s="75">
        <v>33</v>
      </c>
      <c r="BT227" s="75">
        <v>33</v>
      </c>
      <c r="BU227" s="75">
        <v>33</v>
      </c>
      <c r="BV227" s="75">
        <v>33</v>
      </c>
      <c r="BW227" s="75">
        <v>33</v>
      </c>
      <c r="BX227" s="75">
        <v>33</v>
      </c>
      <c r="BY227" s="75">
        <v>33</v>
      </c>
      <c r="BZ227" s="75">
        <v>33</v>
      </c>
      <c r="CA227" s="75">
        <v>33</v>
      </c>
      <c r="CB227" s="75">
        <v>33</v>
      </c>
      <c r="CC227" s="75">
        <v>33</v>
      </c>
      <c r="CD227" s="75">
        <v>33</v>
      </c>
      <c r="CE227" s="75">
        <v>33</v>
      </c>
      <c r="CF227" s="75">
        <v>33</v>
      </c>
      <c r="CG227" s="75">
        <v>33</v>
      </c>
      <c r="CH227" s="75">
        <v>33</v>
      </c>
      <c r="CI227" s="75">
        <v>31</v>
      </c>
      <c r="CJ227" s="75">
        <v>28</v>
      </c>
      <c r="CK227" s="75">
        <v>31</v>
      </c>
      <c r="CL227" s="75">
        <v>31</v>
      </c>
      <c r="CM227" s="75">
        <v>29</v>
      </c>
      <c r="CN227" s="75">
        <v>25</v>
      </c>
      <c r="CO227" s="75">
        <v>25</v>
      </c>
      <c r="CP227" s="75">
        <v>25</v>
      </c>
      <c r="CQ227" s="75">
        <v>25</v>
      </c>
      <c r="CR227" s="75">
        <v>25</v>
      </c>
      <c r="CS227" s="75">
        <v>25</v>
      </c>
      <c r="CT227" s="75">
        <v>25</v>
      </c>
      <c r="CU227" s="75">
        <v>25</v>
      </c>
      <c r="CV227" s="75">
        <v>25</v>
      </c>
      <c r="CW227" s="75">
        <v>25</v>
      </c>
      <c r="CX227" s="75">
        <v>25</v>
      </c>
      <c r="CY227" s="75">
        <v>9</v>
      </c>
      <c r="CZ227" s="75">
        <v>15</v>
      </c>
      <c r="DA227" s="75">
        <v>15</v>
      </c>
      <c r="DB227" s="75">
        <v>15</v>
      </c>
      <c r="DC227" s="75">
        <v>15</v>
      </c>
      <c r="DD227" s="75">
        <v>15</v>
      </c>
      <c r="DE227" s="75">
        <v>15</v>
      </c>
      <c r="DF227" s="75">
        <v>15</v>
      </c>
      <c r="DG227" s="75">
        <v>15</v>
      </c>
      <c r="DH227" s="75">
        <v>15</v>
      </c>
      <c r="DI227" s="75">
        <v>10</v>
      </c>
      <c r="DJ227" s="75">
        <v>10</v>
      </c>
      <c r="DK227" s="75">
        <v>10</v>
      </c>
      <c r="DL227" s="75">
        <v>10</v>
      </c>
    </row>
    <row r="228" spans="1:116" x14ac:dyDescent="0.35">
      <c r="A228" s="7"/>
      <c r="B228" s="8" t="s">
        <v>433</v>
      </c>
      <c r="C228" s="9" t="s">
        <v>1291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42</v>
      </c>
      <c r="L228" s="8"/>
      <c r="M228" s="12"/>
      <c r="N228" s="12">
        <f t="shared" si="5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0</v>
      </c>
      <c r="DJ228" s="72">
        <v>0</v>
      </c>
      <c r="DK228" s="72">
        <v>0</v>
      </c>
      <c r="DL228" s="72">
        <v>0</v>
      </c>
    </row>
    <row r="229" spans="1:116" x14ac:dyDescent="0.35">
      <c r="A229" s="7"/>
      <c r="B229" s="8" t="s">
        <v>431</v>
      </c>
      <c r="C229" s="9" t="s">
        <v>1292</v>
      </c>
      <c r="D229" s="10" t="s">
        <v>92</v>
      </c>
      <c r="E229" s="8" t="s">
        <v>1207</v>
      </c>
      <c r="F229" s="10">
        <v>1006</v>
      </c>
      <c r="G229" s="10" t="s">
        <v>92</v>
      </c>
      <c r="H229" s="10" t="s">
        <v>41</v>
      </c>
      <c r="I229" s="11">
        <v>0</v>
      </c>
      <c r="J229" s="10"/>
      <c r="K229" s="10" t="s">
        <v>432</v>
      </c>
      <c r="L229" s="8"/>
      <c r="M229" s="12"/>
      <c r="N229" s="12">
        <f t="shared" si="5"/>
        <v>0</v>
      </c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>
        <v>0</v>
      </c>
      <c r="AA229" s="11">
        <v>0</v>
      </c>
      <c r="AB229" s="11">
        <v>0</v>
      </c>
      <c r="AC229" s="11">
        <v>0</v>
      </c>
      <c r="AD229" s="11">
        <v>0</v>
      </c>
      <c r="AE229" s="11">
        <v>0</v>
      </c>
      <c r="AF229" s="11">
        <v>0</v>
      </c>
      <c r="AG229" s="11">
        <v>0</v>
      </c>
      <c r="AH229" s="11">
        <v>0</v>
      </c>
      <c r="AI229" s="11">
        <v>0</v>
      </c>
      <c r="AJ229" s="11">
        <v>0</v>
      </c>
      <c r="AK229" s="11">
        <v>0</v>
      </c>
      <c r="AL229" s="11">
        <v>0</v>
      </c>
      <c r="AM229" s="11">
        <v>0</v>
      </c>
      <c r="AN229" s="72">
        <v>0</v>
      </c>
      <c r="AO229" s="72">
        <v>0</v>
      </c>
      <c r="AP229" s="72">
        <v>0</v>
      </c>
      <c r="AQ229" s="72">
        <v>0</v>
      </c>
      <c r="AR229" s="72">
        <v>0</v>
      </c>
      <c r="AS229" s="72">
        <v>0</v>
      </c>
      <c r="AT229" s="72">
        <v>0</v>
      </c>
      <c r="AU229" s="72">
        <v>0</v>
      </c>
      <c r="AV229" s="72">
        <v>0</v>
      </c>
      <c r="AW229" s="72">
        <v>0</v>
      </c>
      <c r="AX229" s="72">
        <v>0</v>
      </c>
      <c r="AY229" s="72">
        <v>0</v>
      </c>
      <c r="AZ229" s="72">
        <v>0</v>
      </c>
      <c r="BA229" s="72">
        <v>0</v>
      </c>
      <c r="BB229" s="72">
        <v>0</v>
      </c>
      <c r="BC229" s="72">
        <v>0</v>
      </c>
      <c r="BD229" s="72">
        <v>0</v>
      </c>
      <c r="BE229" s="72">
        <v>0</v>
      </c>
      <c r="BF229" s="72">
        <v>0</v>
      </c>
      <c r="BG229" s="72">
        <v>0</v>
      </c>
      <c r="BH229" s="72">
        <v>0</v>
      </c>
      <c r="BI229" s="72">
        <v>0</v>
      </c>
      <c r="BJ229" s="72">
        <v>0</v>
      </c>
      <c r="BK229" s="72">
        <v>0</v>
      </c>
      <c r="BL229" s="72">
        <v>0</v>
      </c>
      <c r="BM229" s="72">
        <v>0</v>
      </c>
      <c r="BN229" s="72">
        <v>0</v>
      </c>
      <c r="BO229" s="72">
        <v>0</v>
      </c>
      <c r="BP229" s="72">
        <v>0</v>
      </c>
      <c r="BQ229" s="72">
        <v>0</v>
      </c>
      <c r="BR229" s="72">
        <v>0</v>
      </c>
      <c r="BS229" s="72">
        <v>0</v>
      </c>
      <c r="BT229" s="72">
        <v>0</v>
      </c>
      <c r="BU229" s="72">
        <v>0</v>
      </c>
      <c r="BV229" s="72">
        <v>0</v>
      </c>
      <c r="BW229" s="72">
        <v>0</v>
      </c>
      <c r="BX229" s="72">
        <v>0</v>
      </c>
      <c r="BY229" s="72">
        <v>0</v>
      </c>
      <c r="BZ229" s="72">
        <v>0</v>
      </c>
      <c r="CA229" s="72">
        <v>0</v>
      </c>
      <c r="CB229" s="72">
        <v>0</v>
      </c>
      <c r="CC229" s="72">
        <v>0</v>
      </c>
      <c r="CD229" s="72">
        <v>0</v>
      </c>
      <c r="CE229" s="72">
        <v>0</v>
      </c>
      <c r="CF229" s="72">
        <v>0</v>
      </c>
      <c r="CG229" s="72">
        <v>0</v>
      </c>
      <c r="CH229" s="72">
        <v>0</v>
      </c>
      <c r="CI229" s="72">
        <v>0</v>
      </c>
      <c r="CJ229" s="72">
        <v>0</v>
      </c>
      <c r="CK229" s="72">
        <v>0</v>
      </c>
      <c r="CL229" s="72">
        <v>0</v>
      </c>
      <c r="CM229" s="72">
        <v>0</v>
      </c>
      <c r="CN229" s="72">
        <v>0</v>
      </c>
      <c r="CO229" s="72">
        <v>0</v>
      </c>
      <c r="CP229" s="72">
        <v>0</v>
      </c>
      <c r="CQ229" s="72">
        <v>0</v>
      </c>
      <c r="CR229" s="72">
        <v>0</v>
      </c>
      <c r="CS229" s="72">
        <v>0</v>
      </c>
      <c r="CT229" s="72">
        <v>0</v>
      </c>
      <c r="CU229" s="72">
        <v>0</v>
      </c>
      <c r="CV229" s="72">
        <v>0</v>
      </c>
      <c r="CW229" s="72">
        <v>0</v>
      </c>
      <c r="CX229" s="72">
        <v>0</v>
      </c>
      <c r="CY229" s="72">
        <v>0</v>
      </c>
      <c r="CZ229" s="72">
        <v>0</v>
      </c>
      <c r="DA229" s="72">
        <v>0</v>
      </c>
      <c r="DB229" s="72">
        <v>0</v>
      </c>
      <c r="DC229" s="72">
        <v>0</v>
      </c>
      <c r="DD229" s="72">
        <v>0</v>
      </c>
      <c r="DE229" s="72">
        <v>0</v>
      </c>
      <c r="DF229" s="72">
        <v>0</v>
      </c>
      <c r="DG229" s="72">
        <v>0</v>
      </c>
      <c r="DH229" s="72">
        <v>0</v>
      </c>
      <c r="DI229" s="72">
        <v>0</v>
      </c>
      <c r="DJ229" s="72">
        <v>0</v>
      </c>
      <c r="DK229" s="72">
        <v>0</v>
      </c>
      <c r="DL229" s="72">
        <v>0</v>
      </c>
    </row>
    <row r="230" spans="1:116" x14ac:dyDescent="0.35">
      <c r="A230" s="7"/>
      <c r="B230" s="33" t="s">
        <v>434</v>
      </c>
      <c r="C230" s="91" t="s">
        <v>1293</v>
      </c>
      <c r="D230" s="34" t="s">
        <v>92</v>
      </c>
      <c r="E230" s="33" t="s">
        <v>1207</v>
      </c>
      <c r="F230" s="23">
        <v>1006</v>
      </c>
      <c r="G230" s="34" t="s">
        <v>92</v>
      </c>
      <c r="H230" s="34" t="s">
        <v>41</v>
      </c>
      <c r="I230" s="29">
        <v>63</v>
      </c>
      <c r="J230" s="23"/>
      <c r="K230" s="10" t="s">
        <v>42</v>
      </c>
      <c r="L230" s="14" t="s">
        <v>435</v>
      </c>
      <c r="M230" s="12">
        <v>8.75</v>
      </c>
      <c r="N230" s="12">
        <f t="shared" si="5"/>
        <v>227.5</v>
      </c>
      <c r="O230" s="29">
        <v>54</v>
      </c>
      <c r="P230" s="29">
        <v>30</v>
      </c>
      <c r="Q230" s="29">
        <v>26</v>
      </c>
      <c r="R230" s="29">
        <v>12</v>
      </c>
      <c r="S230" s="29">
        <v>12</v>
      </c>
      <c r="T230" s="29">
        <v>6</v>
      </c>
      <c r="U230" s="29">
        <v>4</v>
      </c>
      <c r="V230" s="29">
        <v>8</v>
      </c>
      <c r="W230" s="29">
        <v>8</v>
      </c>
      <c r="X230" s="29">
        <v>6</v>
      </c>
      <c r="Y230" s="29">
        <v>2</v>
      </c>
      <c r="Z230" s="29">
        <v>1</v>
      </c>
      <c r="AA230" s="29">
        <v>1</v>
      </c>
      <c r="AB230" s="29">
        <v>165</v>
      </c>
      <c r="AC230" s="29">
        <v>136</v>
      </c>
      <c r="AD230" s="29">
        <v>136</v>
      </c>
      <c r="AE230" s="29">
        <v>110</v>
      </c>
      <c r="AF230" s="29">
        <v>108</v>
      </c>
      <c r="AG230" s="29">
        <v>101</v>
      </c>
      <c r="AH230" s="29">
        <v>69</v>
      </c>
      <c r="AI230" s="29">
        <v>65</v>
      </c>
      <c r="AJ230" s="29">
        <v>63</v>
      </c>
      <c r="AK230" s="29">
        <v>66</v>
      </c>
      <c r="AL230" s="29">
        <v>65</v>
      </c>
      <c r="AM230" s="29">
        <v>69</v>
      </c>
      <c r="AN230" s="75">
        <v>69</v>
      </c>
      <c r="AO230" s="75">
        <v>65</v>
      </c>
      <c r="AP230" s="75">
        <v>65</v>
      </c>
      <c r="AQ230" s="75">
        <v>65</v>
      </c>
      <c r="AR230" s="75">
        <v>60</v>
      </c>
      <c r="AS230" s="75">
        <v>60</v>
      </c>
      <c r="AT230" s="75">
        <v>54</v>
      </c>
      <c r="AU230" s="75">
        <v>54</v>
      </c>
      <c r="AV230" s="75">
        <v>52</v>
      </c>
      <c r="AW230" s="75">
        <v>5</v>
      </c>
      <c r="AX230" s="75">
        <v>5</v>
      </c>
      <c r="AY230" s="75">
        <v>100</v>
      </c>
      <c r="AZ230" s="75">
        <v>96</v>
      </c>
      <c r="BA230" s="75">
        <v>88</v>
      </c>
      <c r="BB230" s="75">
        <v>32</v>
      </c>
      <c r="BC230" s="75">
        <v>32</v>
      </c>
      <c r="BD230" s="75">
        <v>44</v>
      </c>
      <c r="BE230" s="75">
        <v>44</v>
      </c>
      <c r="BF230" s="75">
        <v>240</v>
      </c>
      <c r="BG230" s="75">
        <v>100</v>
      </c>
      <c r="BH230" s="75">
        <v>94</v>
      </c>
      <c r="BI230" s="75">
        <v>94</v>
      </c>
      <c r="BJ230" s="75">
        <v>94</v>
      </c>
      <c r="BK230" s="75">
        <v>5</v>
      </c>
      <c r="BL230" s="75">
        <v>5</v>
      </c>
      <c r="BM230" s="75">
        <v>5</v>
      </c>
      <c r="BN230" s="75">
        <v>11</v>
      </c>
      <c r="BO230" s="75">
        <v>11</v>
      </c>
      <c r="BP230" s="75">
        <v>111</v>
      </c>
      <c r="BQ230" s="75">
        <v>67</v>
      </c>
      <c r="BR230" s="75">
        <v>67</v>
      </c>
      <c r="BS230" s="75">
        <v>39</v>
      </c>
      <c r="BT230" s="75">
        <v>31</v>
      </c>
      <c r="BU230" s="75">
        <v>38</v>
      </c>
      <c r="BV230" s="75">
        <v>37</v>
      </c>
      <c r="BW230" s="75">
        <v>37</v>
      </c>
      <c r="BX230" s="75">
        <v>37</v>
      </c>
      <c r="BY230" s="75">
        <v>37</v>
      </c>
      <c r="BZ230" s="75">
        <v>37</v>
      </c>
      <c r="CA230" s="75">
        <v>37</v>
      </c>
      <c r="CB230" s="75">
        <v>37</v>
      </c>
      <c r="CC230" s="75">
        <v>37</v>
      </c>
      <c r="CD230" s="75">
        <v>37</v>
      </c>
      <c r="CE230" s="75">
        <v>37</v>
      </c>
      <c r="CF230" s="75">
        <v>37</v>
      </c>
      <c r="CG230" s="75">
        <v>37</v>
      </c>
      <c r="CH230" s="75">
        <v>37</v>
      </c>
      <c r="CI230" s="75">
        <v>37</v>
      </c>
      <c r="CJ230" s="75">
        <v>37</v>
      </c>
      <c r="CK230" s="75">
        <v>37</v>
      </c>
      <c r="CL230" s="75">
        <v>37</v>
      </c>
      <c r="CM230" s="75">
        <v>37</v>
      </c>
      <c r="CN230" s="75">
        <v>37</v>
      </c>
      <c r="CO230" s="75">
        <v>37</v>
      </c>
      <c r="CP230" s="75">
        <v>37</v>
      </c>
      <c r="CQ230" s="75">
        <v>37</v>
      </c>
      <c r="CR230" s="75">
        <v>37</v>
      </c>
      <c r="CS230" s="75">
        <v>37</v>
      </c>
      <c r="CT230" s="75">
        <v>37</v>
      </c>
      <c r="CU230" s="75">
        <v>37</v>
      </c>
      <c r="CV230" s="75">
        <v>37</v>
      </c>
      <c r="CW230" s="75">
        <v>37</v>
      </c>
      <c r="CX230" s="75">
        <v>37</v>
      </c>
      <c r="CY230" s="75">
        <v>37</v>
      </c>
      <c r="CZ230" s="75">
        <v>33</v>
      </c>
      <c r="DA230" s="75">
        <v>33</v>
      </c>
      <c r="DB230" s="75">
        <v>32</v>
      </c>
      <c r="DC230" s="75">
        <v>28</v>
      </c>
      <c r="DD230" s="75">
        <v>32</v>
      </c>
      <c r="DE230" s="75">
        <v>32</v>
      </c>
      <c r="DF230" s="75">
        <v>32</v>
      </c>
      <c r="DG230" s="75">
        <v>32</v>
      </c>
      <c r="DH230" s="75">
        <v>32</v>
      </c>
      <c r="DI230" s="75">
        <v>32</v>
      </c>
      <c r="DJ230" s="75">
        <v>32</v>
      </c>
      <c r="DK230" s="75">
        <v>26</v>
      </c>
      <c r="DL230" s="75">
        <v>26</v>
      </c>
    </row>
    <row r="231" spans="1:116" x14ac:dyDescent="0.35">
      <c r="A231" s="7"/>
      <c r="B231" s="33" t="s">
        <v>436</v>
      </c>
      <c r="C231" s="91" t="s">
        <v>1293</v>
      </c>
      <c r="D231" s="28" t="s">
        <v>92</v>
      </c>
      <c r="E231" s="26" t="s">
        <v>1207</v>
      </c>
      <c r="F231" s="10">
        <v>1006</v>
      </c>
      <c r="G231" s="28" t="s">
        <v>92</v>
      </c>
      <c r="H231" s="34" t="s">
        <v>41</v>
      </c>
      <c r="I231" s="29">
        <v>1</v>
      </c>
      <c r="J231" s="23"/>
      <c r="K231" s="10"/>
      <c r="L231" s="8"/>
      <c r="M231" s="12">
        <v>15.625</v>
      </c>
      <c r="N231" s="12">
        <f t="shared" si="5"/>
        <v>156.25</v>
      </c>
      <c r="O231" s="29">
        <v>50</v>
      </c>
      <c r="P231" s="29">
        <v>50</v>
      </c>
      <c r="Q231" s="29">
        <v>50</v>
      </c>
      <c r="R231" s="29">
        <v>50</v>
      </c>
      <c r="S231" s="29">
        <v>50</v>
      </c>
      <c r="T231" s="29">
        <v>22</v>
      </c>
      <c r="U231" s="29">
        <v>22</v>
      </c>
      <c r="V231" s="29">
        <v>22</v>
      </c>
      <c r="W231" s="29">
        <v>22</v>
      </c>
      <c r="X231" s="29">
        <v>17</v>
      </c>
      <c r="Y231" s="29">
        <v>17</v>
      </c>
      <c r="Z231" s="29">
        <v>17</v>
      </c>
      <c r="AA231" s="29">
        <v>17</v>
      </c>
      <c r="AB231" s="29">
        <v>67</v>
      </c>
      <c r="AC231" s="29">
        <v>63</v>
      </c>
      <c r="AD231" s="29">
        <v>63</v>
      </c>
      <c r="AE231" s="29">
        <v>57</v>
      </c>
      <c r="AF231" s="29">
        <v>5</v>
      </c>
      <c r="AG231" s="29">
        <v>5</v>
      </c>
      <c r="AH231" s="29">
        <v>5</v>
      </c>
      <c r="AI231" s="29">
        <v>5</v>
      </c>
      <c r="AJ231" s="29">
        <v>1</v>
      </c>
      <c r="AK231" s="29">
        <v>1</v>
      </c>
      <c r="AL231" s="29">
        <v>0</v>
      </c>
      <c r="AM231" s="29">
        <v>0</v>
      </c>
      <c r="AN231" s="75">
        <v>0</v>
      </c>
      <c r="AO231" s="75">
        <v>0</v>
      </c>
      <c r="AP231" s="75">
        <v>0</v>
      </c>
      <c r="AQ231" s="75">
        <v>0</v>
      </c>
      <c r="AR231" s="75">
        <v>0</v>
      </c>
      <c r="AS231" s="75">
        <v>0</v>
      </c>
      <c r="AT231" s="75">
        <v>0</v>
      </c>
      <c r="AU231" s="75">
        <v>0</v>
      </c>
      <c r="AV231" s="75">
        <v>0</v>
      </c>
      <c r="AW231" s="75">
        <v>0</v>
      </c>
      <c r="AX231" s="75">
        <v>0</v>
      </c>
      <c r="AY231" s="75">
        <v>50</v>
      </c>
      <c r="AZ231" s="75">
        <v>42</v>
      </c>
      <c r="BA231" s="75">
        <v>42</v>
      </c>
      <c r="BB231" s="75">
        <v>42</v>
      </c>
      <c r="BC231" s="75">
        <v>42</v>
      </c>
      <c r="BD231" s="75">
        <v>42</v>
      </c>
      <c r="BE231" s="75">
        <v>42</v>
      </c>
      <c r="BF231" s="75">
        <v>42</v>
      </c>
      <c r="BG231" s="75">
        <v>42</v>
      </c>
      <c r="BH231" s="75">
        <v>42</v>
      </c>
      <c r="BI231" s="75">
        <v>42</v>
      </c>
      <c r="BJ231" s="75">
        <v>42</v>
      </c>
      <c r="BK231" s="75">
        <v>42</v>
      </c>
      <c r="BL231" s="75">
        <v>42</v>
      </c>
      <c r="BM231" s="75">
        <v>42</v>
      </c>
      <c r="BN231" s="75">
        <v>42</v>
      </c>
      <c r="BO231" s="75">
        <v>42</v>
      </c>
      <c r="BP231" s="75">
        <v>42</v>
      </c>
      <c r="BQ231" s="75">
        <v>42</v>
      </c>
      <c r="BR231" s="75">
        <v>12</v>
      </c>
      <c r="BS231" s="75">
        <v>12</v>
      </c>
      <c r="BT231" s="75">
        <v>12</v>
      </c>
      <c r="BU231" s="75">
        <v>10</v>
      </c>
      <c r="BV231" s="75">
        <v>10</v>
      </c>
      <c r="BW231" s="75">
        <v>10</v>
      </c>
      <c r="BX231" s="75">
        <v>10</v>
      </c>
      <c r="BY231" s="75">
        <v>10</v>
      </c>
      <c r="BZ231" s="75">
        <v>10</v>
      </c>
      <c r="CA231" s="75">
        <v>10</v>
      </c>
      <c r="CB231" s="75">
        <v>10</v>
      </c>
      <c r="CC231" s="75">
        <v>10</v>
      </c>
      <c r="CD231" s="75">
        <v>10</v>
      </c>
      <c r="CE231" s="75">
        <v>10</v>
      </c>
      <c r="CF231" s="75">
        <v>10</v>
      </c>
      <c r="CG231" s="75">
        <v>10</v>
      </c>
      <c r="CH231" s="75">
        <v>10</v>
      </c>
      <c r="CI231" s="75">
        <v>10</v>
      </c>
      <c r="CJ231" s="75">
        <v>10</v>
      </c>
      <c r="CK231" s="75">
        <v>10</v>
      </c>
      <c r="CL231" s="75">
        <v>10</v>
      </c>
      <c r="CM231" s="75">
        <v>10</v>
      </c>
      <c r="CN231" s="75">
        <v>10</v>
      </c>
      <c r="CO231" s="75">
        <v>10</v>
      </c>
      <c r="CP231" s="75">
        <v>10</v>
      </c>
      <c r="CQ231" s="75">
        <v>10</v>
      </c>
      <c r="CR231" s="75">
        <v>10</v>
      </c>
      <c r="CS231" s="75">
        <v>10</v>
      </c>
      <c r="CT231" s="75">
        <v>10</v>
      </c>
      <c r="CU231" s="75">
        <v>10</v>
      </c>
      <c r="CV231" s="75">
        <v>10</v>
      </c>
      <c r="CW231" s="75">
        <v>10</v>
      </c>
      <c r="CX231" s="75">
        <v>10</v>
      </c>
      <c r="CY231" s="75">
        <v>10</v>
      </c>
      <c r="CZ231" s="75">
        <v>10</v>
      </c>
      <c r="DA231" s="75">
        <v>10</v>
      </c>
      <c r="DB231" s="75">
        <v>10</v>
      </c>
      <c r="DC231" s="75">
        <v>10</v>
      </c>
      <c r="DD231" s="75">
        <v>10</v>
      </c>
      <c r="DE231" s="75">
        <v>10</v>
      </c>
      <c r="DF231" s="75">
        <v>10</v>
      </c>
      <c r="DG231" s="75">
        <v>10</v>
      </c>
      <c r="DH231" s="75">
        <v>10</v>
      </c>
      <c r="DI231" s="75">
        <v>10</v>
      </c>
      <c r="DJ231" s="75">
        <v>10</v>
      </c>
      <c r="DK231" s="75">
        <v>10</v>
      </c>
      <c r="DL231" s="75">
        <v>10</v>
      </c>
    </row>
    <row r="232" spans="1:116" x14ac:dyDescent="0.35">
      <c r="A232" s="7"/>
      <c r="B232" s="33" t="s">
        <v>437</v>
      </c>
      <c r="C232" s="91" t="s">
        <v>1294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110</v>
      </c>
      <c r="J232" s="23"/>
      <c r="K232" s="10" t="s">
        <v>42</v>
      </c>
      <c r="L232" s="8"/>
      <c r="M232" s="12">
        <v>15</v>
      </c>
      <c r="N232" s="12">
        <f t="shared" si="5"/>
        <v>315</v>
      </c>
      <c r="O232" s="29">
        <v>198</v>
      </c>
      <c r="P232" s="29">
        <v>198</v>
      </c>
      <c r="Q232" s="29">
        <v>198</v>
      </c>
      <c r="R232" s="29">
        <v>172</v>
      </c>
      <c r="S232" s="29">
        <v>176</v>
      </c>
      <c r="T232" s="29">
        <v>162</v>
      </c>
      <c r="U232" s="29">
        <v>162</v>
      </c>
      <c r="V232" s="29">
        <v>162</v>
      </c>
      <c r="W232" s="29">
        <v>162</v>
      </c>
      <c r="X232" s="29">
        <v>162</v>
      </c>
      <c r="Y232" s="29">
        <v>152</v>
      </c>
      <c r="Z232" s="29">
        <v>152</v>
      </c>
      <c r="AA232" s="29">
        <v>152</v>
      </c>
      <c r="AB232" s="29">
        <v>152</v>
      </c>
      <c r="AC232" s="29">
        <v>152</v>
      </c>
      <c r="AD232" s="29">
        <v>152</v>
      </c>
      <c r="AE232" s="29">
        <v>152</v>
      </c>
      <c r="AF232" s="29">
        <v>108</v>
      </c>
      <c r="AG232" s="29">
        <v>108</v>
      </c>
      <c r="AH232" s="29">
        <v>108</v>
      </c>
      <c r="AI232" s="29">
        <v>110</v>
      </c>
      <c r="AJ232" s="29">
        <v>110</v>
      </c>
      <c r="AK232" s="29">
        <v>110</v>
      </c>
      <c r="AL232" s="29">
        <v>110</v>
      </c>
      <c r="AM232" s="29">
        <v>110</v>
      </c>
      <c r="AN232" s="75">
        <v>98</v>
      </c>
      <c r="AO232" s="75">
        <v>98</v>
      </c>
      <c r="AP232" s="75">
        <v>98</v>
      </c>
      <c r="AQ232" s="75">
        <v>98</v>
      </c>
      <c r="AR232" s="75">
        <v>98</v>
      </c>
      <c r="AS232" s="75">
        <v>98</v>
      </c>
      <c r="AT232" s="75">
        <v>98</v>
      </c>
      <c r="AU232" s="75">
        <v>78</v>
      </c>
      <c r="AV232" s="75">
        <v>78</v>
      </c>
      <c r="AW232" s="75">
        <v>68</v>
      </c>
      <c r="AX232" s="75">
        <v>68</v>
      </c>
      <c r="AY232" s="75">
        <v>68</v>
      </c>
      <c r="AZ232" s="75">
        <v>68</v>
      </c>
      <c r="BA232" s="75">
        <v>68</v>
      </c>
      <c r="BB232" s="75">
        <v>64</v>
      </c>
      <c r="BC232" s="75">
        <v>64</v>
      </c>
      <c r="BD232" s="75">
        <v>64</v>
      </c>
      <c r="BE232" s="75">
        <v>64</v>
      </c>
      <c r="BF232" s="75">
        <v>114</v>
      </c>
      <c r="BG232" s="75">
        <v>114</v>
      </c>
      <c r="BH232" s="75">
        <v>114</v>
      </c>
      <c r="BI232" s="75">
        <v>114</v>
      </c>
      <c r="BJ232" s="75">
        <v>114</v>
      </c>
      <c r="BK232" s="75">
        <v>50</v>
      </c>
      <c r="BL232" s="75">
        <v>50</v>
      </c>
      <c r="BM232" s="75">
        <v>50</v>
      </c>
      <c r="BN232" s="75">
        <v>14</v>
      </c>
      <c r="BO232" s="75">
        <v>1</v>
      </c>
      <c r="BP232" s="75">
        <v>1</v>
      </c>
      <c r="BQ232" s="75">
        <v>179</v>
      </c>
      <c r="BR232" s="75">
        <v>175</v>
      </c>
      <c r="BS232" s="75">
        <v>175</v>
      </c>
      <c r="BT232" s="75">
        <v>143</v>
      </c>
      <c r="BU232" s="75">
        <v>148</v>
      </c>
      <c r="BV232" s="75">
        <v>144</v>
      </c>
      <c r="BW232" s="75">
        <v>144</v>
      </c>
      <c r="BX232" s="75">
        <v>144</v>
      </c>
      <c r="BY232" s="75">
        <v>144</v>
      </c>
      <c r="BZ232" s="75">
        <v>144</v>
      </c>
      <c r="CA232" s="75">
        <v>142</v>
      </c>
      <c r="CB232" s="75">
        <v>142</v>
      </c>
      <c r="CC232" s="75">
        <v>142</v>
      </c>
      <c r="CD232" s="75">
        <v>142</v>
      </c>
      <c r="CE232" s="75">
        <v>142</v>
      </c>
      <c r="CF232" s="75">
        <v>142</v>
      </c>
      <c r="CG232" s="75">
        <v>92</v>
      </c>
      <c r="CH232" s="75">
        <v>92</v>
      </c>
      <c r="CI232" s="75">
        <v>85</v>
      </c>
      <c r="CJ232" s="75">
        <v>85</v>
      </c>
      <c r="CK232" s="75">
        <v>85</v>
      </c>
      <c r="CL232" s="75">
        <v>85</v>
      </c>
      <c r="CM232" s="75">
        <v>85</v>
      </c>
      <c r="CN232" s="75">
        <v>85</v>
      </c>
      <c r="CO232" s="75">
        <v>77</v>
      </c>
      <c r="CP232" s="75">
        <v>77</v>
      </c>
      <c r="CQ232" s="75">
        <v>77</v>
      </c>
      <c r="CR232" s="75">
        <v>77</v>
      </c>
      <c r="CS232" s="75">
        <v>77</v>
      </c>
      <c r="CT232" s="75">
        <v>77</v>
      </c>
      <c r="CU232" s="75">
        <v>77</v>
      </c>
      <c r="CV232" s="75">
        <v>65</v>
      </c>
      <c r="CW232" s="75">
        <v>65</v>
      </c>
      <c r="CX232" s="75">
        <v>55</v>
      </c>
      <c r="CY232" s="75">
        <v>35</v>
      </c>
      <c r="CZ232" s="75">
        <v>35</v>
      </c>
      <c r="DA232" s="75">
        <v>35</v>
      </c>
      <c r="DB232" s="75">
        <v>35</v>
      </c>
      <c r="DC232" s="75">
        <v>31</v>
      </c>
      <c r="DD232" s="75">
        <v>35</v>
      </c>
      <c r="DE232" s="75">
        <v>35</v>
      </c>
      <c r="DF232" s="75">
        <v>35</v>
      </c>
      <c r="DG232" s="75">
        <v>35</v>
      </c>
      <c r="DH232" s="75">
        <v>31</v>
      </c>
      <c r="DI232" s="75">
        <v>31</v>
      </c>
      <c r="DJ232" s="75">
        <v>31</v>
      </c>
      <c r="DK232" s="75">
        <v>21</v>
      </c>
      <c r="DL232" s="75">
        <v>21</v>
      </c>
    </row>
    <row r="233" spans="1:116" x14ac:dyDescent="0.35">
      <c r="A233" s="7"/>
      <c r="B233" s="79" t="s">
        <v>1281</v>
      </c>
      <c r="C233" s="32" t="s">
        <v>1294</v>
      </c>
      <c r="D233" s="10" t="s">
        <v>92</v>
      </c>
      <c r="E233" s="8" t="s">
        <v>1207</v>
      </c>
      <c r="F233" s="10"/>
      <c r="G233" s="23"/>
      <c r="H233" s="23" t="s">
        <v>41</v>
      </c>
      <c r="I233" s="11"/>
      <c r="J233" s="23"/>
      <c r="K233" s="10"/>
      <c r="L233" s="8"/>
      <c r="M233" s="12"/>
      <c r="N233" s="12">
        <f t="shared" si="5"/>
        <v>0</v>
      </c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30</v>
      </c>
      <c r="BF233" s="72">
        <v>30</v>
      </c>
      <c r="BG233" s="72">
        <v>30</v>
      </c>
      <c r="BH233" s="72">
        <v>30</v>
      </c>
      <c r="BI233" s="72">
        <v>30</v>
      </c>
      <c r="BJ233" s="72">
        <v>30</v>
      </c>
      <c r="BK233" s="72">
        <v>30</v>
      </c>
      <c r="BL233" s="72">
        <v>30</v>
      </c>
      <c r="BM233" s="72">
        <v>2</v>
      </c>
      <c r="BN233" s="72">
        <v>2</v>
      </c>
      <c r="BO233" s="72">
        <v>2</v>
      </c>
      <c r="BP233" s="72">
        <v>2</v>
      </c>
      <c r="BQ233" s="72">
        <v>0</v>
      </c>
      <c r="BR233" s="72">
        <v>0</v>
      </c>
      <c r="BS233" s="72">
        <v>0</v>
      </c>
      <c r="BT233" s="72">
        <v>0</v>
      </c>
      <c r="BU233" s="72">
        <v>0</v>
      </c>
      <c r="BV233" s="72">
        <v>0</v>
      </c>
      <c r="BW233" s="72">
        <v>0</v>
      </c>
      <c r="BX233" s="72">
        <v>0</v>
      </c>
      <c r="BY233" s="72">
        <v>0</v>
      </c>
      <c r="BZ233" s="72">
        <v>0</v>
      </c>
      <c r="CA233" s="72">
        <v>0</v>
      </c>
      <c r="CB233" s="72">
        <v>0</v>
      </c>
      <c r="CC233" s="72">
        <v>0</v>
      </c>
      <c r="CD233" s="72">
        <v>0</v>
      </c>
      <c r="CE233" s="72">
        <v>0</v>
      </c>
      <c r="CF233" s="72">
        <v>0</v>
      </c>
      <c r="CG233" s="72">
        <v>0</v>
      </c>
      <c r="CH233" s="72">
        <v>0</v>
      </c>
      <c r="CI233" s="72">
        <v>0</v>
      </c>
      <c r="CJ233" s="72">
        <v>0</v>
      </c>
      <c r="CK233" s="72">
        <v>0</v>
      </c>
      <c r="CL233" s="72">
        <v>0</v>
      </c>
      <c r="CM233" s="72">
        <v>0</v>
      </c>
      <c r="CN233" s="72">
        <v>0</v>
      </c>
      <c r="CO233" s="72">
        <v>0</v>
      </c>
      <c r="CP233" s="72">
        <v>0</v>
      </c>
      <c r="CQ233" s="72">
        <v>0</v>
      </c>
      <c r="CR233" s="72">
        <v>0</v>
      </c>
      <c r="CS233" s="72">
        <v>0</v>
      </c>
      <c r="CT233" s="72">
        <v>0</v>
      </c>
      <c r="CU233" s="72">
        <v>0</v>
      </c>
      <c r="CV233" s="72">
        <v>0</v>
      </c>
      <c r="CW233" s="72">
        <v>0</v>
      </c>
      <c r="CX233" s="72">
        <v>0</v>
      </c>
      <c r="CY233" s="72">
        <v>0</v>
      </c>
      <c r="CZ233" s="72">
        <v>0</v>
      </c>
      <c r="DA233" s="72">
        <v>0</v>
      </c>
      <c r="DB233" s="72">
        <v>0</v>
      </c>
      <c r="DC233" s="72">
        <v>0</v>
      </c>
      <c r="DD233" s="72">
        <v>0</v>
      </c>
      <c r="DE233" s="72">
        <v>0</v>
      </c>
      <c r="DF233" s="72">
        <v>0</v>
      </c>
      <c r="DG233" s="72">
        <v>0</v>
      </c>
      <c r="DH233" s="72">
        <v>0</v>
      </c>
      <c r="DI233" s="72">
        <v>0</v>
      </c>
      <c r="DJ233" s="72">
        <v>0</v>
      </c>
      <c r="DK233" s="72">
        <v>0</v>
      </c>
      <c r="DL233" s="72">
        <v>0</v>
      </c>
    </row>
    <row r="234" spans="1:116" x14ac:dyDescent="0.35">
      <c r="A234" s="7"/>
      <c r="B234" s="21" t="s">
        <v>438</v>
      </c>
      <c r="C234" s="32" t="s">
        <v>1295</v>
      </c>
      <c r="D234" s="10" t="s">
        <v>92</v>
      </c>
      <c r="E234" s="8" t="s">
        <v>1207</v>
      </c>
      <c r="F234" s="10">
        <v>1006</v>
      </c>
      <c r="G234" s="23" t="s">
        <v>92</v>
      </c>
      <c r="H234" s="23" t="s">
        <v>41</v>
      </c>
      <c r="I234" s="11">
        <v>50</v>
      </c>
      <c r="J234" s="23"/>
      <c r="K234" s="10"/>
      <c r="L234" s="8"/>
      <c r="M234" s="12">
        <v>30</v>
      </c>
      <c r="N234" s="12">
        <f t="shared" si="5"/>
        <v>1470</v>
      </c>
      <c r="O234" s="11">
        <v>50</v>
      </c>
      <c r="P234" s="11">
        <v>50</v>
      </c>
      <c r="Q234" s="11">
        <v>50</v>
      </c>
      <c r="R234" s="11">
        <v>50</v>
      </c>
      <c r="S234" s="11">
        <v>50</v>
      </c>
      <c r="T234" s="11">
        <v>50</v>
      </c>
      <c r="U234" s="11">
        <v>50</v>
      </c>
      <c r="V234" s="11">
        <v>50</v>
      </c>
      <c r="W234" s="11">
        <v>50</v>
      </c>
      <c r="X234" s="11">
        <v>50</v>
      </c>
      <c r="Y234" s="11">
        <v>50</v>
      </c>
      <c r="Z234" s="11">
        <v>50</v>
      </c>
      <c r="AA234" s="11">
        <v>50</v>
      </c>
      <c r="AB234" s="11">
        <v>50</v>
      </c>
      <c r="AC234" s="11">
        <v>50</v>
      </c>
      <c r="AD234" s="11">
        <v>50</v>
      </c>
      <c r="AE234" s="11">
        <v>50</v>
      </c>
      <c r="AF234" s="11">
        <v>50</v>
      </c>
      <c r="AG234" s="11">
        <v>50</v>
      </c>
      <c r="AH234" s="11">
        <v>50</v>
      </c>
      <c r="AI234" s="11">
        <v>50</v>
      </c>
      <c r="AJ234" s="11">
        <v>50</v>
      </c>
      <c r="AK234" s="11">
        <v>50</v>
      </c>
      <c r="AL234" s="11">
        <v>50</v>
      </c>
      <c r="AM234" s="11">
        <v>50</v>
      </c>
      <c r="AN234" s="72">
        <v>50</v>
      </c>
      <c r="AO234" s="72">
        <v>50</v>
      </c>
      <c r="AP234" s="72">
        <v>50</v>
      </c>
      <c r="AQ234" s="72">
        <v>50</v>
      </c>
      <c r="AR234" s="72">
        <v>50</v>
      </c>
      <c r="AS234" s="72">
        <v>50</v>
      </c>
      <c r="AT234" s="72">
        <v>50</v>
      </c>
      <c r="AU234" s="72">
        <v>50</v>
      </c>
      <c r="AV234" s="72">
        <v>50</v>
      </c>
      <c r="AW234" s="72">
        <v>50</v>
      </c>
      <c r="AX234" s="72">
        <v>50</v>
      </c>
      <c r="AY234" s="72">
        <v>50</v>
      </c>
      <c r="AZ234" s="72">
        <v>50</v>
      </c>
      <c r="BA234" s="72">
        <v>50</v>
      </c>
      <c r="BB234" s="72">
        <v>50</v>
      </c>
      <c r="BC234" s="72">
        <v>50</v>
      </c>
      <c r="BD234" s="72">
        <v>50</v>
      </c>
      <c r="BE234" s="72">
        <v>50</v>
      </c>
      <c r="BF234" s="72">
        <v>50</v>
      </c>
      <c r="BG234" s="72">
        <v>50</v>
      </c>
      <c r="BH234" s="72">
        <v>50</v>
      </c>
      <c r="BI234" s="72">
        <v>50</v>
      </c>
      <c r="BJ234" s="72">
        <v>50</v>
      </c>
      <c r="BK234" s="72">
        <v>50</v>
      </c>
      <c r="BL234" s="72">
        <v>50</v>
      </c>
      <c r="BM234" s="72">
        <v>50</v>
      </c>
      <c r="BN234" s="72">
        <v>50</v>
      </c>
      <c r="BO234" s="72">
        <v>50</v>
      </c>
      <c r="BP234" s="72">
        <v>50</v>
      </c>
      <c r="BQ234" s="72">
        <v>50</v>
      </c>
      <c r="BR234" s="72">
        <v>50</v>
      </c>
      <c r="BS234" s="72">
        <v>50</v>
      </c>
      <c r="BT234" s="72">
        <v>50</v>
      </c>
      <c r="BU234" s="72">
        <v>50</v>
      </c>
      <c r="BV234" s="72">
        <v>50</v>
      </c>
      <c r="BW234" s="72">
        <v>50</v>
      </c>
      <c r="BX234" s="72">
        <v>50</v>
      </c>
      <c r="BY234" s="72">
        <v>50</v>
      </c>
      <c r="BZ234" s="72">
        <v>50</v>
      </c>
      <c r="CA234" s="72">
        <v>50</v>
      </c>
      <c r="CB234" s="72">
        <v>50</v>
      </c>
      <c r="CC234" s="72">
        <v>50</v>
      </c>
      <c r="CD234" s="72">
        <v>50</v>
      </c>
      <c r="CE234" s="72">
        <v>50</v>
      </c>
      <c r="CF234" s="72">
        <v>50</v>
      </c>
      <c r="CG234" s="72">
        <v>50</v>
      </c>
      <c r="CH234" s="72">
        <v>50</v>
      </c>
      <c r="CI234" s="72">
        <v>50</v>
      </c>
      <c r="CJ234" s="72">
        <v>50</v>
      </c>
      <c r="CK234" s="72">
        <v>50</v>
      </c>
      <c r="CL234" s="72">
        <v>50</v>
      </c>
      <c r="CM234" s="72">
        <v>50</v>
      </c>
      <c r="CN234" s="72">
        <v>50</v>
      </c>
      <c r="CO234" s="72">
        <v>50</v>
      </c>
      <c r="CP234" s="72">
        <v>50</v>
      </c>
      <c r="CQ234" s="72">
        <v>50</v>
      </c>
      <c r="CR234" s="72">
        <v>50</v>
      </c>
      <c r="CS234" s="72">
        <v>50</v>
      </c>
      <c r="CT234" s="72">
        <v>50</v>
      </c>
      <c r="CU234" s="72">
        <v>50</v>
      </c>
      <c r="CV234" s="72">
        <v>50</v>
      </c>
      <c r="CW234" s="72">
        <v>50</v>
      </c>
      <c r="CX234" s="72">
        <v>50</v>
      </c>
      <c r="CY234" s="72">
        <v>50</v>
      </c>
      <c r="CZ234" s="72">
        <v>50</v>
      </c>
      <c r="DA234" s="72">
        <v>50</v>
      </c>
      <c r="DB234" s="72">
        <v>50</v>
      </c>
      <c r="DC234" s="72">
        <v>50</v>
      </c>
      <c r="DD234" s="72">
        <v>49</v>
      </c>
      <c r="DE234" s="72">
        <v>49</v>
      </c>
      <c r="DF234" s="72">
        <v>49</v>
      </c>
      <c r="DG234" s="72">
        <v>49</v>
      </c>
      <c r="DH234" s="72">
        <v>49</v>
      </c>
      <c r="DI234" s="72">
        <v>49</v>
      </c>
      <c r="DJ234" s="72">
        <v>49</v>
      </c>
      <c r="DK234" s="72">
        <v>49</v>
      </c>
      <c r="DL234" s="72">
        <v>49</v>
      </c>
    </row>
    <row r="235" spans="1:116" x14ac:dyDescent="0.35">
      <c r="A235" s="7"/>
      <c r="B235" s="8" t="s">
        <v>439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21</v>
      </c>
      <c r="J235" s="10"/>
      <c r="K235" s="10" t="s">
        <v>42</v>
      </c>
      <c r="L235" s="8"/>
      <c r="M235" s="12">
        <v>23.75</v>
      </c>
      <c r="N235" s="12">
        <f t="shared" si="5"/>
        <v>498.75</v>
      </c>
      <c r="O235" s="11">
        <v>21</v>
      </c>
      <c r="P235" s="11">
        <v>21</v>
      </c>
      <c r="Q235" s="11">
        <v>21</v>
      </c>
      <c r="R235" s="11">
        <v>21</v>
      </c>
      <c r="S235" s="11">
        <v>21</v>
      </c>
      <c r="T235" s="11">
        <v>21</v>
      </c>
      <c r="U235" s="11">
        <v>21</v>
      </c>
      <c r="V235" s="11">
        <v>21</v>
      </c>
      <c r="W235" s="11">
        <v>21</v>
      </c>
      <c r="X235" s="11">
        <v>21</v>
      </c>
      <c r="Y235" s="11">
        <v>21</v>
      </c>
      <c r="Z235" s="11">
        <v>21</v>
      </c>
      <c r="AA235" s="11">
        <v>21</v>
      </c>
      <c r="AB235" s="11">
        <v>21</v>
      </c>
      <c r="AC235" s="11">
        <v>21</v>
      </c>
      <c r="AD235" s="11">
        <v>21</v>
      </c>
      <c r="AE235" s="11">
        <v>21</v>
      </c>
      <c r="AF235" s="11">
        <v>21</v>
      </c>
      <c r="AG235" s="11">
        <v>21</v>
      </c>
      <c r="AH235" s="11">
        <v>21</v>
      </c>
      <c r="AI235" s="11">
        <v>21</v>
      </c>
      <c r="AJ235" s="11">
        <v>21</v>
      </c>
      <c r="AK235" s="11">
        <v>21</v>
      </c>
      <c r="AL235" s="11">
        <v>21</v>
      </c>
      <c r="AM235" s="11">
        <v>21</v>
      </c>
      <c r="AN235" s="72">
        <v>21</v>
      </c>
      <c r="AO235" s="72">
        <v>21</v>
      </c>
      <c r="AP235" s="72">
        <v>21</v>
      </c>
      <c r="AQ235" s="72">
        <v>21</v>
      </c>
      <c r="AR235" s="72">
        <v>21</v>
      </c>
      <c r="AS235" s="72">
        <v>21</v>
      </c>
      <c r="AT235" s="72">
        <v>21</v>
      </c>
      <c r="AU235" s="72">
        <v>21</v>
      </c>
      <c r="AV235" s="72">
        <v>21</v>
      </c>
      <c r="AW235" s="72">
        <v>21</v>
      </c>
      <c r="AX235" s="72">
        <v>21</v>
      </c>
      <c r="AY235" s="72">
        <v>21</v>
      </c>
      <c r="AZ235" s="72">
        <v>21</v>
      </c>
      <c r="BA235" s="72">
        <v>21</v>
      </c>
      <c r="BB235" s="72">
        <v>21</v>
      </c>
      <c r="BC235" s="72">
        <v>21</v>
      </c>
      <c r="BD235" s="72">
        <v>21</v>
      </c>
      <c r="BE235" s="72">
        <v>21</v>
      </c>
      <c r="BF235" s="72">
        <v>21</v>
      </c>
      <c r="BG235" s="72">
        <v>21</v>
      </c>
      <c r="BH235" s="72">
        <v>21</v>
      </c>
      <c r="BI235" s="72">
        <v>21</v>
      </c>
      <c r="BJ235" s="72">
        <v>21</v>
      </c>
      <c r="BK235" s="72">
        <v>21</v>
      </c>
      <c r="BL235" s="72">
        <v>21</v>
      </c>
      <c r="BM235" s="72">
        <v>21</v>
      </c>
      <c r="BN235" s="72">
        <v>21</v>
      </c>
      <c r="BO235" s="72">
        <v>21</v>
      </c>
      <c r="BP235" s="72">
        <v>21</v>
      </c>
      <c r="BQ235" s="72">
        <v>21</v>
      </c>
      <c r="BR235" s="72">
        <v>21</v>
      </c>
      <c r="BS235" s="72">
        <v>21</v>
      </c>
      <c r="BT235" s="72">
        <v>21</v>
      </c>
      <c r="BU235" s="72">
        <v>21</v>
      </c>
      <c r="BV235" s="72">
        <v>21</v>
      </c>
      <c r="BW235" s="72">
        <v>21</v>
      </c>
      <c r="BX235" s="72">
        <v>21</v>
      </c>
      <c r="BY235" s="72">
        <v>21</v>
      </c>
      <c r="BZ235" s="72">
        <v>21</v>
      </c>
      <c r="CA235" s="72">
        <v>21</v>
      </c>
      <c r="CB235" s="72">
        <v>21</v>
      </c>
      <c r="CC235" s="72">
        <v>21</v>
      </c>
      <c r="CD235" s="72">
        <v>21</v>
      </c>
      <c r="CE235" s="72">
        <v>21</v>
      </c>
      <c r="CF235" s="72">
        <v>21</v>
      </c>
      <c r="CG235" s="72">
        <v>21</v>
      </c>
      <c r="CH235" s="72">
        <v>21</v>
      </c>
      <c r="CI235" s="72">
        <v>21</v>
      </c>
      <c r="CJ235" s="72">
        <v>21</v>
      </c>
      <c r="CK235" s="72">
        <v>21</v>
      </c>
      <c r="CL235" s="72">
        <v>21</v>
      </c>
      <c r="CM235" s="72">
        <v>21</v>
      </c>
      <c r="CN235" s="72">
        <v>21</v>
      </c>
      <c r="CO235" s="72">
        <v>21</v>
      </c>
      <c r="CP235" s="72">
        <v>21</v>
      </c>
      <c r="CQ235" s="72">
        <v>21</v>
      </c>
      <c r="CR235" s="72">
        <v>21</v>
      </c>
      <c r="CS235" s="72">
        <v>21</v>
      </c>
      <c r="CT235" s="72">
        <v>21</v>
      </c>
      <c r="CU235" s="72">
        <v>21</v>
      </c>
      <c r="CV235" s="72">
        <v>21</v>
      </c>
      <c r="CW235" s="72">
        <v>21</v>
      </c>
      <c r="CX235" s="72">
        <v>21</v>
      </c>
      <c r="CY235" s="72">
        <v>21</v>
      </c>
      <c r="CZ235" s="72">
        <v>21</v>
      </c>
      <c r="DA235" s="72">
        <v>21</v>
      </c>
      <c r="DB235" s="72">
        <v>21</v>
      </c>
      <c r="DC235" s="72">
        <v>21</v>
      </c>
      <c r="DD235" s="72">
        <v>21</v>
      </c>
      <c r="DE235" s="72">
        <v>21</v>
      </c>
      <c r="DF235" s="72">
        <v>21</v>
      </c>
      <c r="DG235" s="72">
        <v>21</v>
      </c>
      <c r="DH235" s="72">
        <v>21</v>
      </c>
      <c r="DI235" s="72">
        <v>21</v>
      </c>
      <c r="DJ235" s="72">
        <v>21</v>
      </c>
      <c r="DK235" s="72">
        <v>21</v>
      </c>
      <c r="DL235" s="72">
        <v>21</v>
      </c>
    </row>
    <row r="236" spans="1:116" x14ac:dyDescent="0.35">
      <c r="A236" s="7"/>
      <c r="B236" s="8" t="s">
        <v>441</v>
      </c>
      <c r="C236" s="9" t="s">
        <v>440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4</v>
      </c>
      <c r="J236" s="10"/>
      <c r="K236" s="10"/>
      <c r="L236" s="8"/>
      <c r="M236" s="12">
        <v>43.75</v>
      </c>
      <c r="N236" s="12">
        <f t="shared" si="5"/>
        <v>175</v>
      </c>
      <c r="O236" s="11">
        <v>4</v>
      </c>
      <c r="P236" s="11">
        <v>4</v>
      </c>
      <c r="Q236" s="11">
        <v>4</v>
      </c>
      <c r="R236" s="11">
        <v>4</v>
      </c>
      <c r="S236" s="11">
        <v>4</v>
      </c>
      <c r="T236" s="11">
        <v>4</v>
      </c>
      <c r="U236" s="11">
        <v>4</v>
      </c>
      <c r="V236" s="11">
        <v>4</v>
      </c>
      <c r="W236" s="11">
        <v>4</v>
      </c>
      <c r="X236" s="11">
        <v>4</v>
      </c>
      <c r="Y236" s="11">
        <v>4</v>
      </c>
      <c r="Z236" s="11">
        <v>4</v>
      </c>
      <c r="AA236" s="11">
        <v>4</v>
      </c>
      <c r="AB236" s="11">
        <v>4</v>
      </c>
      <c r="AC236" s="11">
        <v>4</v>
      </c>
      <c r="AD236" s="11">
        <v>4</v>
      </c>
      <c r="AE236" s="11">
        <v>4</v>
      </c>
      <c r="AF236" s="11">
        <v>4</v>
      </c>
      <c r="AG236" s="11">
        <v>4</v>
      </c>
      <c r="AH236" s="11">
        <v>4</v>
      </c>
      <c r="AI236" s="11">
        <v>4</v>
      </c>
      <c r="AJ236" s="11">
        <v>4</v>
      </c>
      <c r="AK236" s="11">
        <v>4</v>
      </c>
      <c r="AL236" s="11">
        <v>4</v>
      </c>
      <c r="AM236" s="11">
        <v>4</v>
      </c>
      <c r="AN236" s="72">
        <v>4</v>
      </c>
      <c r="AO236" s="72">
        <v>4</v>
      </c>
      <c r="AP236" s="72">
        <v>4</v>
      </c>
      <c r="AQ236" s="72">
        <v>4</v>
      </c>
      <c r="AR236" s="72">
        <v>4</v>
      </c>
      <c r="AS236" s="72">
        <v>4</v>
      </c>
      <c r="AT236" s="72">
        <v>4</v>
      </c>
      <c r="AU236" s="72">
        <v>4</v>
      </c>
      <c r="AV236" s="72">
        <v>4</v>
      </c>
      <c r="AW236" s="72">
        <v>4</v>
      </c>
      <c r="AX236" s="72">
        <v>4</v>
      </c>
      <c r="AY236" s="72">
        <v>4</v>
      </c>
      <c r="AZ236" s="72">
        <v>4</v>
      </c>
      <c r="BA236" s="72">
        <v>4</v>
      </c>
      <c r="BB236" s="72">
        <v>4</v>
      </c>
      <c r="BC236" s="72">
        <v>4</v>
      </c>
      <c r="BD236" s="72">
        <v>4</v>
      </c>
      <c r="BE236" s="72">
        <v>4</v>
      </c>
      <c r="BF236" s="72">
        <v>4</v>
      </c>
      <c r="BG236" s="72">
        <v>4</v>
      </c>
      <c r="BH236" s="72">
        <v>4</v>
      </c>
      <c r="BI236" s="72">
        <v>4</v>
      </c>
      <c r="BJ236" s="72">
        <v>4</v>
      </c>
      <c r="BK236" s="72">
        <v>4</v>
      </c>
      <c r="BL236" s="72">
        <v>4</v>
      </c>
      <c r="BM236" s="72">
        <v>4</v>
      </c>
      <c r="BN236" s="72">
        <v>4</v>
      </c>
      <c r="BO236" s="72">
        <v>4</v>
      </c>
      <c r="BP236" s="72">
        <v>4</v>
      </c>
      <c r="BQ236" s="72">
        <v>4</v>
      </c>
      <c r="BR236" s="72">
        <v>4</v>
      </c>
      <c r="BS236" s="72">
        <v>4</v>
      </c>
      <c r="BT236" s="72">
        <v>4</v>
      </c>
      <c r="BU236" s="72">
        <v>4</v>
      </c>
      <c r="BV236" s="72">
        <v>4</v>
      </c>
      <c r="BW236" s="72">
        <v>4</v>
      </c>
      <c r="BX236" s="72">
        <v>4</v>
      </c>
      <c r="BY236" s="72">
        <v>4</v>
      </c>
      <c r="BZ236" s="72">
        <v>4</v>
      </c>
      <c r="CA236" s="72">
        <v>4</v>
      </c>
      <c r="CB236" s="72">
        <v>4</v>
      </c>
      <c r="CC236" s="72">
        <v>4</v>
      </c>
      <c r="CD236" s="72">
        <v>4</v>
      </c>
      <c r="CE236" s="72">
        <v>4</v>
      </c>
      <c r="CF236" s="72">
        <v>4</v>
      </c>
      <c r="CG236" s="72">
        <v>4</v>
      </c>
      <c r="CH236" s="72">
        <v>4</v>
      </c>
      <c r="CI236" s="72">
        <v>4</v>
      </c>
      <c r="CJ236" s="72">
        <v>4</v>
      </c>
      <c r="CK236" s="72">
        <v>4</v>
      </c>
      <c r="CL236" s="72">
        <v>4</v>
      </c>
      <c r="CM236" s="72">
        <v>4</v>
      </c>
      <c r="CN236" s="72">
        <v>4</v>
      </c>
      <c r="CO236" s="72">
        <v>4</v>
      </c>
      <c r="CP236" s="72">
        <v>4</v>
      </c>
      <c r="CQ236" s="72">
        <v>4</v>
      </c>
      <c r="CR236" s="72">
        <v>4</v>
      </c>
      <c r="CS236" s="72">
        <v>4</v>
      </c>
      <c r="CT236" s="72">
        <v>4</v>
      </c>
      <c r="CU236" s="72">
        <v>4</v>
      </c>
      <c r="CV236" s="72">
        <v>4</v>
      </c>
      <c r="CW236" s="72">
        <v>4</v>
      </c>
      <c r="CX236" s="72">
        <v>64</v>
      </c>
      <c r="CY236" s="72">
        <v>4</v>
      </c>
      <c r="CZ236" s="72">
        <v>4</v>
      </c>
      <c r="DA236" s="72">
        <v>4</v>
      </c>
      <c r="DB236" s="72">
        <v>4</v>
      </c>
      <c r="DC236" s="72">
        <v>4</v>
      </c>
      <c r="DD236" s="72">
        <v>4</v>
      </c>
      <c r="DE236" s="72">
        <v>4</v>
      </c>
      <c r="DF236" s="72">
        <v>4</v>
      </c>
      <c r="DG236" s="72">
        <v>4</v>
      </c>
      <c r="DH236" s="72">
        <v>4</v>
      </c>
      <c r="DI236" s="72">
        <v>4</v>
      </c>
      <c r="DJ236" s="72">
        <v>4</v>
      </c>
      <c r="DK236" s="72">
        <v>4</v>
      </c>
      <c r="DL236" s="72">
        <v>4</v>
      </c>
    </row>
    <row r="237" spans="1:116" x14ac:dyDescent="0.35">
      <c r="A237" s="7"/>
      <c r="B237" s="8" t="s">
        <v>442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30</v>
      </c>
      <c r="J237" s="10"/>
      <c r="K237" s="10" t="s">
        <v>42</v>
      </c>
      <c r="L237" s="8"/>
      <c r="M237" s="12">
        <v>23.75</v>
      </c>
      <c r="N237" s="12">
        <f t="shared" si="5"/>
        <v>712.5</v>
      </c>
      <c r="O237" s="11">
        <v>30</v>
      </c>
      <c r="P237" s="11">
        <v>30</v>
      </c>
      <c r="Q237" s="11">
        <v>30</v>
      </c>
      <c r="R237" s="11">
        <v>30</v>
      </c>
      <c r="S237" s="11">
        <v>30</v>
      </c>
      <c r="T237" s="11">
        <v>30</v>
      </c>
      <c r="U237" s="11">
        <v>30</v>
      </c>
      <c r="V237" s="11">
        <v>30</v>
      </c>
      <c r="W237" s="11">
        <v>30</v>
      </c>
      <c r="X237" s="11">
        <v>30</v>
      </c>
      <c r="Y237" s="11">
        <v>30</v>
      </c>
      <c r="Z237" s="11">
        <v>30</v>
      </c>
      <c r="AA237" s="11">
        <v>30</v>
      </c>
      <c r="AB237" s="11">
        <v>30</v>
      </c>
      <c r="AC237" s="11">
        <v>30</v>
      </c>
      <c r="AD237" s="11">
        <v>30</v>
      </c>
      <c r="AE237" s="11">
        <v>30</v>
      </c>
      <c r="AF237" s="11">
        <v>30</v>
      </c>
      <c r="AG237" s="11">
        <v>30</v>
      </c>
      <c r="AH237" s="11">
        <v>30</v>
      </c>
      <c r="AI237" s="11">
        <v>30</v>
      </c>
      <c r="AJ237" s="11">
        <v>30</v>
      </c>
      <c r="AK237" s="11">
        <v>30</v>
      </c>
      <c r="AL237" s="11">
        <v>30</v>
      </c>
      <c r="AM237" s="11">
        <v>30</v>
      </c>
      <c r="AN237" s="72">
        <v>30</v>
      </c>
      <c r="AO237" s="72">
        <v>30</v>
      </c>
      <c r="AP237" s="72">
        <v>30</v>
      </c>
      <c r="AQ237" s="72">
        <v>30</v>
      </c>
      <c r="AR237" s="72">
        <v>30</v>
      </c>
      <c r="AS237" s="72">
        <v>30</v>
      </c>
      <c r="AT237" s="72">
        <v>30</v>
      </c>
      <c r="AU237" s="72">
        <v>30</v>
      </c>
      <c r="AV237" s="72">
        <v>30</v>
      </c>
      <c r="AW237" s="72">
        <v>30</v>
      </c>
      <c r="AX237" s="72">
        <v>30</v>
      </c>
      <c r="AY237" s="72">
        <v>30</v>
      </c>
      <c r="AZ237" s="72">
        <v>30</v>
      </c>
      <c r="BA237" s="72">
        <v>30</v>
      </c>
      <c r="BB237" s="72">
        <v>30</v>
      </c>
      <c r="BC237" s="72">
        <v>30</v>
      </c>
      <c r="BD237" s="72">
        <v>30</v>
      </c>
      <c r="BE237" s="72">
        <v>30</v>
      </c>
      <c r="BF237" s="72">
        <v>30</v>
      </c>
      <c r="BG237" s="72">
        <v>30</v>
      </c>
      <c r="BH237" s="72">
        <v>30</v>
      </c>
      <c r="BI237" s="72">
        <v>30</v>
      </c>
      <c r="BJ237" s="72">
        <v>30</v>
      </c>
      <c r="BK237" s="72">
        <v>30</v>
      </c>
      <c r="BL237" s="72">
        <v>30</v>
      </c>
      <c r="BM237" s="72">
        <v>30</v>
      </c>
      <c r="BN237" s="72">
        <v>30</v>
      </c>
      <c r="BO237" s="72">
        <v>30</v>
      </c>
      <c r="BP237" s="72">
        <v>30</v>
      </c>
      <c r="BQ237" s="72">
        <v>30</v>
      </c>
      <c r="BR237" s="72">
        <v>30</v>
      </c>
      <c r="BS237" s="72">
        <v>30</v>
      </c>
      <c r="BT237" s="72">
        <v>30</v>
      </c>
      <c r="BU237" s="72">
        <v>30</v>
      </c>
      <c r="BV237" s="72">
        <v>30</v>
      </c>
      <c r="BW237" s="72">
        <v>30</v>
      </c>
      <c r="BX237" s="72">
        <v>30</v>
      </c>
      <c r="BY237" s="72">
        <v>30</v>
      </c>
      <c r="BZ237" s="72">
        <v>30</v>
      </c>
      <c r="CA237" s="72">
        <v>30</v>
      </c>
      <c r="CB237" s="72">
        <v>30</v>
      </c>
      <c r="CC237" s="72">
        <v>30</v>
      </c>
      <c r="CD237" s="72">
        <v>30</v>
      </c>
      <c r="CE237" s="72">
        <v>30</v>
      </c>
      <c r="CF237" s="72">
        <v>30</v>
      </c>
      <c r="CG237" s="72">
        <v>30</v>
      </c>
      <c r="CH237" s="72">
        <v>30</v>
      </c>
      <c r="CI237" s="72">
        <v>30</v>
      </c>
      <c r="CJ237" s="72">
        <v>30</v>
      </c>
      <c r="CK237" s="72">
        <v>30</v>
      </c>
      <c r="CL237" s="72">
        <v>30</v>
      </c>
      <c r="CM237" s="72">
        <v>30</v>
      </c>
      <c r="CN237" s="72">
        <v>30</v>
      </c>
      <c r="CO237" s="72">
        <v>30</v>
      </c>
      <c r="CP237" s="72">
        <v>30</v>
      </c>
      <c r="CQ237" s="72">
        <v>30</v>
      </c>
      <c r="CR237" s="72">
        <v>30</v>
      </c>
      <c r="CS237" s="72">
        <v>30</v>
      </c>
      <c r="CT237" s="72">
        <v>30</v>
      </c>
      <c r="CU237" s="72">
        <v>30</v>
      </c>
      <c r="CV237" s="72">
        <v>30</v>
      </c>
      <c r="CW237" s="72">
        <v>30</v>
      </c>
      <c r="CX237" s="72">
        <v>30</v>
      </c>
      <c r="CY237" s="72">
        <v>30</v>
      </c>
      <c r="CZ237" s="72">
        <v>30</v>
      </c>
      <c r="DA237" s="72">
        <v>30</v>
      </c>
      <c r="DB237" s="72">
        <v>30</v>
      </c>
      <c r="DC237" s="72">
        <v>30</v>
      </c>
      <c r="DD237" s="72">
        <v>30</v>
      </c>
      <c r="DE237" s="72">
        <v>30</v>
      </c>
      <c r="DF237" s="72">
        <v>30</v>
      </c>
      <c r="DG237" s="72">
        <v>30</v>
      </c>
      <c r="DH237" s="72">
        <v>30</v>
      </c>
      <c r="DI237" s="72">
        <v>30</v>
      </c>
      <c r="DJ237" s="72">
        <v>30</v>
      </c>
      <c r="DK237" s="72">
        <v>30</v>
      </c>
      <c r="DL237" s="72">
        <v>30</v>
      </c>
    </row>
    <row r="238" spans="1:116" x14ac:dyDescent="0.35">
      <c r="A238" s="7"/>
      <c r="B238" s="8" t="s">
        <v>444</v>
      </c>
      <c r="C238" s="9" t="s">
        <v>443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</row>
    <row r="239" spans="1:116" x14ac:dyDescent="0.35">
      <c r="A239" s="7"/>
      <c r="B239" s="77" t="s">
        <v>1282</v>
      </c>
      <c r="C239" s="78" t="s">
        <v>1296</v>
      </c>
      <c r="D239" s="10" t="s">
        <v>92</v>
      </c>
      <c r="E239" s="8" t="s">
        <v>1207</v>
      </c>
      <c r="F239" s="10"/>
      <c r="G239" s="10"/>
      <c r="H239" s="10" t="s">
        <v>41</v>
      </c>
      <c r="I239" s="11"/>
      <c r="J239" s="10"/>
      <c r="K239" s="10"/>
      <c r="L239" s="8"/>
      <c r="M239" s="12">
        <v>22.95</v>
      </c>
      <c r="N239" s="12">
        <f t="shared" si="5"/>
        <v>459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20</v>
      </c>
      <c r="AZ239" s="72">
        <v>20</v>
      </c>
      <c r="BA239" s="72">
        <v>20</v>
      </c>
      <c r="BB239" s="72">
        <v>20</v>
      </c>
      <c r="BC239" s="72">
        <v>20</v>
      </c>
      <c r="BD239" s="72">
        <v>20</v>
      </c>
      <c r="BE239" s="72">
        <v>20</v>
      </c>
      <c r="BF239" s="72">
        <v>20</v>
      </c>
      <c r="BG239" s="72">
        <v>20</v>
      </c>
      <c r="BH239" s="72">
        <v>20</v>
      </c>
      <c r="BI239" s="72">
        <v>20</v>
      </c>
      <c r="BJ239" s="72">
        <v>20</v>
      </c>
      <c r="BK239" s="72">
        <v>20</v>
      </c>
      <c r="BL239" s="72">
        <v>20</v>
      </c>
      <c r="BM239" s="72">
        <v>20</v>
      </c>
      <c r="BN239" s="72">
        <v>20</v>
      </c>
      <c r="BO239" s="72">
        <v>20</v>
      </c>
      <c r="BP239" s="72">
        <v>20</v>
      </c>
      <c r="BQ239" s="72">
        <v>20</v>
      </c>
      <c r="BR239" s="72">
        <v>20</v>
      </c>
      <c r="BS239" s="72">
        <v>20</v>
      </c>
      <c r="BT239" s="72">
        <v>20</v>
      </c>
      <c r="BU239" s="72">
        <v>20</v>
      </c>
      <c r="BV239" s="72">
        <v>20</v>
      </c>
      <c r="BW239" s="72">
        <v>20</v>
      </c>
      <c r="BX239" s="72">
        <v>20</v>
      </c>
      <c r="BY239" s="72">
        <v>20</v>
      </c>
      <c r="BZ239" s="72">
        <v>20</v>
      </c>
      <c r="CA239" s="72">
        <v>20</v>
      </c>
      <c r="CB239" s="72">
        <v>20</v>
      </c>
      <c r="CC239" s="72">
        <v>20</v>
      </c>
      <c r="CD239" s="72">
        <v>20</v>
      </c>
      <c r="CE239" s="72">
        <v>20</v>
      </c>
      <c r="CF239" s="72">
        <v>20</v>
      </c>
      <c r="CG239" s="72">
        <v>20</v>
      </c>
      <c r="CH239" s="72">
        <v>20</v>
      </c>
      <c r="CI239" s="72">
        <v>20</v>
      </c>
      <c r="CJ239" s="72">
        <v>20</v>
      </c>
      <c r="CK239" s="72">
        <v>20</v>
      </c>
      <c r="CL239" s="72">
        <v>20</v>
      </c>
      <c r="CM239" s="72">
        <v>20</v>
      </c>
      <c r="CN239" s="72">
        <v>20</v>
      </c>
      <c r="CO239" s="72">
        <v>20</v>
      </c>
      <c r="CP239" s="72">
        <v>20</v>
      </c>
      <c r="CQ239" s="72">
        <v>20</v>
      </c>
      <c r="CR239" s="72">
        <v>20</v>
      </c>
      <c r="CS239" s="72">
        <v>20</v>
      </c>
      <c r="CT239" s="72">
        <v>20</v>
      </c>
      <c r="CU239" s="72">
        <v>20</v>
      </c>
      <c r="CV239" s="72">
        <v>20</v>
      </c>
      <c r="CW239" s="72">
        <v>20</v>
      </c>
      <c r="CX239" s="72">
        <v>20</v>
      </c>
      <c r="CY239" s="72">
        <v>20</v>
      </c>
      <c r="CZ239" s="72">
        <v>20</v>
      </c>
      <c r="DA239" s="72">
        <v>20</v>
      </c>
      <c r="DB239" s="72">
        <v>20</v>
      </c>
      <c r="DC239" s="72">
        <v>20</v>
      </c>
      <c r="DD239" s="72">
        <v>20</v>
      </c>
      <c r="DE239" s="72">
        <v>20</v>
      </c>
      <c r="DF239" s="72">
        <v>20</v>
      </c>
      <c r="DG239" s="72">
        <v>20</v>
      </c>
      <c r="DH239" s="72">
        <v>20</v>
      </c>
      <c r="DI239" s="72">
        <v>20</v>
      </c>
      <c r="DJ239" s="72">
        <v>20</v>
      </c>
      <c r="DK239" s="72">
        <v>20</v>
      </c>
      <c r="DL239" s="72">
        <v>20</v>
      </c>
    </row>
    <row r="240" spans="1:116" x14ac:dyDescent="0.35">
      <c r="A240" s="7"/>
      <c r="B240" s="8" t="s">
        <v>445</v>
      </c>
      <c r="C240" s="78" t="s">
        <v>1297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39</v>
      </c>
      <c r="J240" s="10"/>
      <c r="K240" s="10" t="s">
        <v>42</v>
      </c>
      <c r="L240" s="8"/>
      <c r="M240" s="12">
        <v>42.5</v>
      </c>
      <c r="N240" s="12">
        <f t="shared" si="5"/>
        <v>1657.5</v>
      </c>
      <c r="O240" s="11">
        <v>39</v>
      </c>
      <c r="P240" s="11">
        <v>39</v>
      </c>
      <c r="Q240" s="11">
        <v>39</v>
      </c>
      <c r="R240" s="11">
        <v>39</v>
      </c>
      <c r="S240" s="11">
        <v>39</v>
      </c>
      <c r="T240" s="11">
        <v>39</v>
      </c>
      <c r="U240" s="11">
        <v>39</v>
      </c>
      <c r="V240" s="11">
        <v>39</v>
      </c>
      <c r="W240" s="11">
        <v>39</v>
      </c>
      <c r="X240" s="11">
        <v>39</v>
      </c>
      <c r="Y240" s="11">
        <v>39</v>
      </c>
      <c r="Z240" s="11">
        <v>39</v>
      </c>
      <c r="AA240" s="11">
        <v>39</v>
      </c>
      <c r="AB240" s="11">
        <v>39</v>
      </c>
      <c r="AC240" s="11">
        <v>39</v>
      </c>
      <c r="AD240" s="11">
        <v>39</v>
      </c>
      <c r="AE240" s="11">
        <v>39</v>
      </c>
      <c r="AF240" s="11">
        <v>39</v>
      </c>
      <c r="AG240" s="11">
        <v>39</v>
      </c>
      <c r="AH240" s="11">
        <v>39</v>
      </c>
      <c r="AI240" s="11">
        <v>39</v>
      </c>
      <c r="AJ240" s="11">
        <v>39</v>
      </c>
      <c r="AK240" s="11">
        <v>39</v>
      </c>
      <c r="AL240" s="11">
        <v>39</v>
      </c>
      <c r="AM240" s="11">
        <v>39</v>
      </c>
      <c r="AN240" s="72">
        <v>39</v>
      </c>
      <c r="AO240" s="72">
        <v>39</v>
      </c>
      <c r="AP240" s="72">
        <v>39</v>
      </c>
      <c r="AQ240" s="72">
        <v>39</v>
      </c>
      <c r="AR240" s="72">
        <v>39</v>
      </c>
      <c r="AS240" s="72">
        <v>39</v>
      </c>
      <c r="AT240" s="72">
        <v>39</v>
      </c>
      <c r="AU240" s="72">
        <v>39</v>
      </c>
      <c r="AV240" s="72">
        <v>39</v>
      </c>
      <c r="AW240" s="72">
        <v>39</v>
      </c>
      <c r="AX240" s="72">
        <v>39</v>
      </c>
      <c r="AY240" s="72">
        <v>39</v>
      </c>
      <c r="AZ240" s="72">
        <v>39</v>
      </c>
      <c r="BA240" s="72">
        <v>39</v>
      </c>
      <c r="BB240" s="72">
        <v>39</v>
      </c>
      <c r="BC240" s="72">
        <v>39</v>
      </c>
      <c r="BD240" s="72">
        <v>39</v>
      </c>
      <c r="BE240" s="72">
        <v>39</v>
      </c>
      <c r="BF240" s="72">
        <v>39</v>
      </c>
      <c r="BG240" s="72">
        <v>39</v>
      </c>
      <c r="BH240" s="72">
        <v>39</v>
      </c>
      <c r="BI240" s="72">
        <v>39</v>
      </c>
      <c r="BJ240" s="72">
        <v>39</v>
      </c>
      <c r="BK240" s="72">
        <v>39</v>
      </c>
      <c r="BL240" s="72">
        <v>39</v>
      </c>
      <c r="BM240" s="72">
        <v>39</v>
      </c>
      <c r="BN240" s="72">
        <v>39</v>
      </c>
      <c r="BO240" s="72">
        <v>39</v>
      </c>
      <c r="BP240" s="72">
        <v>39</v>
      </c>
      <c r="BQ240" s="72">
        <v>39</v>
      </c>
      <c r="BR240" s="72">
        <v>39</v>
      </c>
      <c r="BS240" s="72">
        <v>39</v>
      </c>
      <c r="BT240" s="72">
        <v>39</v>
      </c>
      <c r="BU240" s="72">
        <v>39</v>
      </c>
      <c r="BV240" s="72">
        <v>39</v>
      </c>
      <c r="BW240" s="72">
        <v>39</v>
      </c>
      <c r="BX240" s="72">
        <v>39</v>
      </c>
      <c r="BY240" s="72">
        <v>39</v>
      </c>
      <c r="BZ240" s="72">
        <v>39</v>
      </c>
      <c r="CA240" s="72">
        <v>39</v>
      </c>
      <c r="CB240" s="72">
        <v>39</v>
      </c>
      <c r="CC240" s="72">
        <v>39</v>
      </c>
      <c r="CD240" s="72">
        <v>39</v>
      </c>
      <c r="CE240" s="72">
        <v>39</v>
      </c>
      <c r="CF240" s="72">
        <v>39</v>
      </c>
      <c r="CG240" s="72">
        <v>39</v>
      </c>
      <c r="CH240" s="72">
        <v>39</v>
      </c>
      <c r="CI240" s="72">
        <v>39</v>
      </c>
      <c r="CJ240" s="72">
        <v>39</v>
      </c>
      <c r="CK240" s="72">
        <v>39</v>
      </c>
      <c r="CL240" s="72">
        <v>39</v>
      </c>
      <c r="CM240" s="72">
        <v>39</v>
      </c>
      <c r="CN240" s="72">
        <v>39</v>
      </c>
      <c r="CO240" s="72">
        <v>39</v>
      </c>
      <c r="CP240" s="72">
        <v>39</v>
      </c>
      <c r="CQ240" s="72">
        <v>39</v>
      </c>
      <c r="CR240" s="72">
        <v>39</v>
      </c>
      <c r="CS240" s="72">
        <v>39</v>
      </c>
      <c r="CT240" s="72">
        <v>39</v>
      </c>
      <c r="CU240" s="72">
        <v>39</v>
      </c>
      <c r="CV240" s="72">
        <v>39</v>
      </c>
      <c r="CW240" s="72">
        <v>39</v>
      </c>
      <c r="CX240" s="72">
        <v>39</v>
      </c>
      <c r="CY240" s="72">
        <v>39</v>
      </c>
      <c r="CZ240" s="72">
        <v>39</v>
      </c>
      <c r="DA240" s="72">
        <v>39</v>
      </c>
      <c r="DB240" s="72">
        <v>39</v>
      </c>
      <c r="DC240" s="72">
        <v>39</v>
      </c>
      <c r="DD240" s="72">
        <v>39</v>
      </c>
      <c r="DE240" s="72">
        <v>39</v>
      </c>
      <c r="DF240" s="72">
        <v>39</v>
      </c>
      <c r="DG240" s="72">
        <v>39</v>
      </c>
      <c r="DH240" s="72">
        <v>39</v>
      </c>
      <c r="DI240" s="72">
        <v>39</v>
      </c>
      <c r="DJ240" s="72">
        <v>39</v>
      </c>
      <c r="DK240" s="72">
        <v>39</v>
      </c>
      <c r="DL240" s="72">
        <v>39</v>
      </c>
    </row>
    <row r="241" spans="1:116" x14ac:dyDescent="0.35">
      <c r="A241" s="7"/>
      <c r="B241" s="8" t="s">
        <v>446</v>
      </c>
      <c r="C241" s="78" t="s">
        <v>1298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/>
      <c r="L241" s="8"/>
      <c r="M241" s="12">
        <v>152.5</v>
      </c>
      <c r="N241" s="12">
        <f t="shared" si="5"/>
        <v>1830</v>
      </c>
      <c r="O241" s="11">
        <v>0</v>
      </c>
      <c r="P241" s="11">
        <v>0</v>
      </c>
      <c r="Q241" s="11">
        <v>0</v>
      </c>
      <c r="R241" s="11">
        <v>0</v>
      </c>
      <c r="S241" s="11">
        <v>0</v>
      </c>
      <c r="T241" s="11">
        <v>0</v>
      </c>
      <c r="U241" s="11">
        <v>0</v>
      </c>
      <c r="V241" s="11">
        <v>0</v>
      </c>
      <c r="W241" s="11">
        <v>0</v>
      </c>
      <c r="X241" s="11">
        <v>0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1">
        <v>0</v>
      </c>
      <c r="AE241" s="11">
        <v>0</v>
      </c>
      <c r="AF241" s="11">
        <v>0</v>
      </c>
      <c r="AG241" s="11">
        <v>0</v>
      </c>
      <c r="AH241" s="11">
        <v>0</v>
      </c>
      <c r="AI241" s="11">
        <v>0</v>
      </c>
      <c r="AJ241" s="11">
        <v>2</v>
      </c>
      <c r="AK241" s="11">
        <v>2</v>
      </c>
      <c r="AL241" s="11">
        <v>2</v>
      </c>
      <c r="AM241" s="11">
        <v>2</v>
      </c>
      <c r="AN241" s="72">
        <v>2</v>
      </c>
      <c r="AO241" s="72">
        <v>2</v>
      </c>
      <c r="AP241" s="72">
        <v>2</v>
      </c>
      <c r="AQ241" s="72">
        <v>2</v>
      </c>
      <c r="AR241" s="72">
        <v>2</v>
      </c>
      <c r="AS241" s="72">
        <v>2</v>
      </c>
      <c r="AT241" s="72">
        <v>2</v>
      </c>
      <c r="AU241" s="72">
        <v>2</v>
      </c>
      <c r="AV241" s="72">
        <v>2</v>
      </c>
      <c r="AW241" s="72">
        <v>2</v>
      </c>
      <c r="AX241" s="72">
        <v>2</v>
      </c>
      <c r="AY241" s="72">
        <v>12</v>
      </c>
      <c r="AZ241" s="72">
        <v>12</v>
      </c>
      <c r="BA241" s="72">
        <v>12</v>
      </c>
      <c r="BB241" s="72">
        <v>12</v>
      </c>
      <c r="BC241" s="72">
        <v>12</v>
      </c>
      <c r="BD241" s="72">
        <v>12</v>
      </c>
      <c r="BE241" s="72">
        <v>12</v>
      </c>
      <c r="BF241" s="72">
        <v>12</v>
      </c>
      <c r="BG241" s="72">
        <v>12</v>
      </c>
      <c r="BH241" s="72">
        <v>12</v>
      </c>
      <c r="BI241" s="72">
        <v>12</v>
      </c>
      <c r="BJ241" s="72">
        <v>12</v>
      </c>
      <c r="BK241" s="72">
        <v>12</v>
      </c>
      <c r="BL241" s="72">
        <v>12</v>
      </c>
      <c r="BM241" s="72">
        <v>12</v>
      </c>
      <c r="BN241" s="72">
        <v>12</v>
      </c>
      <c r="BO241" s="72">
        <v>12</v>
      </c>
      <c r="BP241" s="72">
        <v>12</v>
      </c>
      <c r="BQ241" s="72">
        <v>12</v>
      </c>
      <c r="BR241" s="72">
        <v>12</v>
      </c>
      <c r="BS241" s="72">
        <v>12</v>
      </c>
      <c r="BT241" s="72">
        <v>12</v>
      </c>
      <c r="BU241" s="72">
        <v>12</v>
      </c>
      <c r="BV241" s="72">
        <v>12</v>
      </c>
      <c r="BW241" s="72">
        <v>12</v>
      </c>
      <c r="BX241" s="72">
        <v>12</v>
      </c>
      <c r="BY241" s="72">
        <v>12</v>
      </c>
      <c r="BZ241" s="72">
        <v>12</v>
      </c>
      <c r="CA241" s="72">
        <v>12</v>
      </c>
      <c r="CB241" s="72">
        <v>12</v>
      </c>
      <c r="CC241" s="72">
        <v>12</v>
      </c>
      <c r="CD241" s="72">
        <v>12</v>
      </c>
      <c r="CE241" s="72">
        <v>12</v>
      </c>
      <c r="CF241" s="72">
        <v>12</v>
      </c>
      <c r="CG241" s="72">
        <v>12</v>
      </c>
      <c r="CH241" s="72">
        <v>12</v>
      </c>
      <c r="CI241" s="72">
        <v>12</v>
      </c>
      <c r="CJ241" s="72">
        <v>12</v>
      </c>
      <c r="CK241" s="72">
        <v>12</v>
      </c>
      <c r="CL241" s="72">
        <v>12</v>
      </c>
      <c r="CM241" s="72">
        <v>12</v>
      </c>
      <c r="CN241" s="72">
        <v>12</v>
      </c>
      <c r="CO241" s="72">
        <v>12</v>
      </c>
      <c r="CP241" s="72">
        <v>12</v>
      </c>
      <c r="CQ241" s="72">
        <v>12</v>
      </c>
      <c r="CR241" s="72">
        <v>12</v>
      </c>
      <c r="CS241" s="72">
        <v>12</v>
      </c>
      <c r="CT241" s="72">
        <v>12</v>
      </c>
      <c r="CU241" s="72">
        <v>12</v>
      </c>
      <c r="CV241" s="72">
        <v>12</v>
      </c>
      <c r="CW241" s="72">
        <v>12</v>
      </c>
      <c r="CX241" s="72">
        <v>12</v>
      </c>
      <c r="CY241" s="72">
        <v>12</v>
      </c>
      <c r="CZ241" s="72">
        <v>12</v>
      </c>
      <c r="DA241" s="72">
        <v>12</v>
      </c>
      <c r="DB241" s="72">
        <v>12</v>
      </c>
      <c r="DC241" s="72">
        <v>12</v>
      </c>
      <c r="DD241" s="72">
        <v>12</v>
      </c>
      <c r="DE241" s="72">
        <v>12</v>
      </c>
      <c r="DF241" s="72">
        <v>12</v>
      </c>
      <c r="DG241" s="72">
        <v>12</v>
      </c>
      <c r="DH241" s="72">
        <v>12</v>
      </c>
      <c r="DI241" s="72">
        <v>12</v>
      </c>
      <c r="DJ241" s="72">
        <v>12</v>
      </c>
      <c r="DK241" s="72">
        <v>12</v>
      </c>
      <c r="DL241" s="72">
        <v>12</v>
      </c>
    </row>
    <row r="242" spans="1:116" x14ac:dyDescent="0.35">
      <c r="A242" s="7"/>
      <c r="B242" s="8" t="s">
        <v>447</v>
      </c>
      <c r="C242" s="78" t="s">
        <v>1299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2</v>
      </c>
      <c r="J242" s="10"/>
      <c r="K242" s="10" t="s">
        <v>42</v>
      </c>
      <c r="L242" s="8"/>
      <c r="M242" s="12">
        <v>88.29</v>
      </c>
      <c r="N242" s="12">
        <f t="shared" si="5"/>
        <v>353.16</v>
      </c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>
        <v>4</v>
      </c>
      <c r="AH242" s="11">
        <v>4</v>
      </c>
      <c r="AI242" s="11">
        <v>4</v>
      </c>
      <c r="AJ242" s="11">
        <v>2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</row>
    <row r="243" spans="1:116" x14ac:dyDescent="0.35">
      <c r="A243" s="7"/>
      <c r="B243" s="8" t="s">
        <v>448</v>
      </c>
      <c r="C243" s="9" t="s">
        <v>449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6.0625</v>
      </c>
      <c r="N243" s="12">
        <f t="shared" si="5"/>
        <v>72.75</v>
      </c>
      <c r="O243" s="11">
        <v>20</v>
      </c>
      <c r="P243" s="11">
        <v>20</v>
      </c>
      <c r="Q243" s="11">
        <v>20</v>
      </c>
      <c r="R243" s="11">
        <v>20</v>
      </c>
      <c r="S243" s="11">
        <v>20</v>
      </c>
      <c r="T243" s="11">
        <v>20</v>
      </c>
      <c r="U243" s="11">
        <v>20</v>
      </c>
      <c r="V243" s="11">
        <v>20</v>
      </c>
      <c r="W243" s="11">
        <v>20</v>
      </c>
      <c r="X243" s="11">
        <v>22</v>
      </c>
      <c r="Y243" s="11">
        <v>22</v>
      </c>
      <c r="Z243" s="11">
        <v>22</v>
      </c>
      <c r="AA243" s="11">
        <v>22</v>
      </c>
      <c r="AB243" s="11">
        <v>22</v>
      </c>
      <c r="AC243" s="11">
        <v>22</v>
      </c>
      <c r="AD243" s="11">
        <v>22</v>
      </c>
      <c r="AE243" s="11">
        <v>22</v>
      </c>
      <c r="AF243" s="11">
        <v>22</v>
      </c>
      <c r="AG243" s="11">
        <v>22</v>
      </c>
      <c r="AH243" s="11">
        <v>19</v>
      </c>
      <c r="AI243" s="11">
        <v>19</v>
      </c>
      <c r="AJ243" s="11">
        <v>29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24</v>
      </c>
      <c r="BR243" s="72">
        <v>22</v>
      </c>
      <c r="BS243" s="72">
        <v>22</v>
      </c>
      <c r="BT243" s="72">
        <v>22</v>
      </c>
      <c r="BU243" s="72">
        <v>22</v>
      </c>
      <c r="BV243" s="72">
        <v>22</v>
      </c>
      <c r="BW243" s="72">
        <v>22</v>
      </c>
      <c r="BX243" s="72">
        <v>22</v>
      </c>
      <c r="BY243" s="72">
        <v>22</v>
      </c>
      <c r="BZ243" s="72">
        <v>22</v>
      </c>
      <c r="CA243" s="72">
        <v>22</v>
      </c>
      <c r="CB243" s="72">
        <v>22</v>
      </c>
      <c r="CC243" s="72">
        <v>22</v>
      </c>
      <c r="CD243" s="72">
        <v>22</v>
      </c>
      <c r="CE243" s="72">
        <v>22</v>
      </c>
      <c r="CF243" s="72">
        <v>22</v>
      </c>
      <c r="CG243" s="72">
        <v>22</v>
      </c>
      <c r="CH243" s="72">
        <v>22</v>
      </c>
      <c r="CI243" s="72">
        <v>22</v>
      </c>
      <c r="CJ243" s="72">
        <v>22</v>
      </c>
      <c r="CK243" s="72">
        <v>22</v>
      </c>
      <c r="CL243" s="72">
        <v>22</v>
      </c>
      <c r="CM243" s="72">
        <v>22</v>
      </c>
      <c r="CN243" s="72">
        <v>22</v>
      </c>
      <c r="CO243" s="72">
        <v>22</v>
      </c>
      <c r="CP243" s="72">
        <v>22</v>
      </c>
      <c r="CQ243" s="72">
        <v>22</v>
      </c>
      <c r="CR243" s="72">
        <v>22</v>
      </c>
      <c r="CS243" s="72">
        <v>22</v>
      </c>
      <c r="CT243" s="72">
        <v>22</v>
      </c>
      <c r="CU243" s="72">
        <v>22</v>
      </c>
      <c r="CV243" s="72">
        <v>22</v>
      </c>
      <c r="CW243" s="72">
        <v>22</v>
      </c>
      <c r="CX243" s="72">
        <v>22</v>
      </c>
      <c r="CY243" s="72">
        <v>22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</row>
    <row r="244" spans="1:116" x14ac:dyDescent="0.35">
      <c r="A244" s="7"/>
      <c r="B244" s="8" t="s">
        <v>450</v>
      </c>
      <c r="C244" s="9" t="s">
        <v>451</v>
      </c>
      <c r="D244" s="10" t="s">
        <v>92</v>
      </c>
      <c r="E244" s="8" t="s">
        <v>1221</v>
      </c>
      <c r="F244" s="10">
        <v>1006</v>
      </c>
      <c r="G244" s="10" t="s">
        <v>92</v>
      </c>
      <c r="H244" s="10" t="s">
        <v>41</v>
      </c>
      <c r="I244" s="11">
        <v>29</v>
      </c>
      <c r="J244" s="10"/>
      <c r="K244" s="10"/>
      <c r="L244" s="8"/>
      <c r="M244" s="12">
        <v>9.375</v>
      </c>
      <c r="N244" s="12">
        <f t="shared" si="5"/>
        <v>0</v>
      </c>
      <c r="O244" s="11">
        <v>8</v>
      </c>
      <c r="P244" s="11">
        <v>8</v>
      </c>
      <c r="Q244" s="11">
        <v>8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0</v>
      </c>
      <c r="AG244" s="11">
        <v>0</v>
      </c>
      <c r="AH244" s="11">
        <v>0</v>
      </c>
      <c r="AI244" s="11">
        <v>0</v>
      </c>
      <c r="AJ244" s="11">
        <v>29</v>
      </c>
      <c r="AK244" s="11">
        <v>29</v>
      </c>
      <c r="AL244" s="11">
        <v>29</v>
      </c>
      <c r="AM244" s="11">
        <v>29</v>
      </c>
      <c r="AN244" s="72">
        <v>29</v>
      </c>
      <c r="AO244" s="72">
        <v>29</v>
      </c>
      <c r="AP244" s="72">
        <v>29</v>
      </c>
      <c r="AQ244" s="72">
        <v>29</v>
      </c>
      <c r="AR244" s="72">
        <v>29</v>
      </c>
      <c r="AS244" s="72">
        <v>29</v>
      </c>
      <c r="AT244" s="72">
        <v>29</v>
      </c>
      <c r="AU244" s="72">
        <v>29</v>
      </c>
      <c r="AV244" s="72">
        <v>28</v>
      </c>
      <c r="AW244" s="72">
        <v>28</v>
      </c>
      <c r="AX244" s="72">
        <v>28</v>
      </c>
      <c r="AY244" s="72">
        <v>28</v>
      </c>
      <c r="AZ244" s="72">
        <v>28</v>
      </c>
      <c r="BA244" s="72">
        <v>28</v>
      </c>
      <c r="BB244" s="72">
        <v>28</v>
      </c>
      <c r="BC244" s="72">
        <v>28</v>
      </c>
      <c r="BD244" s="72">
        <v>28</v>
      </c>
      <c r="BE244" s="72">
        <v>25</v>
      </c>
      <c r="BF244" s="72">
        <v>25</v>
      </c>
      <c r="BG244" s="72">
        <v>25</v>
      </c>
      <c r="BH244" s="72">
        <v>28</v>
      </c>
      <c r="BI244" s="72">
        <v>28</v>
      </c>
      <c r="BJ244" s="72">
        <v>28</v>
      </c>
      <c r="BK244" s="72">
        <v>24</v>
      </c>
      <c r="BL244" s="72">
        <v>27</v>
      </c>
      <c r="BM244" s="72">
        <v>28</v>
      </c>
      <c r="BN244" s="72">
        <v>26</v>
      </c>
      <c r="BO244" s="72">
        <v>26</v>
      </c>
      <c r="BP244" s="72">
        <v>20</v>
      </c>
      <c r="BQ244" s="72">
        <v>26</v>
      </c>
      <c r="BR244" s="72">
        <v>26</v>
      </c>
      <c r="BS244" s="72">
        <v>26</v>
      </c>
      <c r="BT244" s="72">
        <v>22</v>
      </c>
      <c r="BU244" s="72">
        <v>16</v>
      </c>
      <c r="BV244" s="72">
        <v>16</v>
      </c>
      <c r="BW244" s="72">
        <v>16</v>
      </c>
      <c r="BX244" s="72">
        <v>16</v>
      </c>
      <c r="BY244" s="72">
        <v>16</v>
      </c>
      <c r="BZ244" s="72">
        <v>16</v>
      </c>
      <c r="CA244" s="72">
        <v>16</v>
      </c>
      <c r="CB244" s="72">
        <v>16</v>
      </c>
      <c r="CC244" s="72">
        <v>16</v>
      </c>
      <c r="CD244" s="72">
        <v>16</v>
      </c>
      <c r="CE244" s="72">
        <v>16</v>
      </c>
      <c r="CF244" s="72">
        <v>16</v>
      </c>
      <c r="CG244" s="72">
        <v>16</v>
      </c>
      <c r="CH244" s="72">
        <v>16</v>
      </c>
      <c r="CI244" s="72">
        <v>16</v>
      </c>
      <c r="CJ244" s="72">
        <v>16</v>
      </c>
      <c r="CK244" s="72">
        <v>16</v>
      </c>
      <c r="CL244" s="72">
        <v>16</v>
      </c>
      <c r="CM244" s="72">
        <v>16</v>
      </c>
      <c r="CN244" s="72">
        <v>16</v>
      </c>
      <c r="CO244" s="72">
        <v>16</v>
      </c>
      <c r="CP244" s="72">
        <v>16</v>
      </c>
      <c r="CQ244" s="72">
        <v>16</v>
      </c>
      <c r="CR244" s="72">
        <v>16</v>
      </c>
      <c r="CS244" s="72">
        <v>16</v>
      </c>
      <c r="CT244" s="72">
        <v>16</v>
      </c>
      <c r="CU244" s="72">
        <v>16</v>
      </c>
      <c r="CV244" s="72">
        <v>16</v>
      </c>
      <c r="CW244" s="72">
        <v>16</v>
      </c>
      <c r="CX244" s="72">
        <v>16</v>
      </c>
      <c r="CY244" s="72">
        <v>10</v>
      </c>
      <c r="CZ244" s="72">
        <v>0</v>
      </c>
      <c r="DA244" s="72">
        <v>0</v>
      </c>
      <c r="DB244" s="72">
        <v>0</v>
      </c>
      <c r="DC244" s="72">
        <v>0</v>
      </c>
      <c r="DD244" s="72">
        <v>0</v>
      </c>
      <c r="DE244" s="72">
        <v>0</v>
      </c>
      <c r="DF244" s="72">
        <v>0</v>
      </c>
      <c r="DG244" s="72">
        <v>0</v>
      </c>
      <c r="DH244" s="72">
        <v>0</v>
      </c>
      <c r="DI244" s="72">
        <v>0</v>
      </c>
      <c r="DJ244" s="72">
        <v>0</v>
      </c>
      <c r="DK244" s="72">
        <v>0</v>
      </c>
      <c r="DL244" s="72">
        <v>0</v>
      </c>
    </row>
    <row r="245" spans="1:116" x14ac:dyDescent="0.35">
      <c r="A245" s="7"/>
      <c r="B245" s="8" t="s">
        <v>1283</v>
      </c>
      <c r="C245" s="9" t="s">
        <v>1286</v>
      </c>
      <c r="D245" s="10" t="s">
        <v>92</v>
      </c>
      <c r="E245" s="8" t="s">
        <v>1221</v>
      </c>
      <c r="F245" s="10"/>
      <c r="G245" s="10"/>
      <c r="H245" s="10" t="s">
        <v>41</v>
      </c>
      <c r="I245" s="11"/>
      <c r="J245" s="10"/>
      <c r="K245" s="10"/>
      <c r="L245" s="8"/>
      <c r="M245" s="12">
        <v>12.69</v>
      </c>
      <c r="N245" s="12">
        <f t="shared" si="5"/>
        <v>101.52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>
        <v>10</v>
      </c>
      <c r="AZ245" s="72">
        <v>10</v>
      </c>
      <c r="BA245" s="72">
        <v>10</v>
      </c>
      <c r="BB245" s="72">
        <v>10</v>
      </c>
      <c r="BC245" s="72">
        <v>10</v>
      </c>
      <c r="BD245" s="72">
        <v>10</v>
      </c>
      <c r="BE245" s="72">
        <v>8</v>
      </c>
      <c r="BF245" s="72">
        <v>8</v>
      </c>
      <c r="BG245" s="72">
        <v>8</v>
      </c>
      <c r="BH245" s="72">
        <v>8</v>
      </c>
      <c r="BI245" s="72">
        <v>8</v>
      </c>
      <c r="BJ245" s="72">
        <v>8</v>
      </c>
      <c r="BK245" s="72">
        <v>8</v>
      </c>
      <c r="BL245" s="72">
        <v>8</v>
      </c>
      <c r="BM245" s="72">
        <v>8</v>
      </c>
      <c r="BN245" s="72">
        <v>8</v>
      </c>
      <c r="BO245" s="72">
        <v>8</v>
      </c>
      <c r="BP245" s="72">
        <v>8</v>
      </c>
      <c r="BQ245" s="72">
        <v>8</v>
      </c>
      <c r="BR245" s="72">
        <v>8</v>
      </c>
      <c r="BS245" s="72">
        <v>8</v>
      </c>
      <c r="BT245" s="72">
        <v>8</v>
      </c>
      <c r="BU245" s="72">
        <v>8</v>
      </c>
      <c r="BV245" s="72">
        <v>8</v>
      </c>
      <c r="BW245" s="72">
        <v>8</v>
      </c>
      <c r="BX245" s="72">
        <v>8</v>
      </c>
      <c r="BY245" s="72">
        <v>8</v>
      </c>
      <c r="BZ245" s="72">
        <v>8</v>
      </c>
      <c r="CA245" s="72">
        <v>8</v>
      </c>
      <c r="CB245" s="72">
        <v>8</v>
      </c>
      <c r="CC245" s="72">
        <v>8</v>
      </c>
      <c r="CD245" s="72">
        <v>8</v>
      </c>
      <c r="CE245" s="72">
        <v>8</v>
      </c>
      <c r="CF245" s="72">
        <v>8</v>
      </c>
      <c r="CG245" s="72">
        <v>8</v>
      </c>
      <c r="CH245" s="72">
        <v>8</v>
      </c>
      <c r="CI245" s="72">
        <v>8</v>
      </c>
      <c r="CJ245" s="72">
        <v>8</v>
      </c>
      <c r="CK245" s="72">
        <v>8</v>
      </c>
      <c r="CL245" s="72">
        <v>8</v>
      </c>
      <c r="CM245" s="72">
        <v>8</v>
      </c>
      <c r="CN245" s="72">
        <v>8</v>
      </c>
      <c r="CO245" s="72">
        <v>8</v>
      </c>
      <c r="CP245" s="72">
        <v>8</v>
      </c>
      <c r="CQ245" s="72">
        <v>8</v>
      </c>
      <c r="CR245" s="72">
        <v>8</v>
      </c>
      <c r="CS245" s="72">
        <v>8</v>
      </c>
      <c r="CT245" s="72">
        <v>8</v>
      </c>
      <c r="CU245" s="72">
        <v>8</v>
      </c>
      <c r="CV245" s="72">
        <v>8</v>
      </c>
      <c r="CW245" s="72">
        <v>8</v>
      </c>
      <c r="CX245" s="72">
        <v>8</v>
      </c>
      <c r="CY245" s="72">
        <v>8</v>
      </c>
      <c r="CZ245" s="72">
        <v>8</v>
      </c>
      <c r="DA245" s="72">
        <v>8</v>
      </c>
      <c r="DB245" s="72">
        <v>8</v>
      </c>
      <c r="DC245" s="72">
        <v>8</v>
      </c>
      <c r="DD245" s="72">
        <v>8</v>
      </c>
      <c r="DE245" s="72">
        <v>8</v>
      </c>
      <c r="DF245" s="72">
        <v>8</v>
      </c>
      <c r="DG245" s="72">
        <v>8</v>
      </c>
      <c r="DH245" s="72">
        <v>8</v>
      </c>
      <c r="DI245" s="72">
        <v>8</v>
      </c>
      <c r="DJ245" s="72">
        <v>8</v>
      </c>
      <c r="DK245" s="72">
        <v>8</v>
      </c>
      <c r="DL245" s="72">
        <v>8</v>
      </c>
    </row>
    <row r="246" spans="1:116" x14ac:dyDescent="0.35">
      <c r="A246" s="7"/>
      <c r="B246" s="8" t="s">
        <v>452</v>
      </c>
      <c r="C246" s="9" t="s">
        <v>453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9</v>
      </c>
      <c r="J246" s="10">
        <v>1</v>
      </c>
      <c r="K246" s="10" t="s">
        <v>42</v>
      </c>
      <c r="L246" s="8" t="s">
        <v>454</v>
      </c>
      <c r="M246" s="12">
        <v>16.25</v>
      </c>
      <c r="N246" s="12">
        <f t="shared" si="5"/>
        <v>113.75</v>
      </c>
      <c r="O246" s="11">
        <v>12</v>
      </c>
      <c r="P246" s="11">
        <v>12</v>
      </c>
      <c r="Q246" s="11">
        <v>12</v>
      </c>
      <c r="R246" s="11">
        <v>12</v>
      </c>
      <c r="S246" s="11">
        <v>12</v>
      </c>
      <c r="T246" s="11">
        <v>12</v>
      </c>
      <c r="U246" s="11">
        <v>12</v>
      </c>
      <c r="V246" s="11">
        <v>12</v>
      </c>
      <c r="W246" s="11">
        <v>12</v>
      </c>
      <c r="X246" s="11">
        <v>12</v>
      </c>
      <c r="Y246" s="11">
        <v>12</v>
      </c>
      <c r="Z246" s="11">
        <v>12</v>
      </c>
      <c r="AA246" s="11">
        <v>12</v>
      </c>
      <c r="AB246" s="11">
        <v>12</v>
      </c>
      <c r="AC246" s="11">
        <v>12</v>
      </c>
      <c r="AD246" s="11">
        <v>12</v>
      </c>
      <c r="AE246" s="11">
        <v>10</v>
      </c>
      <c r="AF246" s="11">
        <v>10</v>
      </c>
      <c r="AG246" s="11">
        <v>10</v>
      </c>
      <c r="AH246" s="11">
        <v>9</v>
      </c>
      <c r="AI246" s="11">
        <v>9</v>
      </c>
      <c r="AJ246" s="11">
        <v>9</v>
      </c>
      <c r="AK246" s="11">
        <v>9</v>
      </c>
      <c r="AL246" s="11">
        <v>9</v>
      </c>
      <c r="AM246" s="11">
        <v>9</v>
      </c>
      <c r="AN246" s="72">
        <v>9</v>
      </c>
      <c r="AO246" s="72">
        <v>9</v>
      </c>
      <c r="AP246" s="72">
        <v>9</v>
      </c>
      <c r="AQ246" s="72">
        <v>9</v>
      </c>
      <c r="AR246" s="72">
        <v>9</v>
      </c>
      <c r="AS246" s="72">
        <v>9</v>
      </c>
      <c r="AT246" s="72">
        <v>9</v>
      </c>
      <c r="AU246" s="72">
        <v>9</v>
      </c>
      <c r="AV246" s="72">
        <v>9</v>
      </c>
      <c r="AW246" s="72">
        <v>9</v>
      </c>
      <c r="AX246" s="72">
        <v>9</v>
      </c>
      <c r="AY246" s="72">
        <v>9</v>
      </c>
      <c r="AZ246" s="72">
        <v>9</v>
      </c>
      <c r="BA246" s="72">
        <v>9</v>
      </c>
      <c r="BB246" s="72">
        <v>9</v>
      </c>
      <c r="BC246" s="72">
        <v>9</v>
      </c>
      <c r="BD246" s="72">
        <v>9</v>
      </c>
      <c r="BE246" s="72">
        <v>9</v>
      </c>
      <c r="BF246" s="72">
        <v>9</v>
      </c>
      <c r="BG246" s="72">
        <v>9</v>
      </c>
      <c r="BH246" s="72">
        <v>9</v>
      </c>
      <c r="BI246" s="72">
        <v>9</v>
      </c>
      <c r="BJ246" s="72">
        <v>9</v>
      </c>
      <c r="BK246" s="72">
        <v>9</v>
      </c>
      <c r="BL246" s="72">
        <v>9</v>
      </c>
      <c r="BM246" s="72">
        <v>9</v>
      </c>
      <c r="BN246" s="72">
        <v>9</v>
      </c>
      <c r="BO246" s="72">
        <v>9</v>
      </c>
      <c r="BP246" s="72">
        <v>9</v>
      </c>
      <c r="BQ246" s="72">
        <v>9</v>
      </c>
      <c r="BR246" s="72">
        <v>9</v>
      </c>
      <c r="BS246" s="72">
        <v>7</v>
      </c>
      <c r="BT246" s="72">
        <v>7</v>
      </c>
      <c r="BU246" s="72">
        <v>7</v>
      </c>
      <c r="BV246" s="72">
        <v>7</v>
      </c>
      <c r="BW246" s="72">
        <v>7</v>
      </c>
      <c r="BX246" s="72">
        <v>7</v>
      </c>
      <c r="BY246" s="72">
        <v>7</v>
      </c>
      <c r="BZ246" s="72">
        <v>7</v>
      </c>
      <c r="CA246" s="72">
        <v>7</v>
      </c>
      <c r="CB246" s="72">
        <v>7</v>
      </c>
      <c r="CC246" s="72">
        <v>7</v>
      </c>
      <c r="CD246" s="72">
        <v>7</v>
      </c>
      <c r="CE246" s="72">
        <v>7</v>
      </c>
      <c r="CF246" s="72">
        <v>7</v>
      </c>
      <c r="CG246" s="72">
        <v>7</v>
      </c>
      <c r="CH246" s="72">
        <v>7</v>
      </c>
      <c r="CI246" s="72">
        <v>7</v>
      </c>
      <c r="CJ246" s="72">
        <v>7</v>
      </c>
      <c r="CK246" s="72">
        <v>7</v>
      </c>
      <c r="CL246" s="72">
        <v>7</v>
      </c>
      <c r="CM246" s="72">
        <v>7</v>
      </c>
      <c r="CN246" s="72">
        <v>7</v>
      </c>
      <c r="CO246" s="72">
        <v>7</v>
      </c>
      <c r="CP246" s="72">
        <v>7</v>
      </c>
      <c r="CQ246" s="72">
        <v>7</v>
      </c>
      <c r="CR246" s="72">
        <v>7</v>
      </c>
      <c r="CS246" s="72">
        <v>7</v>
      </c>
      <c r="CT246" s="72">
        <v>7</v>
      </c>
      <c r="CU246" s="72">
        <v>7</v>
      </c>
      <c r="CV246" s="72">
        <v>7</v>
      </c>
      <c r="CW246" s="72">
        <v>7</v>
      </c>
      <c r="CX246" s="72">
        <v>7</v>
      </c>
      <c r="CY246" s="72">
        <v>7</v>
      </c>
      <c r="CZ246" s="72">
        <v>7</v>
      </c>
      <c r="DA246" s="72">
        <v>7</v>
      </c>
      <c r="DB246" s="72">
        <v>7</v>
      </c>
      <c r="DC246" s="72">
        <v>7</v>
      </c>
      <c r="DD246" s="72">
        <v>7</v>
      </c>
      <c r="DE246" s="72">
        <v>7</v>
      </c>
      <c r="DF246" s="72">
        <v>7</v>
      </c>
      <c r="DG246" s="72">
        <v>7</v>
      </c>
      <c r="DH246" s="72">
        <v>7</v>
      </c>
      <c r="DI246" s="72">
        <v>7</v>
      </c>
      <c r="DJ246" s="72">
        <v>7</v>
      </c>
      <c r="DK246" s="72">
        <v>7</v>
      </c>
      <c r="DL246" s="72">
        <v>7</v>
      </c>
    </row>
    <row r="247" spans="1:116" x14ac:dyDescent="0.35">
      <c r="A247" s="7"/>
      <c r="B247" s="8" t="s">
        <v>455</v>
      </c>
      <c r="C247" s="9" t="s">
        <v>456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5</v>
      </c>
      <c r="J247" s="10"/>
      <c r="K247" s="10" t="s">
        <v>42</v>
      </c>
      <c r="L247" s="8"/>
      <c r="M247" s="12">
        <v>23.75</v>
      </c>
      <c r="N247" s="12">
        <f t="shared" si="5"/>
        <v>0</v>
      </c>
      <c r="O247" s="11">
        <v>7</v>
      </c>
      <c r="P247" s="11">
        <v>7</v>
      </c>
      <c r="Q247" s="11">
        <v>7</v>
      </c>
      <c r="R247" s="11">
        <v>7</v>
      </c>
      <c r="S247" s="11">
        <v>7</v>
      </c>
      <c r="T247" s="11">
        <v>7</v>
      </c>
      <c r="U247" s="11">
        <v>7</v>
      </c>
      <c r="V247" s="11">
        <v>7</v>
      </c>
      <c r="W247" s="11">
        <v>7</v>
      </c>
      <c r="X247" s="11">
        <v>7</v>
      </c>
      <c r="Y247" s="11">
        <v>7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3</v>
      </c>
      <c r="BR247" s="72">
        <v>3</v>
      </c>
      <c r="BS247" s="72">
        <v>3</v>
      </c>
      <c r="BT247" s="72">
        <v>3</v>
      </c>
      <c r="BU247" s="72">
        <v>3</v>
      </c>
      <c r="BV247" s="72">
        <v>3</v>
      </c>
      <c r="BW247" s="72">
        <v>3</v>
      </c>
      <c r="BX247" s="72">
        <v>3</v>
      </c>
      <c r="BY247" s="72">
        <v>3</v>
      </c>
      <c r="BZ247" s="72">
        <v>3</v>
      </c>
      <c r="CA247" s="72">
        <v>3</v>
      </c>
      <c r="CB247" s="72">
        <v>3</v>
      </c>
      <c r="CC247" s="72">
        <v>3</v>
      </c>
      <c r="CD247" s="72">
        <v>3</v>
      </c>
      <c r="CE247" s="72">
        <v>3</v>
      </c>
      <c r="CF247" s="72">
        <v>3</v>
      </c>
      <c r="CG247" s="72">
        <v>3</v>
      </c>
      <c r="CH247" s="72">
        <v>3</v>
      </c>
      <c r="CI247" s="72">
        <v>3</v>
      </c>
      <c r="CJ247" s="72">
        <v>3</v>
      </c>
      <c r="CK247" s="72">
        <v>3</v>
      </c>
      <c r="CL247" s="72">
        <v>3</v>
      </c>
      <c r="CM247" s="72">
        <v>3</v>
      </c>
      <c r="CN247" s="72">
        <v>3</v>
      </c>
      <c r="CO247" s="72">
        <v>3</v>
      </c>
      <c r="CP247" s="72">
        <v>3</v>
      </c>
      <c r="CQ247" s="72">
        <v>3</v>
      </c>
      <c r="CR247" s="72">
        <v>3</v>
      </c>
      <c r="CS247" s="72">
        <v>3</v>
      </c>
      <c r="CT247" s="72">
        <v>3</v>
      </c>
      <c r="CU247" s="72">
        <v>3</v>
      </c>
      <c r="CV247" s="72">
        <v>3</v>
      </c>
      <c r="CW247" s="72">
        <v>3</v>
      </c>
      <c r="CX247" s="72">
        <v>3</v>
      </c>
      <c r="CY247" s="72">
        <v>3</v>
      </c>
      <c r="CZ247" s="72">
        <v>3</v>
      </c>
      <c r="DA247" s="72">
        <v>3</v>
      </c>
      <c r="DB247" s="72">
        <v>3</v>
      </c>
      <c r="DC247" s="72">
        <v>3</v>
      </c>
      <c r="DD247" s="72">
        <v>3</v>
      </c>
      <c r="DE247" s="72">
        <v>3</v>
      </c>
      <c r="DF247" s="72">
        <v>3</v>
      </c>
      <c r="DG247" s="72">
        <v>3</v>
      </c>
      <c r="DH247" s="72">
        <v>3</v>
      </c>
      <c r="DI247" s="72">
        <v>3</v>
      </c>
      <c r="DJ247" s="72">
        <v>3</v>
      </c>
      <c r="DK247" s="72">
        <v>3</v>
      </c>
      <c r="DL247" s="72">
        <v>0</v>
      </c>
    </row>
    <row r="248" spans="1:116" x14ac:dyDescent="0.35">
      <c r="A248" s="7"/>
      <c r="B248" s="8" t="s">
        <v>457</v>
      </c>
      <c r="C248" s="9" t="s">
        <v>458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/>
      <c r="K248" s="10"/>
      <c r="L248" s="8"/>
      <c r="M248" s="12">
        <v>96.875</v>
      </c>
      <c r="N248" s="12">
        <f t="shared" si="5"/>
        <v>484.375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5</v>
      </c>
      <c r="AP248" s="72">
        <v>5</v>
      </c>
      <c r="AQ248" s="72">
        <v>5</v>
      </c>
      <c r="AR248" s="72">
        <v>5</v>
      </c>
      <c r="AS248" s="72">
        <v>5</v>
      </c>
      <c r="AT248" s="72">
        <v>5</v>
      </c>
      <c r="AU248" s="72">
        <v>5</v>
      </c>
      <c r="AV248" s="72">
        <v>5</v>
      </c>
      <c r="AW248" s="72">
        <v>5</v>
      </c>
      <c r="AX248" s="72">
        <v>5</v>
      </c>
      <c r="AY248" s="72">
        <v>5</v>
      </c>
      <c r="AZ248" s="72">
        <v>5</v>
      </c>
      <c r="BA248" s="72">
        <v>5</v>
      </c>
      <c r="BB248" s="72">
        <v>5</v>
      </c>
      <c r="BC248" s="72">
        <v>5</v>
      </c>
      <c r="BD248" s="72">
        <v>5</v>
      </c>
      <c r="BE248" s="72">
        <v>5</v>
      </c>
      <c r="BF248" s="72">
        <v>5</v>
      </c>
      <c r="BG248" s="72">
        <v>5</v>
      </c>
      <c r="BH248" s="72">
        <v>5</v>
      </c>
      <c r="BI248" s="72">
        <v>5</v>
      </c>
      <c r="BJ248" s="72">
        <v>5</v>
      </c>
      <c r="BK248" s="72">
        <v>5</v>
      </c>
      <c r="BL248" s="72">
        <v>5</v>
      </c>
      <c r="BM248" s="72">
        <v>5</v>
      </c>
      <c r="BN248" s="72">
        <v>5</v>
      </c>
      <c r="BO248" s="72">
        <v>5</v>
      </c>
      <c r="BP248" s="72">
        <v>5</v>
      </c>
      <c r="BQ248" s="72">
        <v>5</v>
      </c>
      <c r="BR248" s="72">
        <v>5</v>
      </c>
      <c r="BS248" s="72">
        <v>5</v>
      </c>
      <c r="BT248" s="72">
        <v>5</v>
      </c>
      <c r="BU248" s="72">
        <v>5</v>
      </c>
      <c r="BV248" s="72">
        <v>5</v>
      </c>
      <c r="BW248" s="72">
        <v>5</v>
      </c>
      <c r="BX248" s="72">
        <v>5</v>
      </c>
      <c r="BY248" s="72">
        <v>5</v>
      </c>
      <c r="BZ248" s="72">
        <v>5</v>
      </c>
      <c r="CA248" s="72">
        <v>5</v>
      </c>
      <c r="CB248" s="72">
        <v>5</v>
      </c>
      <c r="CC248" s="72">
        <v>5</v>
      </c>
      <c r="CD248" s="72">
        <v>5</v>
      </c>
      <c r="CE248" s="72">
        <v>5</v>
      </c>
      <c r="CF248" s="72">
        <v>5</v>
      </c>
      <c r="CG248" s="72">
        <v>5</v>
      </c>
      <c r="CH248" s="72">
        <v>5</v>
      </c>
      <c r="CI248" s="72">
        <v>5</v>
      </c>
      <c r="CJ248" s="72">
        <v>5</v>
      </c>
      <c r="CK248" s="72">
        <v>5</v>
      </c>
      <c r="CL248" s="72">
        <v>5</v>
      </c>
      <c r="CM248" s="72">
        <v>5</v>
      </c>
      <c r="CN248" s="72">
        <v>5</v>
      </c>
      <c r="CO248" s="72">
        <v>5</v>
      </c>
      <c r="CP248" s="72">
        <v>5</v>
      </c>
      <c r="CQ248" s="72">
        <v>5</v>
      </c>
      <c r="CR248" s="72">
        <v>5</v>
      </c>
      <c r="CS248" s="72">
        <v>5</v>
      </c>
      <c r="CT248" s="72">
        <v>5</v>
      </c>
      <c r="CU248" s="72">
        <v>5</v>
      </c>
      <c r="CV248" s="72">
        <v>5</v>
      </c>
      <c r="CW248" s="72">
        <v>5</v>
      </c>
      <c r="CX248" s="72">
        <v>5</v>
      </c>
      <c r="CY248" s="72">
        <v>5</v>
      </c>
      <c r="CZ248" s="72">
        <v>5</v>
      </c>
      <c r="DA248" s="72">
        <v>5</v>
      </c>
      <c r="DB248" s="72">
        <v>5</v>
      </c>
      <c r="DC248" s="72">
        <v>5</v>
      </c>
      <c r="DD248" s="72">
        <v>5</v>
      </c>
      <c r="DE248" s="72">
        <v>5</v>
      </c>
      <c r="DF248" s="72">
        <v>5</v>
      </c>
      <c r="DG248" s="72">
        <v>5</v>
      </c>
      <c r="DH248" s="72">
        <v>5</v>
      </c>
      <c r="DI248" s="72">
        <v>5</v>
      </c>
      <c r="DJ248" s="72">
        <v>5</v>
      </c>
      <c r="DK248" s="72">
        <v>5</v>
      </c>
      <c r="DL248" s="72">
        <v>5</v>
      </c>
    </row>
    <row r="249" spans="1:116" x14ac:dyDescent="0.35">
      <c r="A249" s="7"/>
      <c r="B249" s="8" t="s">
        <v>459</v>
      </c>
      <c r="C249" s="9" t="s">
        <v>460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/>
      <c r="L249" s="8"/>
      <c r="M249" s="12">
        <v>200</v>
      </c>
      <c r="N249" s="12">
        <f t="shared" si="5"/>
        <v>600</v>
      </c>
      <c r="O249" s="11">
        <v>5</v>
      </c>
      <c r="P249" s="11">
        <v>5</v>
      </c>
      <c r="Q249" s="11">
        <v>5</v>
      </c>
      <c r="R249" s="11">
        <v>5</v>
      </c>
      <c r="S249" s="11">
        <v>5</v>
      </c>
      <c r="T249" s="11">
        <v>5</v>
      </c>
      <c r="U249" s="11">
        <v>5</v>
      </c>
      <c r="V249" s="11">
        <v>5</v>
      </c>
      <c r="W249" s="11">
        <v>5</v>
      </c>
      <c r="X249" s="11">
        <v>5</v>
      </c>
      <c r="Y249" s="11">
        <v>5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3</v>
      </c>
      <c r="AP249" s="72">
        <v>3</v>
      </c>
      <c r="AQ249" s="72">
        <v>3</v>
      </c>
      <c r="AR249" s="72">
        <v>3</v>
      </c>
      <c r="AS249" s="72">
        <v>3</v>
      </c>
      <c r="AT249" s="72">
        <v>3</v>
      </c>
      <c r="AU249" s="72">
        <v>3</v>
      </c>
      <c r="AV249" s="72">
        <v>3</v>
      </c>
      <c r="AW249" s="72">
        <v>3</v>
      </c>
      <c r="AX249" s="72">
        <v>3</v>
      </c>
      <c r="AY249" s="72">
        <v>3</v>
      </c>
      <c r="AZ249" s="72">
        <v>3</v>
      </c>
      <c r="BA249" s="72">
        <v>3</v>
      </c>
      <c r="BB249" s="72">
        <v>3</v>
      </c>
      <c r="BC249" s="72">
        <v>3</v>
      </c>
      <c r="BD249" s="72">
        <v>3</v>
      </c>
      <c r="BE249" s="72">
        <v>3</v>
      </c>
      <c r="BF249" s="72">
        <v>3</v>
      </c>
      <c r="BG249" s="72">
        <v>3</v>
      </c>
      <c r="BH249" s="72">
        <v>3</v>
      </c>
      <c r="BI249" s="72">
        <v>3</v>
      </c>
      <c r="BJ249" s="72">
        <v>3</v>
      </c>
      <c r="BK249" s="72">
        <v>3</v>
      </c>
      <c r="BL249" s="72">
        <v>3</v>
      </c>
      <c r="BM249" s="72">
        <v>3</v>
      </c>
      <c r="BN249" s="72">
        <v>3</v>
      </c>
      <c r="BO249" s="72">
        <v>3</v>
      </c>
      <c r="BP249" s="72">
        <v>3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3</v>
      </c>
    </row>
    <row r="250" spans="1:116" x14ac:dyDescent="0.35">
      <c r="A250" s="7"/>
      <c r="B250" s="21" t="s">
        <v>461</v>
      </c>
      <c r="C250" s="22" t="s">
        <v>462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19</v>
      </c>
      <c r="J250" s="10"/>
      <c r="K250" s="10" t="s">
        <v>42</v>
      </c>
      <c r="L250" s="8"/>
      <c r="M250" s="12">
        <v>6.0625</v>
      </c>
      <c r="N250" s="12">
        <f t="shared" si="5"/>
        <v>18.1875</v>
      </c>
      <c r="O250" s="11">
        <v>30</v>
      </c>
      <c r="P250" s="11">
        <v>30</v>
      </c>
      <c r="Q250" s="11">
        <v>30</v>
      </c>
      <c r="R250" s="11">
        <v>30</v>
      </c>
      <c r="S250" s="11">
        <v>30</v>
      </c>
      <c r="T250" s="11">
        <v>30</v>
      </c>
      <c r="U250" s="11">
        <v>30</v>
      </c>
      <c r="V250" s="11">
        <v>30</v>
      </c>
      <c r="W250" s="11">
        <v>30</v>
      </c>
      <c r="X250" s="11">
        <v>31</v>
      </c>
      <c r="Y250" s="11">
        <v>31</v>
      </c>
      <c r="Z250" s="11">
        <v>31</v>
      </c>
      <c r="AA250" s="11">
        <v>31</v>
      </c>
      <c r="AB250" s="11">
        <v>31</v>
      </c>
      <c r="AC250" s="11">
        <v>31</v>
      </c>
      <c r="AD250" s="11">
        <v>31</v>
      </c>
      <c r="AE250" s="11">
        <v>31</v>
      </c>
      <c r="AF250" s="11">
        <v>31</v>
      </c>
      <c r="AG250" s="11">
        <v>31</v>
      </c>
      <c r="AH250" s="11">
        <v>27</v>
      </c>
      <c r="AI250" s="11">
        <v>19</v>
      </c>
      <c r="AJ250" s="11">
        <v>19</v>
      </c>
      <c r="AK250" s="11">
        <v>19</v>
      </c>
      <c r="AL250" s="11">
        <v>18</v>
      </c>
      <c r="AM250" s="11">
        <v>18</v>
      </c>
      <c r="AN250" s="72">
        <v>18</v>
      </c>
      <c r="AO250" s="72">
        <v>18</v>
      </c>
      <c r="AP250" s="72">
        <v>18</v>
      </c>
      <c r="AQ250" s="72">
        <v>18</v>
      </c>
      <c r="AR250" s="72">
        <v>18</v>
      </c>
      <c r="AS250" s="72">
        <v>18</v>
      </c>
      <c r="AT250" s="72">
        <v>18</v>
      </c>
      <c r="AU250" s="72">
        <v>18</v>
      </c>
      <c r="AV250" s="72">
        <v>18</v>
      </c>
      <c r="AW250" s="72">
        <v>18</v>
      </c>
      <c r="AX250" s="72">
        <v>18</v>
      </c>
      <c r="AY250" s="72">
        <v>18</v>
      </c>
      <c r="AZ250" s="72">
        <v>18</v>
      </c>
      <c r="BA250" s="72">
        <v>18</v>
      </c>
      <c r="BB250" s="72">
        <v>15</v>
      </c>
      <c r="BC250" s="72">
        <v>15</v>
      </c>
      <c r="BD250" s="72">
        <v>15</v>
      </c>
      <c r="BE250" s="72">
        <v>15</v>
      </c>
      <c r="BF250" s="72">
        <v>15</v>
      </c>
      <c r="BG250" s="72">
        <v>15</v>
      </c>
      <c r="BH250" s="72">
        <v>10</v>
      </c>
      <c r="BI250" s="72">
        <v>10</v>
      </c>
      <c r="BJ250" s="72">
        <v>10</v>
      </c>
      <c r="BK250" s="72">
        <v>10</v>
      </c>
      <c r="BL250" s="72">
        <v>17</v>
      </c>
      <c r="BM250" s="72">
        <v>17</v>
      </c>
      <c r="BN250" s="72">
        <v>17</v>
      </c>
      <c r="BO250" s="72">
        <v>17</v>
      </c>
      <c r="BP250" s="72">
        <v>17</v>
      </c>
      <c r="BQ250" s="72">
        <v>17</v>
      </c>
      <c r="BR250" s="72">
        <v>17</v>
      </c>
      <c r="BS250" s="72">
        <v>15</v>
      </c>
      <c r="BT250" s="72">
        <v>15</v>
      </c>
      <c r="BU250" s="72">
        <v>15</v>
      </c>
      <c r="BV250" s="72">
        <v>15</v>
      </c>
      <c r="BW250" s="72">
        <v>15</v>
      </c>
      <c r="BX250" s="72">
        <v>15</v>
      </c>
      <c r="BY250" s="72">
        <v>15</v>
      </c>
      <c r="BZ250" s="72">
        <v>15</v>
      </c>
      <c r="CA250" s="72">
        <v>15</v>
      </c>
      <c r="CB250" s="72">
        <v>15</v>
      </c>
      <c r="CC250" s="72">
        <v>15</v>
      </c>
      <c r="CD250" s="72">
        <v>15</v>
      </c>
      <c r="CE250" s="72">
        <v>15</v>
      </c>
      <c r="CF250" s="72">
        <v>15</v>
      </c>
      <c r="CG250" s="72">
        <v>15</v>
      </c>
      <c r="CH250" s="72">
        <v>15</v>
      </c>
      <c r="CI250" s="72">
        <v>7</v>
      </c>
      <c r="CJ250" s="72">
        <v>7</v>
      </c>
      <c r="CK250" s="72">
        <v>7</v>
      </c>
      <c r="CL250" s="72">
        <v>7</v>
      </c>
      <c r="CM250" s="72">
        <v>7</v>
      </c>
      <c r="CN250" s="72">
        <v>7</v>
      </c>
      <c r="CO250" s="72">
        <v>7</v>
      </c>
      <c r="CP250" s="72">
        <v>7</v>
      </c>
      <c r="CQ250" s="72">
        <v>7</v>
      </c>
      <c r="CR250" s="72">
        <v>7</v>
      </c>
      <c r="CS250" s="72">
        <v>7</v>
      </c>
      <c r="CT250" s="72">
        <v>7</v>
      </c>
      <c r="CU250" s="72">
        <v>7</v>
      </c>
      <c r="CV250" s="72">
        <v>7</v>
      </c>
      <c r="CW250" s="72">
        <v>7</v>
      </c>
      <c r="CX250" s="72">
        <v>7</v>
      </c>
      <c r="CY250" s="72">
        <v>7</v>
      </c>
      <c r="CZ250" s="72">
        <v>7</v>
      </c>
      <c r="DA250" s="72">
        <v>7</v>
      </c>
      <c r="DB250" s="72">
        <v>7</v>
      </c>
      <c r="DC250" s="72">
        <v>7</v>
      </c>
      <c r="DD250" s="72">
        <v>7</v>
      </c>
      <c r="DE250" s="72">
        <v>7</v>
      </c>
      <c r="DF250" s="72">
        <v>7</v>
      </c>
      <c r="DG250" s="72">
        <v>7</v>
      </c>
      <c r="DH250" s="72">
        <v>5</v>
      </c>
      <c r="DI250" s="72">
        <v>5</v>
      </c>
      <c r="DJ250" s="72">
        <v>5</v>
      </c>
      <c r="DK250" s="72">
        <v>5</v>
      </c>
      <c r="DL250" s="72">
        <v>3</v>
      </c>
    </row>
    <row r="251" spans="1:116" x14ac:dyDescent="0.35">
      <c r="A251" s="7"/>
      <c r="B251" s="21" t="s">
        <v>463</v>
      </c>
      <c r="C251" s="22" t="s">
        <v>464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0</v>
      </c>
      <c r="J251" s="10"/>
      <c r="K251" s="10" t="s">
        <v>42</v>
      </c>
      <c r="L251" s="8"/>
      <c r="M251" s="12">
        <v>9.375</v>
      </c>
      <c r="N251" s="12">
        <f t="shared" si="5"/>
        <v>0</v>
      </c>
      <c r="O251" s="11">
        <v>3</v>
      </c>
      <c r="P251" s="11">
        <v>3</v>
      </c>
      <c r="Q251" s="11">
        <v>3</v>
      </c>
      <c r="R251" s="11">
        <v>3</v>
      </c>
      <c r="S251" s="11">
        <v>3</v>
      </c>
      <c r="T251" s="11">
        <v>3</v>
      </c>
      <c r="U251" s="11">
        <v>3</v>
      </c>
      <c r="V251" s="11">
        <v>3</v>
      </c>
      <c r="W251" s="11">
        <v>3</v>
      </c>
      <c r="X251" s="11">
        <v>3</v>
      </c>
      <c r="Y251" s="11">
        <v>3</v>
      </c>
      <c r="Z251" s="11">
        <v>3</v>
      </c>
      <c r="AA251" s="11">
        <v>3</v>
      </c>
      <c r="AB251" s="11">
        <v>3</v>
      </c>
      <c r="AC251" s="11">
        <v>3</v>
      </c>
      <c r="AD251" s="11">
        <v>3</v>
      </c>
      <c r="AE251" s="11">
        <v>3</v>
      </c>
      <c r="AF251" s="11">
        <v>0</v>
      </c>
      <c r="AG251" s="11">
        <v>0</v>
      </c>
      <c r="AH251" s="11">
        <v>0</v>
      </c>
      <c r="AI251" s="11">
        <v>0</v>
      </c>
      <c r="AJ251" s="11">
        <v>0</v>
      </c>
      <c r="AK251" s="11">
        <v>0</v>
      </c>
      <c r="AL251" s="11">
        <v>0</v>
      </c>
      <c r="AM251" s="11">
        <v>0</v>
      </c>
      <c r="AN251" s="72">
        <v>0</v>
      </c>
      <c r="AO251" s="72">
        <v>0</v>
      </c>
      <c r="AP251" s="72">
        <v>0</v>
      </c>
      <c r="AQ251" s="72">
        <v>0</v>
      </c>
      <c r="AR251" s="72">
        <v>0</v>
      </c>
      <c r="AS251" s="72">
        <v>0</v>
      </c>
      <c r="AT251" s="72">
        <v>0</v>
      </c>
      <c r="AU251" s="72">
        <v>0</v>
      </c>
      <c r="AV251" s="72">
        <v>0</v>
      </c>
      <c r="AW251" s="72">
        <v>0</v>
      </c>
      <c r="AX251" s="72">
        <v>0</v>
      </c>
      <c r="AY251" s="72">
        <v>0</v>
      </c>
      <c r="AZ251" s="72">
        <v>0</v>
      </c>
      <c r="BA251" s="72">
        <v>0</v>
      </c>
      <c r="BB251" s="72">
        <v>0</v>
      </c>
      <c r="BC251" s="72">
        <v>0</v>
      </c>
      <c r="BD251" s="72">
        <v>0</v>
      </c>
      <c r="BE251" s="72">
        <v>0</v>
      </c>
      <c r="BF251" s="72">
        <v>0</v>
      </c>
      <c r="BG251" s="72">
        <v>0</v>
      </c>
      <c r="BH251" s="72">
        <v>0</v>
      </c>
      <c r="BI251" s="72">
        <v>0</v>
      </c>
      <c r="BJ251" s="72">
        <v>0</v>
      </c>
      <c r="BK251" s="72">
        <v>0</v>
      </c>
      <c r="BL251" s="72">
        <v>0</v>
      </c>
      <c r="BM251" s="72">
        <v>0</v>
      </c>
      <c r="BN251" s="72">
        <v>0</v>
      </c>
      <c r="BO251" s="72">
        <v>0</v>
      </c>
      <c r="BP251" s="72">
        <v>0</v>
      </c>
      <c r="BQ251" s="72">
        <v>0</v>
      </c>
      <c r="BR251" s="72">
        <v>0</v>
      </c>
      <c r="BS251" s="72">
        <v>0</v>
      </c>
      <c r="BT251" s="72">
        <v>0</v>
      </c>
      <c r="BU251" s="72">
        <v>0</v>
      </c>
      <c r="BV251" s="72">
        <v>0</v>
      </c>
      <c r="BW251" s="72">
        <v>0</v>
      </c>
      <c r="BX251" s="72">
        <v>0</v>
      </c>
      <c r="BY251" s="72">
        <v>0</v>
      </c>
      <c r="BZ251" s="72">
        <v>0</v>
      </c>
      <c r="CA251" s="72">
        <v>0</v>
      </c>
      <c r="CB251" s="72">
        <v>0</v>
      </c>
      <c r="CC251" s="72">
        <v>0</v>
      </c>
      <c r="CD251" s="72">
        <v>0</v>
      </c>
      <c r="CE251" s="72">
        <v>0</v>
      </c>
      <c r="CF251" s="72">
        <v>0</v>
      </c>
      <c r="CG251" s="72">
        <v>0</v>
      </c>
      <c r="CH251" s="72">
        <v>0</v>
      </c>
      <c r="CI251" s="72">
        <v>0</v>
      </c>
      <c r="CJ251" s="72">
        <v>0</v>
      </c>
      <c r="CK251" s="72">
        <v>0</v>
      </c>
      <c r="CL251" s="72">
        <v>0</v>
      </c>
      <c r="CM251" s="72">
        <v>0</v>
      </c>
      <c r="CN251" s="72">
        <v>0</v>
      </c>
      <c r="CO251" s="72">
        <v>0</v>
      </c>
      <c r="CP251" s="72">
        <v>0</v>
      </c>
      <c r="CQ251" s="72">
        <v>0</v>
      </c>
      <c r="CR251" s="72">
        <v>0</v>
      </c>
      <c r="CS251" s="72">
        <v>0</v>
      </c>
      <c r="CT251" s="72">
        <v>0</v>
      </c>
      <c r="CU251" s="72">
        <v>0</v>
      </c>
      <c r="CV251" s="72">
        <v>0</v>
      </c>
      <c r="CW251" s="72">
        <v>0</v>
      </c>
      <c r="CX251" s="72">
        <v>0</v>
      </c>
      <c r="CY251" s="72">
        <v>0</v>
      </c>
      <c r="CZ251" s="72">
        <v>0</v>
      </c>
      <c r="DA251" s="72">
        <v>0</v>
      </c>
      <c r="DB251" s="72">
        <v>0</v>
      </c>
      <c r="DC251" s="72">
        <v>0</v>
      </c>
      <c r="DD251" s="72">
        <v>0</v>
      </c>
      <c r="DE251" s="72">
        <v>0</v>
      </c>
      <c r="DF251" s="72">
        <v>0</v>
      </c>
      <c r="DG251" s="72">
        <v>0</v>
      </c>
      <c r="DH251" s="72">
        <v>0</v>
      </c>
      <c r="DI251" s="72">
        <v>0</v>
      </c>
      <c r="DJ251" s="72">
        <v>0</v>
      </c>
      <c r="DK251" s="72">
        <v>0</v>
      </c>
      <c r="DL251" s="72">
        <v>0</v>
      </c>
    </row>
    <row r="252" spans="1:116" x14ac:dyDescent="0.35">
      <c r="A252" s="7"/>
      <c r="B252" s="8" t="s">
        <v>465</v>
      </c>
      <c r="C252" s="78" t="s">
        <v>1344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5</v>
      </c>
      <c r="J252" s="10"/>
      <c r="K252" s="10"/>
      <c r="L252" s="8"/>
      <c r="M252" s="12">
        <v>16.25</v>
      </c>
      <c r="N252" s="12">
        <f t="shared" si="5"/>
        <v>81.25</v>
      </c>
      <c r="O252" s="11">
        <v>5</v>
      </c>
      <c r="P252" s="11">
        <v>5</v>
      </c>
      <c r="Q252" s="11">
        <v>5</v>
      </c>
      <c r="R252" s="11">
        <v>5</v>
      </c>
      <c r="S252" s="11">
        <v>5</v>
      </c>
      <c r="T252" s="11">
        <v>5</v>
      </c>
      <c r="U252" s="11">
        <v>5</v>
      </c>
      <c r="V252" s="11">
        <v>5</v>
      </c>
      <c r="W252" s="11">
        <v>5</v>
      </c>
      <c r="X252" s="11">
        <v>5</v>
      </c>
      <c r="Y252" s="11">
        <v>5</v>
      </c>
      <c r="Z252" s="11">
        <v>5</v>
      </c>
      <c r="AA252" s="11">
        <v>5</v>
      </c>
      <c r="AB252" s="11">
        <v>5</v>
      </c>
      <c r="AC252" s="11">
        <v>5</v>
      </c>
      <c r="AD252" s="11">
        <v>5</v>
      </c>
      <c r="AE252" s="11">
        <v>5</v>
      </c>
      <c r="AF252" s="11">
        <v>5</v>
      </c>
      <c r="AG252" s="11">
        <v>5</v>
      </c>
      <c r="AH252" s="11">
        <v>5</v>
      </c>
      <c r="AI252" s="11">
        <v>5</v>
      </c>
      <c r="AJ252" s="11">
        <v>5</v>
      </c>
      <c r="AK252" s="11">
        <v>5</v>
      </c>
      <c r="AL252" s="11">
        <v>5</v>
      </c>
      <c r="AM252" s="11">
        <v>5</v>
      </c>
      <c r="AN252" s="72">
        <v>5</v>
      </c>
      <c r="AO252" s="72">
        <v>5</v>
      </c>
      <c r="AP252" s="72">
        <v>5</v>
      </c>
      <c r="AQ252" s="72">
        <v>5</v>
      </c>
      <c r="AR252" s="72">
        <v>5</v>
      </c>
      <c r="AS252" s="72">
        <v>5</v>
      </c>
      <c r="AT252" s="72">
        <v>5</v>
      </c>
      <c r="AU252" s="72">
        <v>5</v>
      </c>
      <c r="AV252" s="72">
        <v>5</v>
      </c>
      <c r="AW252" s="72">
        <v>5</v>
      </c>
      <c r="AX252" s="72">
        <v>5</v>
      </c>
      <c r="AY252" s="72">
        <v>5</v>
      </c>
      <c r="AZ252" s="72">
        <v>5</v>
      </c>
      <c r="BA252" s="72">
        <v>5</v>
      </c>
      <c r="BB252" s="72">
        <v>5</v>
      </c>
      <c r="BC252" s="72">
        <v>5</v>
      </c>
      <c r="BD252" s="72">
        <v>5</v>
      </c>
      <c r="BE252" s="72">
        <v>5</v>
      </c>
      <c r="BF252" s="72">
        <v>5</v>
      </c>
      <c r="BG252" s="72">
        <v>5</v>
      </c>
      <c r="BH252" s="72">
        <v>5</v>
      </c>
      <c r="BI252" s="72">
        <v>5</v>
      </c>
      <c r="BJ252" s="72">
        <v>5</v>
      </c>
      <c r="BK252" s="72">
        <v>5</v>
      </c>
      <c r="BL252" s="72">
        <v>5</v>
      </c>
      <c r="BM252" s="72">
        <v>5</v>
      </c>
      <c r="BN252" s="72">
        <v>5</v>
      </c>
      <c r="BO252" s="72">
        <v>5</v>
      </c>
      <c r="BP252" s="72">
        <v>5</v>
      </c>
      <c r="BQ252" s="72">
        <v>5</v>
      </c>
      <c r="BR252" s="72">
        <v>5</v>
      </c>
      <c r="BS252" s="72">
        <v>5</v>
      </c>
      <c r="BT252" s="72">
        <v>5</v>
      </c>
      <c r="BU252" s="72">
        <v>5</v>
      </c>
      <c r="BV252" s="72">
        <v>5</v>
      </c>
      <c r="BW252" s="72">
        <v>5</v>
      </c>
      <c r="BX252" s="72">
        <v>5</v>
      </c>
      <c r="BY252" s="72">
        <v>5</v>
      </c>
      <c r="BZ252" s="72">
        <v>5</v>
      </c>
      <c r="CA252" s="72">
        <v>5</v>
      </c>
      <c r="CB252" s="72">
        <v>5</v>
      </c>
      <c r="CC252" s="72">
        <v>5</v>
      </c>
      <c r="CD252" s="72">
        <v>5</v>
      </c>
      <c r="CE252" s="72">
        <v>5</v>
      </c>
      <c r="CF252" s="72">
        <v>5</v>
      </c>
      <c r="CG252" s="72">
        <v>5</v>
      </c>
      <c r="CH252" s="72">
        <v>5</v>
      </c>
      <c r="CI252" s="72">
        <v>5</v>
      </c>
      <c r="CJ252" s="72">
        <v>5</v>
      </c>
      <c r="CK252" s="72">
        <v>5</v>
      </c>
      <c r="CL252" s="72">
        <v>5</v>
      </c>
      <c r="CM252" s="72">
        <v>5</v>
      </c>
      <c r="CN252" s="72">
        <v>5</v>
      </c>
      <c r="CO252" s="72">
        <v>5</v>
      </c>
      <c r="CP252" s="72">
        <v>5</v>
      </c>
      <c r="CQ252" s="72">
        <v>5</v>
      </c>
      <c r="CR252" s="72">
        <v>5</v>
      </c>
      <c r="CS252" s="72">
        <v>5</v>
      </c>
      <c r="CT252" s="72">
        <v>5</v>
      </c>
      <c r="CU252" s="72">
        <v>5</v>
      </c>
      <c r="CV252" s="72">
        <v>5</v>
      </c>
      <c r="CW252" s="72">
        <v>5</v>
      </c>
      <c r="CX252" s="72">
        <v>5</v>
      </c>
      <c r="CY252" s="72">
        <v>5</v>
      </c>
      <c r="CZ252" s="72">
        <v>5</v>
      </c>
      <c r="DA252" s="72">
        <v>5</v>
      </c>
      <c r="DB252" s="72">
        <v>5</v>
      </c>
      <c r="DC252" s="72">
        <v>5</v>
      </c>
      <c r="DD252" s="72">
        <v>5</v>
      </c>
      <c r="DE252" s="72">
        <v>5</v>
      </c>
      <c r="DF252" s="72">
        <v>5</v>
      </c>
      <c r="DG252" s="72">
        <v>5</v>
      </c>
      <c r="DH252" s="72">
        <v>5</v>
      </c>
      <c r="DI252" s="72">
        <v>5</v>
      </c>
      <c r="DJ252" s="72">
        <v>5</v>
      </c>
      <c r="DK252" s="72">
        <v>5</v>
      </c>
      <c r="DL252" s="72">
        <v>5</v>
      </c>
    </row>
    <row r="253" spans="1:116" x14ac:dyDescent="0.35">
      <c r="A253" s="7"/>
      <c r="B253" s="8" t="s">
        <v>466</v>
      </c>
      <c r="C253" s="9" t="s">
        <v>467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/>
      <c r="L253" s="8" t="s">
        <v>468</v>
      </c>
      <c r="M253" s="12"/>
      <c r="N253" s="12">
        <f t="shared" si="5"/>
        <v>0</v>
      </c>
      <c r="O253" s="11">
        <v>20</v>
      </c>
      <c r="P253" s="11">
        <v>0</v>
      </c>
      <c r="Q253" s="11">
        <v>0</v>
      </c>
      <c r="R253" s="11">
        <v>0</v>
      </c>
      <c r="S253" s="11">
        <v>0</v>
      </c>
      <c r="T253" s="11">
        <v>0</v>
      </c>
      <c r="U253" s="11">
        <v>0</v>
      </c>
      <c r="V253" s="11">
        <v>0</v>
      </c>
      <c r="W253" s="11">
        <v>0</v>
      </c>
      <c r="X253" s="11">
        <v>0</v>
      </c>
      <c r="Y253" s="11">
        <v>0</v>
      </c>
      <c r="Z253" s="11">
        <v>0</v>
      </c>
      <c r="AA253" s="11">
        <v>0</v>
      </c>
      <c r="AB253" s="11">
        <v>0</v>
      </c>
      <c r="AC253" s="11">
        <v>0</v>
      </c>
      <c r="AD253" s="11">
        <v>0</v>
      </c>
      <c r="AE253" s="11">
        <v>0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</row>
    <row r="254" spans="1:116" x14ac:dyDescent="0.35">
      <c r="A254" s="7"/>
      <c r="B254" s="8" t="s">
        <v>469</v>
      </c>
      <c r="C254" s="9" t="s">
        <v>1164</v>
      </c>
      <c r="D254" s="10" t="s">
        <v>92</v>
      </c>
      <c r="E254" s="8" t="s">
        <v>1207</v>
      </c>
      <c r="F254" s="10">
        <v>1006</v>
      </c>
      <c r="G254" s="10" t="s">
        <v>92</v>
      </c>
      <c r="H254" s="10" t="s">
        <v>41</v>
      </c>
      <c r="I254" s="11">
        <v>8</v>
      </c>
      <c r="J254" s="10"/>
      <c r="K254" s="10"/>
      <c r="L254" s="8" t="s">
        <v>468</v>
      </c>
      <c r="M254" s="12"/>
      <c r="N254" s="12">
        <f t="shared" si="5"/>
        <v>0</v>
      </c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>
        <v>8</v>
      </c>
      <c r="AK254" s="11">
        <v>8</v>
      </c>
      <c r="AL254" s="11">
        <v>8</v>
      </c>
      <c r="AM254" s="11">
        <v>8</v>
      </c>
      <c r="AN254" s="72">
        <v>8</v>
      </c>
      <c r="AO254" s="72">
        <v>8</v>
      </c>
      <c r="AP254" s="72">
        <v>8</v>
      </c>
      <c r="AQ254" s="72">
        <v>8</v>
      </c>
      <c r="AR254" s="72">
        <v>8</v>
      </c>
      <c r="AS254" s="72">
        <v>8</v>
      </c>
      <c r="AT254" s="72">
        <v>8</v>
      </c>
      <c r="AU254" s="72">
        <v>8</v>
      </c>
      <c r="AV254" s="72">
        <v>8</v>
      </c>
      <c r="AW254" s="72">
        <v>8</v>
      </c>
      <c r="AX254" s="72">
        <v>8</v>
      </c>
      <c r="AY254" s="72">
        <v>8</v>
      </c>
      <c r="AZ254" s="72">
        <v>8</v>
      </c>
      <c r="BA254" s="72">
        <v>8</v>
      </c>
      <c r="BB254" s="72">
        <v>8</v>
      </c>
      <c r="BC254" s="72">
        <v>8</v>
      </c>
      <c r="BD254" s="72">
        <v>8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0</v>
      </c>
      <c r="DJ254" s="72">
        <v>0</v>
      </c>
      <c r="DK254" s="72">
        <v>0</v>
      </c>
      <c r="DL254" s="72">
        <v>0</v>
      </c>
    </row>
    <row r="255" spans="1:116" x14ac:dyDescent="0.35">
      <c r="A255" s="7"/>
      <c r="B255" s="8" t="s">
        <v>470</v>
      </c>
      <c r="C255" s="9" t="s">
        <v>471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</row>
    <row r="256" spans="1:116" x14ac:dyDescent="0.35">
      <c r="A256" s="7"/>
      <c r="B256" s="8" t="s">
        <v>472</v>
      </c>
      <c r="C256" s="9" t="s">
        <v>473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0</v>
      </c>
      <c r="J256" s="10"/>
      <c r="K256" s="10"/>
      <c r="L256" s="8" t="s">
        <v>468</v>
      </c>
      <c r="M256" s="12"/>
      <c r="N256" s="12">
        <f t="shared" si="5"/>
        <v>0</v>
      </c>
      <c r="O256" s="11">
        <v>8</v>
      </c>
      <c r="P256" s="11">
        <v>0</v>
      </c>
      <c r="Q256" s="11">
        <v>0</v>
      </c>
      <c r="R256" s="11">
        <v>0</v>
      </c>
      <c r="S256" s="11">
        <v>0</v>
      </c>
      <c r="T256" s="11">
        <v>0</v>
      </c>
      <c r="U256" s="11">
        <v>0</v>
      </c>
      <c r="V256" s="11">
        <v>0</v>
      </c>
      <c r="W256" s="11">
        <v>0</v>
      </c>
      <c r="X256" s="11">
        <v>0</v>
      </c>
      <c r="Y256" s="11">
        <v>0</v>
      </c>
      <c r="Z256" s="11">
        <v>0</v>
      </c>
      <c r="AA256" s="11">
        <v>0</v>
      </c>
      <c r="AB256" s="11">
        <v>0</v>
      </c>
      <c r="AC256" s="11">
        <v>0</v>
      </c>
      <c r="AD256" s="11">
        <v>0</v>
      </c>
      <c r="AE256" s="11">
        <v>0</v>
      </c>
      <c r="AF256" s="11">
        <v>0</v>
      </c>
      <c r="AG256" s="11">
        <v>0</v>
      </c>
      <c r="AH256" s="11">
        <v>0</v>
      </c>
      <c r="AI256" s="11">
        <v>0</v>
      </c>
      <c r="AJ256" s="11">
        <v>0</v>
      </c>
      <c r="AK256" s="11">
        <v>0</v>
      </c>
      <c r="AL256" s="11">
        <v>0</v>
      </c>
      <c r="AM256" s="11">
        <v>0</v>
      </c>
      <c r="AN256" s="72">
        <v>0</v>
      </c>
      <c r="AO256" s="72">
        <v>0</v>
      </c>
      <c r="AP256" s="72">
        <v>0</v>
      </c>
      <c r="AQ256" s="72">
        <v>0</v>
      </c>
      <c r="AR256" s="72">
        <v>0</v>
      </c>
      <c r="AS256" s="72">
        <v>0</v>
      </c>
      <c r="AT256" s="72">
        <v>0</v>
      </c>
      <c r="AU256" s="72">
        <v>0</v>
      </c>
      <c r="AV256" s="72">
        <v>0</v>
      </c>
      <c r="AW256" s="72">
        <v>0</v>
      </c>
      <c r="AX256" s="72">
        <v>0</v>
      </c>
      <c r="AY256" s="72">
        <v>0</v>
      </c>
      <c r="AZ256" s="72">
        <v>0</v>
      </c>
      <c r="BA256" s="72">
        <v>0</v>
      </c>
      <c r="BB256" s="72">
        <v>0</v>
      </c>
      <c r="BC256" s="72">
        <v>0</v>
      </c>
      <c r="BD256" s="72">
        <v>0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</row>
    <row r="257" spans="1:116" x14ac:dyDescent="0.35">
      <c r="A257" s="7"/>
      <c r="B257" s="8" t="s">
        <v>474</v>
      </c>
      <c r="C257" s="9" t="s">
        <v>1163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8</v>
      </c>
      <c r="J257" s="10"/>
      <c r="K257" s="10"/>
      <c r="L257" s="8" t="s">
        <v>468</v>
      </c>
      <c r="M257" s="12"/>
      <c r="N257" s="12">
        <f t="shared" si="5"/>
        <v>0</v>
      </c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>
        <v>8</v>
      </c>
      <c r="AK257" s="11">
        <v>8</v>
      </c>
      <c r="AL257" s="11">
        <v>8</v>
      </c>
      <c r="AM257" s="11">
        <v>8</v>
      </c>
      <c r="AN257" s="72">
        <v>8</v>
      </c>
      <c r="AO257" s="72">
        <v>8</v>
      </c>
      <c r="AP257" s="72">
        <v>8</v>
      </c>
      <c r="AQ257" s="72">
        <v>8</v>
      </c>
      <c r="AR257" s="72">
        <v>8</v>
      </c>
      <c r="AS257" s="72">
        <v>8</v>
      </c>
      <c r="AT257" s="72">
        <v>8</v>
      </c>
      <c r="AU257" s="72">
        <v>8</v>
      </c>
      <c r="AV257" s="72">
        <v>8</v>
      </c>
      <c r="AW257" s="72">
        <v>8</v>
      </c>
      <c r="AX257" s="72">
        <v>8</v>
      </c>
      <c r="AY257" s="72">
        <v>8</v>
      </c>
      <c r="AZ257" s="72">
        <v>8</v>
      </c>
      <c r="BA257" s="72">
        <v>8</v>
      </c>
      <c r="BB257" s="72">
        <v>8</v>
      </c>
      <c r="BC257" s="72">
        <v>8</v>
      </c>
      <c r="BD257" s="72">
        <v>8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</row>
    <row r="258" spans="1:116" x14ac:dyDescent="0.35">
      <c r="A258" s="7"/>
      <c r="B258" s="8" t="s">
        <v>475</v>
      </c>
      <c r="C258" s="9" t="s">
        <v>476</v>
      </c>
      <c r="D258" s="10" t="s">
        <v>92</v>
      </c>
      <c r="E258" s="8" t="s">
        <v>1204</v>
      </c>
      <c r="F258" s="10">
        <v>1002</v>
      </c>
      <c r="G258" s="10" t="s">
        <v>92</v>
      </c>
      <c r="H258" s="10" t="s">
        <v>41</v>
      </c>
      <c r="I258" s="11">
        <v>5</v>
      </c>
      <c r="J258" s="10"/>
      <c r="K258" s="10" t="s">
        <v>42</v>
      </c>
      <c r="L258" s="8"/>
      <c r="M258" s="12">
        <v>17.64</v>
      </c>
      <c r="N258" s="12">
        <f t="shared" si="5"/>
        <v>52.92</v>
      </c>
      <c r="O258" s="11">
        <v>5</v>
      </c>
      <c r="P258" s="11">
        <v>5</v>
      </c>
      <c r="Q258" s="11">
        <v>5</v>
      </c>
      <c r="R258" s="11">
        <v>5</v>
      </c>
      <c r="S258" s="11">
        <v>5</v>
      </c>
      <c r="T258" s="11">
        <v>5</v>
      </c>
      <c r="U258" s="11">
        <v>5</v>
      </c>
      <c r="V258" s="11">
        <v>5</v>
      </c>
      <c r="W258" s="11">
        <v>5</v>
      </c>
      <c r="X258" s="11">
        <v>5</v>
      </c>
      <c r="Y258" s="11">
        <v>5</v>
      </c>
      <c r="Z258" s="11">
        <v>5</v>
      </c>
      <c r="AA258" s="11">
        <v>5</v>
      </c>
      <c r="AB258" s="11">
        <v>5</v>
      </c>
      <c r="AC258" s="11">
        <v>5</v>
      </c>
      <c r="AD258" s="11">
        <v>5</v>
      </c>
      <c r="AE258" s="11">
        <v>5</v>
      </c>
      <c r="AF258" s="11">
        <v>5</v>
      </c>
      <c r="AG258" s="11">
        <v>5</v>
      </c>
      <c r="AH258" s="11">
        <v>5</v>
      </c>
      <c r="AI258" s="11">
        <v>5</v>
      </c>
      <c r="AJ258" s="11">
        <v>5</v>
      </c>
      <c r="AK258" s="11">
        <v>5</v>
      </c>
      <c r="AL258" s="11">
        <v>3</v>
      </c>
      <c r="AM258" s="11">
        <v>3</v>
      </c>
      <c r="AN258" s="72">
        <v>3</v>
      </c>
      <c r="AO258" s="72">
        <v>3</v>
      </c>
      <c r="AP258" s="72">
        <v>3</v>
      </c>
      <c r="AQ258" s="72">
        <v>3</v>
      </c>
      <c r="AR258" s="72">
        <v>3</v>
      </c>
      <c r="AS258" s="72">
        <v>3</v>
      </c>
      <c r="AT258" s="72">
        <v>3</v>
      </c>
      <c r="AU258" s="72">
        <v>3</v>
      </c>
      <c r="AV258" s="72">
        <v>3</v>
      </c>
      <c r="AW258" s="72">
        <v>3</v>
      </c>
      <c r="AX258" s="72">
        <v>3</v>
      </c>
      <c r="AY258" s="72">
        <v>3</v>
      </c>
      <c r="AZ258" s="72">
        <v>3</v>
      </c>
      <c r="BA258" s="72">
        <v>3</v>
      </c>
      <c r="BB258" s="72">
        <v>3</v>
      </c>
      <c r="BC258" s="72">
        <v>3</v>
      </c>
      <c r="BD258" s="72">
        <v>3</v>
      </c>
      <c r="BE258" s="72">
        <v>3</v>
      </c>
      <c r="BF258" s="72">
        <v>3</v>
      </c>
      <c r="BG258" s="72">
        <v>3</v>
      </c>
      <c r="BH258" s="72">
        <v>3</v>
      </c>
      <c r="BI258" s="72">
        <v>3</v>
      </c>
      <c r="BJ258" s="72">
        <v>3</v>
      </c>
      <c r="BK258" s="72">
        <v>3</v>
      </c>
      <c r="BL258" s="72">
        <v>3</v>
      </c>
      <c r="BM258" s="72">
        <v>3</v>
      </c>
      <c r="BN258" s="72">
        <v>3</v>
      </c>
      <c r="BO258" s="72">
        <v>3</v>
      </c>
      <c r="BP258" s="72">
        <v>3</v>
      </c>
      <c r="BQ258" s="72">
        <v>3</v>
      </c>
      <c r="BR258" s="72">
        <v>3</v>
      </c>
      <c r="BS258" s="72">
        <v>3</v>
      </c>
      <c r="BT258" s="72">
        <v>3</v>
      </c>
      <c r="BU258" s="72">
        <v>3</v>
      </c>
      <c r="BV258" s="72">
        <v>3</v>
      </c>
      <c r="BW258" s="72">
        <v>3</v>
      </c>
      <c r="BX258" s="72">
        <v>3</v>
      </c>
      <c r="BY258" s="72">
        <v>3</v>
      </c>
      <c r="BZ258" s="72">
        <v>3</v>
      </c>
      <c r="CA258" s="72">
        <v>3</v>
      </c>
      <c r="CB258" s="72">
        <v>3</v>
      </c>
      <c r="CC258" s="72">
        <v>3</v>
      </c>
      <c r="CD258" s="72">
        <v>3</v>
      </c>
      <c r="CE258" s="72">
        <v>3</v>
      </c>
      <c r="CF258" s="72">
        <v>3</v>
      </c>
      <c r="CG258" s="72">
        <v>3</v>
      </c>
      <c r="CH258" s="72">
        <v>3</v>
      </c>
      <c r="CI258" s="72">
        <v>3</v>
      </c>
      <c r="CJ258" s="72">
        <v>3</v>
      </c>
      <c r="CK258" s="72">
        <v>3</v>
      </c>
      <c r="CL258" s="72">
        <v>3</v>
      </c>
      <c r="CM258" s="72">
        <v>3</v>
      </c>
      <c r="CN258" s="72">
        <v>3</v>
      </c>
      <c r="CO258" s="72">
        <v>3</v>
      </c>
      <c r="CP258" s="72">
        <v>3</v>
      </c>
      <c r="CQ258" s="72">
        <v>3</v>
      </c>
      <c r="CR258" s="72">
        <v>3</v>
      </c>
      <c r="CS258" s="72">
        <v>3</v>
      </c>
      <c r="CT258" s="72">
        <v>3</v>
      </c>
      <c r="CU258" s="72">
        <v>3</v>
      </c>
      <c r="CV258" s="72">
        <v>3</v>
      </c>
      <c r="CW258" s="72">
        <v>3</v>
      </c>
      <c r="CX258" s="72">
        <v>3</v>
      </c>
      <c r="CY258" s="72">
        <v>3</v>
      </c>
      <c r="CZ258" s="72">
        <v>3</v>
      </c>
      <c r="DA258" s="72">
        <v>3</v>
      </c>
      <c r="DB258" s="72">
        <v>3</v>
      </c>
      <c r="DC258" s="72">
        <v>3</v>
      </c>
      <c r="DD258" s="72">
        <v>3</v>
      </c>
      <c r="DE258" s="72">
        <v>3</v>
      </c>
      <c r="DF258" s="72">
        <v>3</v>
      </c>
      <c r="DG258" s="72">
        <v>3</v>
      </c>
      <c r="DH258" s="72">
        <v>3</v>
      </c>
      <c r="DI258" s="72">
        <v>3</v>
      </c>
      <c r="DJ258" s="72">
        <v>3</v>
      </c>
      <c r="DK258" s="72">
        <v>3</v>
      </c>
      <c r="DL258" s="72">
        <v>3</v>
      </c>
    </row>
    <row r="259" spans="1:116" x14ac:dyDescent="0.35">
      <c r="A259" s="7"/>
      <c r="B259" s="8" t="s">
        <v>477</v>
      </c>
      <c r="C259" s="9" t="s">
        <v>478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32</v>
      </c>
      <c r="J259" s="10">
        <v>2</v>
      </c>
      <c r="K259" s="10" t="s">
        <v>135</v>
      </c>
      <c r="L259" s="8" t="s">
        <v>479</v>
      </c>
      <c r="M259" s="12">
        <v>4.95</v>
      </c>
      <c r="N259" s="12">
        <f t="shared" ref="N259:N322" si="6">M259*DL259</f>
        <v>0</v>
      </c>
      <c r="O259" s="11">
        <v>100</v>
      </c>
      <c r="P259" s="11">
        <v>60</v>
      </c>
      <c r="Q259" s="11">
        <v>60</v>
      </c>
      <c r="R259" s="11">
        <v>60</v>
      </c>
      <c r="S259" s="11">
        <v>60</v>
      </c>
      <c r="T259" s="11">
        <v>62</v>
      </c>
      <c r="U259" s="11">
        <v>62</v>
      </c>
      <c r="V259" s="11">
        <v>62</v>
      </c>
      <c r="W259" s="11">
        <v>62</v>
      </c>
      <c r="X259" s="11">
        <v>62</v>
      </c>
      <c r="Y259" s="11">
        <v>37</v>
      </c>
      <c r="Z259" s="11">
        <v>34</v>
      </c>
      <c r="AA259" s="11">
        <v>34</v>
      </c>
      <c r="AB259" s="11">
        <v>34</v>
      </c>
      <c r="AC259" s="11">
        <v>34</v>
      </c>
      <c r="AD259" s="11">
        <v>34</v>
      </c>
      <c r="AE259" s="11">
        <v>34</v>
      </c>
      <c r="AF259" s="11">
        <v>34</v>
      </c>
      <c r="AG259" s="11">
        <v>34</v>
      </c>
      <c r="AH259" s="11">
        <v>32</v>
      </c>
      <c r="AI259" s="11">
        <v>32</v>
      </c>
      <c r="AJ259" s="11">
        <v>32</v>
      </c>
      <c r="AK259" s="11">
        <v>32</v>
      </c>
      <c r="AL259" s="11">
        <v>32</v>
      </c>
      <c r="AM259" s="11">
        <v>32</v>
      </c>
      <c r="AN259" s="72">
        <v>32</v>
      </c>
      <c r="AO259" s="72">
        <v>32</v>
      </c>
      <c r="AP259" s="72">
        <v>32</v>
      </c>
      <c r="AQ259" s="72">
        <v>32</v>
      </c>
      <c r="AR259" s="72">
        <v>24</v>
      </c>
      <c r="AS259" s="72">
        <v>24</v>
      </c>
      <c r="AT259" s="72">
        <v>4</v>
      </c>
      <c r="AU259" s="72">
        <v>4</v>
      </c>
      <c r="AV259" s="72">
        <v>4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50</v>
      </c>
      <c r="BE259" s="72">
        <v>40</v>
      </c>
      <c r="BF259" s="72">
        <v>8</v>
      </c>
      <c r="BG259" s="72">
        <v>8</v>
      </c>
      <c r="BH259" s="72">
        <v>38</v>
      </c>
      <c r="BI259" s="72">
        <v>38</v>
      </c>
      <c r="BJ259" s="72">
        <v>38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25</v>
      </c>
      <c r="BP259" s="72">
        <v>25</v>
      </c>
      <c r="BQ259" s="72">
        <v>19</v>
      </c>
      <c r="BR259" s="72">
        <v>16</v>
      </c>
      <c r="BS259" s="72">
        <v>15</v>
      </c>
      <c r="BT259" s="72">
        <v>15</v>
      </c>
      <c r="BU259" s="72">
        <v>14</v>
      </c>
      <c r="BV259" s="72">
        <v>4</v>
      </c>
      <c r="BW259" s="72">
        <v>0</v>
      </c>
      <c r="BX259" s="72">
        <v>0</v>
      </c>
      <c r="BY259" s="72">
        <v>40</v>
      </c>
      <c r="BZ259" s="72">
        <v>20</v>
      </c>
      <c r="CA259" s="72">
        <v>10</v>
      </c>
      <c r="CB259" s="72">
        <v>10</v>
      </c>
      <c r="CC259" s="72">
        <v>10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</row>
    <row r="260" spans="1:116" x14ac:dyDescent="0.35">
      <c r="A260" s="7"/>
      <c r="B260" s="8" t="s">
        <v>480</v>
      </c>
      <c r="C260" s="9" t="s">
        <v>481</v>
      </c>
      <c r="D260" s="10" t="s">
        <v>92</v>
      </c>
      <c r="E260" s="8" t="s">
        <v>1205</v>
      </c>
      <c r="F260" s="10">
        <v>1103</v>
      </c>
      <c r="G260" s="10" t="s">
        <v>92</v>
      </c>
      <c r="H260" s="10" t="s">
        <v>41</v>
      </c>
      <c r="I260" s="11">
        <v>8</v>
      </c>
      <c r="J260" s="10">
        <v>1</v>
      </c>
      <c r="K260" s="10" t="s">
        <v>135</v>
      </c>
      <c r="L260" s="8" t="s">
        <v>248</v>
      </c>
      <c r="M260" s="12">
        <v>2.48</v>
      </c>
      <c r="N260" s="12">
        <f t="shared" si="6"/>
        <v>57.04</v>
      </c>
      <c r="O260" s="11">
        <v>0</v>
      </c>
      <c r="P260" s="11">
        <v>0</v>
      </c>
      <c r="Q260" s="11">
        <v>0</v>
      </c>
      <c r="R260" s="11">
        <v>0</v>
      </c>
      <c r="S260" s="11">
        <v>6</v>
      </c>
      <c r="T260" s="11">
        <v>7</v>
      </c>
      <c r="U260" s="11">
        <v>7</v>
      </c>
      <c r="V260" s="11">
        <v>8</v>
      </c>
      <c r="W260" s="11">
        <v>8</v>
      </c>
      <c r="X260" s="11">
        <v>8</v>
      </c>
      <c r="Y260" s="11">
        <v>8</v>
      </c>
      <c r="Z260" s="11">
        <v>8</v>
      </c>
      <c r="AA260" s="11">
        <v>8</v>
      </c>
      <c r="AB260" s="11">
        <v>8</v>
      </c>
      <c r="AC260" s="11">
        <v>8</v>
      </c>
      <c r="AD260" s="11">
        <v>8</v>
      </c>
      <c r="AE260" s="11">
        <v>8</v>
      </c>
      <c r="AF260" s="11">
        <v>8</v>
      </c>
      <c r="AG260" s="11">
        <v>8</v>
      </c>
      <c r="AH260" s="11">
        <v>8</v>
      </c>
      <c r="AI260" s="11">
        <v>8</v>
      </c>
      <c r="AJ260" s="11">
        <v>8</v>
      </c>
      <c r="AK260" s="11">
        <v>8</v>
      </c>
      <c r="AL260" s="11">
        <v>8</v>
      </c>
      <c r="AM260" s="11">
        <v>8</v>
      </c>
      <c r="AN260" s="72">
        <v>8</v>
      </c>
      <c r="AO260" s="72">
        <v>8</v>
      </c>
      <c r="AP260" s="72">
        <v>8</v>
      </c>
      <c r="AQ260" s="72">
        <v>8</v>
      </c>
      <c r="AR260" s="72">
        <v>8</v>
      </c>
      <c r="AS260" s="72">
        <v>8</v>
      </c>
      <c r="AT260" s="72">
        <v>8</v>
      </c>
      <c r="AU260" s="72">
        <v>8</v>
      </c>
      <c r="AV260" s="72">
        <v>8</v>
      </c>
      <c r="AW260" s="72">
        <v>8</v>
      </c>
      <c r="AX260" s="72">
        <v>8</v>
      </c>
      <c r="AY260" s="72">
        <v>8</v>
      </c>
      <c r="AZ260" s="72">
        <v>8</v>
      </c>
      <c r="BA260" s="72">
        <v>8</v>
      </c>
      <c r="BB260" s="72">
        <v>8</v>
      </c>
      <c r="BC260" s="72">
        <v>8</v>
      </c>
      <c r="BD260" s="72">
        <v>28</v>
      </c>
      <c r="BE260" s="72">
        <v>28</v>
      </c>
      <c r="BF260" s="72">
        <v>28</v>
      </c>
      <c r="BG260" s="72">
        <v>28</v>
      </c>
      <c r="BH260" s="72">
        <v>28</v>
      </c>
      <c r="BI260" s="72">
        <v>28</v>
      </c>
      <c r="BJ260" s="72">
        <v>28</v>
      </c>
      <c r="BK260" s="72">
        <v>28</v>
      </c>
      <c r="BL260" s="72">
        <v>28</v>
      </c>
      <c r="BM260" s="72">
        <v>28</v>
      </c>
      <c r="BN260" s="72">
        <v>28</v>
      </c>
      <c r="BO260" s="72">
        <v>28</v>
      </c>
      <c r="BP260" s="72">
        <v>28</v>
      </c>
      <c r="BQ260" s="72">
        <v>28</v>
      </c>
      <c r="BR260" s="72">
        <v>28</v>
      </c>
      <c r="BS260" s="72">
        <v>26</v>
      </c>
      <c r="BT260" s="72">
        <v>26</v>
      </c>
      <c r="BU260" s="72">
        <v>26</v>
      </c>
      <c r="BV260" s="72">
        <v>23</v>
      </c>
      <c r="BW260" s="72">
        <v>23</v>
      </c>
      <c r="BX260" s="72">
        <v>23</v>
      </c>
      <c r="BY260" s="72">
        <v>23</v>
      </c>
      <c r="BZ260" s="72">
        <v>23</v>
      </c>
      <c r="CA260" s="72">
        <v>23</v>
      </c>
      <c r="CB260" s="72">
        <v>23</v>
      </c>
      <c r="CC260" s="72">
        <v>23</v>
      </c>
      <c r="CD260" s="72">
        <v>23</v>
      </c>
      <c r="CE260" s="72">
        <v>23</v>
      </c>
      <c r="CF260" s="72">
        <v>23</v>
      </c>
      <c r="CG260" s="72">
        <v>23</v>
      </c>
      <c r="CH260" s="72">
        <v>23</v>
      </c>
      <c r="CI260" s="72">
        <v>23</v>
      </c>
      <c r="CJ260" s="72">
        <v>23</v>
      </c>
      <c r="CK260" s="72">
        <v>23</v>
      </c>
      <c r="CL260" s="72">
        <v>23</v>
      </c>
      <c r="CM260" s="72">
        <v>23</v>
      </c>
      <c r="CN260" s="72">
        <v>23</v>
      </c>
      <c r="CO260" s="72">
        <v>23</v>
      </c>
      <c r="CP260" s="72">
        <v>23</v>
      </c>
      <c r="CQ260" s="72">
        <v>23</v>
      </c>
      <c r="CR260" s="72">
        <v>23</v>
      </c>
      <c r="CS260" s="72">
        <v>23</v>
      </c>
      <c r="CT260" s="72">
        <v>23</v>
      </c>
      <c r="CU260" s="72">
        <v>23</v>
      </c>
      <c r="CV260" s="72">
        <v>23</v>
      </c>
      <c r="CW260" s="72">
        <v>23</v>
      </c>
      <c r="CX260" s="72">
        <v>23</v>
      </c>
      <c r="CY260" s="72">
        <v>23</v>
      </c>
      <c r="CZ260" s="72">
        <v>23</v>
      </c>
      <c r="DA260" s="72">
        <v>23</v>
      </c>
      <c r="DB260" s="72">
        <v>23</v>
      </c>
      <c r="DC260" s="72">
        <v>23</v>
      </c>
      <c r="DD260" s="72">
        <v>23</v>
      </c>
      <c r="DE260" s="72">
        <v>23</v>
      </c>
      <c r="DF260" s="72">
        <v>23</v>
      </c>
      <c r="DG260" s="72">
        <v>23</v>
      </c>
      <c r="DH260" s="72">
        <v>23</v>
      </c>
      <c r="DI260" s="72">
        <v>23</v>
      </c>
      <c r="DJ260" s="72">
        <v>23</v>
      </c>
      <c r="DK260" s="72">
        <v>23</v>
      </c>
      <c r="DL260" s="72">
        <v>23</v>
      </c>
    </row>
    <row r="261" spans="1:116" x14ac:dyDescent="0.35">
      <c r="A261" s="7"/>
      <c r="B261" s="8" t="s">
        <v>1399</v>
      </c>
      <c r="C261" s="9" t="s">
        <v>481</v>
      </c>
      <c r="D261" s="10" t="s">
        <v>92</v>
      </c>
      <c r="E261" s="8" t="s">
        <v>1205</v>
      </c>
      <c r="F261" s="10"/>
      <c r="G261" s="10"/>
      <c r="H261" s="10" t="s">
        <v>41</v>
      </c>
      <c r="I261" s="11"/>
      <c r="J261" s="10"/>
      <c r="K261" s="10"/>
      <c r="L261" s="8"/>
      <c r="M261" s="12">
        <v>2.48</v>
      </c>
      <c r="N261" s="12">
        <f t="shared" si="6"/>
        <v>2.48</v>
      </c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>
        <v>1</v>
      </c>
      <c r="BY261" s="72">
        <v>1</v>
      </c>
      <c r="BZ261" s="72">
        <v>1</v>
      </c>
      <c r="CA261" s="72">
        <v>1</v>
      </c>
      <c r="CB261" s="72">
        <v>1</v>
      </c>
      <c r="CC261" s="72">
        <v>1</v>
      </c>
      <c r="CD261" s="72">
        <v>1</v>
      </c>
      <c r="CE261" s="72">
        <v>1</v>
      </c>
      <c r="CF261" s="72">
        <v>1</v>
      </c>
      <c r="CG261" s="72">
        <v>1</v>
      </c>
      <c r="CH261" s="72">
        <v>1</v>
      </c>
      <c r="CI261" s="72">
        <v>1</v>
      </c>
      <c r="CJ261" s="72">
        <v>1</v>
      </c>
      <c r="CK261" s="72">
        <v>1</v>
      </c>
      <c r="CL261" s="72">
        <v>1</v>
      </c>
      <c r="CM261" s="72">
        <v>1</v>
      </c>
      <c r="CN261" s="72">
        <v>1</v>
      </c>
      <c r="CO261" s="72">
        <v>1</v>
      </c>
      <c r="CP261" s="72">
        <v>1</v>
      </c>
      <c r="CQ261" s="72">
        <v>1</v>
      </c>
      <c r="CR261" s="72">
        <v>1</v>
      </c>
      <c r="CS261" s="72">
        <v>1</v>
      </c>
      <c r="CT261" s="72">
        <v>1</v>
      </c>
      <c r="CU261" s="72">
        <v>1</v>
      </c>
      <c r="CV261" s="72">
        <v>1</v>
      </c>
      <c r="CW261" s="72">
        <v>1</v>
      </c>
      <c r="CX261" s="72">
        <v>1</v>
      </c>
      <c r="CY261" s="72">
        <v>1</v>
      </c>
      <c r="CZ261" s="72">
        <v>1</v>
      </c>
      <c r="DA261" s="72">
        <v>1</v>
      </c>
      <c r="DB261" s="72">
        <v>1</v>
      </c>
      <c r="DC261" s="72">
        <v>1</v>
      </c>
      <c r="DD261" s="72">
        <v>1</v>
      </c>
      <c r="DE261" s="72">
        <v>1</v>
      </c>
      <c r="DF261" s="72">
        <v>1</v>
      </c>
      <c r="DG261" s="72">
        <v>1</v>
      </c>
      <c r="DH261" s="72">
        <v>1</v>
      </c>
      <c r="DI261" s="72">
        <v>1</v>
      </c>
      <c r="DJ261" s="72">
        <v>1</v>
      </c>
      <c r="DK261" s="72">
        <v>1</v>
      </c>
      <c r="DL261" s="72">
        <v>1</v>
      </c>
    </row>
    <row r="262" spans="1:116" x14ac:dyDescent="0.35">
      <c r="A262" s="7"/>
      <c r="B262" s="8" t="s">
        <v>482</v>
      </c>
      <c r="C262" s="9" t="s">
        <v>483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42</v>
      </c>
      <c r="J262" s="10"/>
      <c r="K262" s="10" t="s">
        <v>135</v>
      </c>
      <c r="L262" s="8"/>
      <c r="M262" s="12">
        <v>2.97</v>
      </c>
      <c r="N262" s="12">
        <f t="shared" si="6"/>
        <v>118.80000000000001</v>
      </c>
      <c r="O262" s="11">
        <v>42</v>
      </c>
      <c r="P262" s="11">
        <v>42</v>
      </c>
      <c r="Q262" s="11">
        <v>42</v>
      </c>
      <c r="R262" s="11">
        <v>42</v>
      </c>
      <c r="S262" s="11">
        <v>42</v>
      </c>
      <c r="T262" s="11">
        <v>42</v>
      </c>
      <c r="U262" s="11">
        <v>42</v>
      </c>
      <c r="V262" s="11">
        <v>42</v>
      </c>
      <c r="W262" s="11">
        <v>42</v>
      </c>
      <c r="X262" s="11">
        <v>42</v>
      </c>
      <c r="Y262" s="11">
        <v>42</v>
      </c>
      <c r="Z262" s="11">
        <v>42</v>
      </c>
      <c r="AA262" s="11">
        <v>42</v>
      </c>
      <c r="AB262" s="11">
        <v>42</v>
      </c>
      <c r="AC262" s="11">
        <v>42</v>
      </c>
      <c r="AD262" s="11">
        <v>42</v>
      </c>
      <c r="AE262" s="11">
        <v>42</v>
      </c>
      <c r="AF262" s="11">
        <v>42</v>
      </c>
      <c r="AG262" s="11">
        <v>42</v>
      </c>
      <c r="AH262" s="11">
        <v>42</v>
      </c>
      <c r="AI262" s="11">
        <v>42</v>
      </c>
      <c r="AJ262" s="11">
        <v>42</v>
      </c>
      <c r="AK262" s="11">
        <v>42</v>
      </c>
      <c r="AL262" s="11">
        <v>42</v>
      </c>
      <c r="AM262" s="11">
        <v>42</v>
      </c>
      <c r="AN262" s="72">
        <v>42</v>
      </c>
      <c r="AO262" s="72">
        <v>42</v>
      </c>
      <c r="AP262" s="72">
        <v>42</v>
      </c>
      <c r="AQ262" s="72">
        <v>42</v>
      </c>
      <c r="AR262" s="72">
        <v>42</v>
      </c>
      <c r="AS262" s="72">
        <v>42</v>
      </c>
      <c r="AT262" s="72">
        <v>42</v>
      </c>
      <c r="AU262" s="72">
        <v>42</v>
      </c>
      <c r="AV262" s="72">
        <v>42</v>
      </c>
      <c r="AW262" s="72">
        <v>42</v>
      </c>
      <c r="AX262" s="72">
        <v>42</v>
      </c>
      <c r="AY262" s="72">
        <v>42</v>
      </c>
      <c r="AZ262" s="72">
        <v>42</v>
      </c>
      <c r="BA262" s="72">
        <v>42</v>
      </c>
      <c r="BB262" s="72">
        <v>42</v>
      </c>
      <c r="BC262" s="72">
        <v>42</v>
      </c>
      <c r="BD262" s="72">
        <v>42</v>
      </c>
      <c r="BE262" s="72">
        <v>42</v>
      </c>
      <c r="BF262" s="72">
        <v>42</v>
      </c>
      <c r="BG262" s="72">
        <v>42</v>
      </c>
      <c r="BH262" s="72">
        <v>42</v>
      </c>
      <c r="BI262" s="72">
        <v>42</v>
      </c>
      <c r="BJ262" s="72">
        <v>42</v>
      </c>
      <c r="BK262" s="72">
        <v>42</v>
      </c>
      <c r="BL262" s="72">
        <v>42</v>
      </c>
      <c r="BM262" s="72">
        <v>42</v>
      </c>
      <c r="BN262" s="72">
        <v>42</v>
      </c>
      <c r="BO262" s="72">
        <v>42</v>
      </c>
      <c r="BP262" s="72">
        <v>42</v>
      </c>
      <c r="BQ262" s="72">
        <v>42</v>
      </c>
      <c r="BR262" s="72">
        <v>42</v>
      </c>
      <c r="BS262" s="72">
        <v>42</v>
      </c>
      <c r="BT262" s="72">
        <v>42</v>
      </c>
      <c r="BU262" s="72">
        <v>42</v>
      </c>
      <c r="BV262" s="72">
        <v>40</v>
      </c>
      <c r="BW262" s="72">
        <v>40</v>
      </c>
      <c r="BX262" s="72">
        <v>40</v>
      </c>
      <c r="BY262" s="72">
        <v>40</v>
      </c>
      <c r="BZ262" s="72">
        <v>40</v>
      </c>
      <c r="CA262" s="72">
        <v>40</v>
      </c>
      <c r="CB262" s="72">
        <v>40</v>
      </c>
      <c r="CC262" s="72">
        <v>40</v>
      </c>
      <c r="CD262" s="72">
        <v>40</v>
      </c>
      <c r="CE262" s="72">
        <v>40</v>
      </c>
      <c r="CF262" s="72">
        <v>40</v>
      </c>
      <c r="CG262" s="72">
        <v>40</v>
      </c>
      <c r="CH262" s="72">
        <v>40</v>
      </c>
      <c r="CI262" s="72">
        <v>40</v>
      </c>
      <c r="CJ262" s="72">
        <v>40</v>
      </c>
      <c r="CK262" s="72">
        <v>40</v>
      </c>
      <c r="CL262" s="72">
        <v>40</v>
      </c>
      <c r="CM262" s="72">
        <v>40</v>
      </c>
      <c r="CN262" s="72">
        <v>40</v>
      </c>
      <c r="CO262" s="72">
        <v>40</v>
      </c>
      <c r="CP262" s="72">
        <v>40</v>
      </c>
      <c r="CQ262" s="72">
        <v>40</v>
      </c>
      <c r="CR262" s="72">
        <v>40</v>
      </c>
      <c r="CS262" s="72">
        <v>40</v>
      </c>
      <c r="CT262" s="72">
        <v>40</v>
      </c>
      <c r="CU262" s="72">
        <v>40</v>
      </c>
      <c r="CV262" s="72">
        <v>40</v>
      </c>
      <c r="CW262" s="72">
        <v>40</v>
      </c>
      <c r="CX262" s="72">
        <v>40</v>
      </c>
      <c r="CY262" s="72">
        <v>40</v>
      </c>
      <c r="CZ262" s="72">
        <v>40</v>
      </c>
      <c r="DA262" s="72">
        <v>40</v>
      </c>
      <c r="DB262" s="72">
        <v>40</v>
      </c>
      <c r="DC262" s="72">
        <v>40</v>
      </c>
      <c r="DD262" s="72">
        <v>40</v>
      </c>
      <c r="DE262" s="72">
        <v>40</v>
      </c>
      <c r="DF262" s="72">
        <v>40</v>
      </c>
      <c r="DG262" s="72">
        <v>40</v>
      </c>
      <c r="DH262" s="72">
        <v>40</v>
      </c>
      <c r="DI262" s="72">
        <v>40</v>
      </c>
      <c r="DJ262" s="72">
        <v>40</v>
      </c>
      <c r="DK262" s="72">
        <v>40</v>
      </c>
      <c r="DL262" s="72">
        <v>40</v>
      </c>
    </row>
    <row r="263" spans="1:116" x14ac:dyDescent="0.35">
      <c r="A263" s="7"/>
      <c r="B263" s="8" t="s">
        <v>1400</v>
      </c>
      <c r="C263" s="9" t="s">
        <v>483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2.97</v>
      </c>
      <c r="N263" s="12">
        <f t="shared" si="6"/>
        <v>2.97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</row>
    <row r="264" spans="1:116" x14ac:dyDescent="0.35">
      <c r="A264" s="7"/>
      <c r="B264" s="8" t="s">
        <v>484</v>
      </c>
      <c r="C264" s="9" t="s">
        <v>485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3.47</v>
      </c>
      <c r="N264" s="12">
        <f t="shared" si="6"/>
        <v>145.74</v>
      </c>
      <c r="O264" s="11">
        <v>39</v>
      </c>
      <c r="P264" s="11">
        <v>39</v>
      </c>
      <c r="Q264" s="11">
        <v>39</v>
      </c>
      <c r="R264" s="11">
        <v>39</v>
      </c>
      <c r="S264" s="11">
        <v>39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42</v>
      </c>
      <c r="BW264" s="72">
        <v>42</v>
      </c>
      <c r="BX264" s="72">
        <v>42</v>
      </c>
      <c r="BY264" s="72">
        <v>42</v>
      </c>
      <c r="BZ264" s="72">
        <v>42</v>
      </c>
      <c r="CA264" s="72">
        <v>42</v>
      </c>
      <c r="CB264" s="72">
        <v>42</v>
      </c>
      <c r="CC264" s="72">
        <v>42</v>
      </c>
      <c r="CD264" s="72">
        <v>42</v>
      </c>
      <c r="CE264" s="72">
        <v>42</v>
      </c>
      <c r="CF264" s="72">
        <v>42</v>
      </c>
      <c r="CG264" s="72">
        <v>42</v>
      </c>
      <c r="CH264" s="72">
        <v>42</v>
      </c>
      <c r="CI264" s="72">
        <v>42</v>
      </c>
      <c r="CJ264" s="72">
        <v>42</v>
      </c>
      <c r="CK264" s="72">
        <v>42</v>
      </c>
      <c r="CL264" s="72">
        <v>42</v>
      </c>
      <c r="CM264" s="72">
        <v>42</v>
      </c>
      <c r="CN264" s="72">
        <v>42</v>
      </c>
      <c r="CO264" s="72">
        <v>42</v>
      </c>
      <c r="CP264" s="72">
        <v>42</v>
      </c>
      <c r="CQ264" s="72">
        <v>42</v>
      </c>
      <c r="CR264" s="72">
        <v>42</v>
      </c>
      <c r="CS264" s="72">
        <v>42</v>
      </c>
      <c r="CT264" s="72">
        <v>42</v>
      </c>
      <c r="CU264" s="72">
        <v>42</v>
      </c>
      <c r="CV264" s="72">
        <v>42</v>
      </c>
      <c r="CW264" s="72">
        <v>42</v>
      </c>
      <c r="CX264" s="72">
        <v>42</v>
      </c>
      <c r="CY264" s="72">
        <v>42</v>
      </c>
      <c r="CZ264" s="72">
        <v>42</v>
      </c>
      <c r="DA264" s="72">
        <v>42</v>
      </c>
      <c r="DB264" s="72">
        <v>42</v>
      </c>
      <c r="DC264" s="72">
        <v>42</v>
      </c>
      <c r="DD264" s="72">
        <v>42</v>
      </c>
      <c r="DE264" s="72">
        <v>42</v>
      </c>
      <c r="DF264" s="72">
        <v>42</v>
      </c>
      <c r="DG264" s="72">
        <v>42</v>
      </c>
      <c r="DH264" s="72">
        <v>42</v>
      </c>
      <c r="DI264" s="72">
        <v>42</v>
      </c>
      <c r="DJ264" s="72">
        <v>42</v>
      </c>
      <c r="DK264" s="72">
        <v>42</v>
      </c>
      <c r="DL264" s="72">
        <v>42</v>
      </c>
    </row>
    <row r="265" spans="1:116" x14ac:dyDescent="0.35">
      <c r="A265" s="7"/>
      <c r="B265" s="8" t="s">
        <v>486</v>
      </c>
      <c r="C265" s="9" t="s">
        <v>487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3.96</v>
      </c>
      <c r="N265" s="12">
        <f t="shared" si="6"/>
        <v>0</v>
      </c>
      <c r="O265" s="11">
        <v>8</v>
      </c>
      <c r="P265" s="11">
        <v>8</v>
      </c>
      <c r="Q265" s="11">
        <v>8</v>
      </c>
      <c r="R265" s="11">
        <v>8</v>
      </c>
      <c r="S265" s="11">
        <v>8</v>
      </c>
      <c r="T265" s="11">
        <v>8</v>
      </c>
      <c r="U265" s="11">
        <v>8</v>
      </c>
      <c r="V265" s="11">
        <v>8</v>
      </c>
      <c r="W265" s="11">
        <v>8</v>
      </c>
      <c r="X265" s="11">
        <v>8</v>
      </c>
      <c r="Y265" s="11">
        <v>8</v>
      </c>
      <c r="Z265" s="11">
        <v>6</v>
      </c>
      <c r="AA265" s="11">
        <v>6</v>
      </c>
      <c r="AB265" s="11">
        <v>6</v>
      </c>
      <c r="AC265" s="11">
        <v>6</v>
      </c>
      <c r="AD265" s="11">
        <v>6</v>
      </c>
      <c r="AE265" s="11">
        <v>6</v>
      </c>
      <c r="AF265" s="11">
        <v>6</v>
      </c>
      <c r="AG265" s="11">
        <v>6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0</v>
      </c>
      <c r="AW265" s="72">
        <v>0</v>
      </c>
      <c r="AX265" s="72">
        <v>0</v>
      </c>
      <c r="AY265" s="72">
        <v>0</v>
      </c>
      <c r="AZ265" s="72">
        <v>0</v>
      </c>
      <c r="BA265" s="72">
        <v>0</v>
      </c>
      <c r="BB265" s="72">
        <v>0</v>
      </c>
      <c r="BC265" s="72">
        <v>0</v>
      </c>
      <c r="BD265" s="72">
        <v>0</v>
      </c>
      <c r="BE265" s="72">
        <v>0</v>
      </c>
      <c r="BF265" s="72">
        <v>0</v>
      </c>
      <c r="BG265" s="72">
        <v>0</v>
      </c>
      <c r="BH265" s="72">
        <v>0</v>
      </c>
      <c r="BI265" s="72">
        <v>0</v>
      </c>
      <c r="BJ265" s="72">
        <v>0</v>
      </c>
      <c r="BK265" s="72">
        <v>0</v>
      </c>
      <c r="BL265" s="72">
        <v>0</v>
      </c>
      <c r="BM265" s="72">
        <v>0</v>
      </c>
      <c r="BN265" s="72">
        <v>0</v>
      </c>
      <c r="BO265" s="72">
        <v>0</v>
      </c>
      <c r="BP265" s="72">
        <v>0</v>
      </c>
      <c r="BQ265" s="72">
        <v>0</v>
      </c>
      <c r="BR265" s="72">
        <v>0</v>
      </c>
      <c r="BS265" s="72">
        <v>0</v>
      </c>
      <c r="BT265" s="72">
        <v>0</v>
      </c>
      <c r="BU265" s="72">
        <v>0</v>
      </c>
      <c r="BV265" s="72">
        <v>0</v>
      </c>
      <c r="BW265" s="72">
        <v>0</v>
      </c>
      <c r="BX265" s="72">
        <v>0</v>
      </c>
      <c r="BY265" s="72">
        <v>0</v>
      </c>
      <c r="BZ265" s="72">
        <v>0</v>
      </c>
      <c r="CA265" s="72">
        <v>0</v>
      </c>
      <c r="CB265" s="72">
        <v>0</v>
      </c>
      <c r="CC265" s="72">
        <v>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0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0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0</v>
      </c>
      <c r="DJ265" s="72">
        <v>0</v>
      </c>
      <c r="DK265" s="72">
        <v>0</v>
      </c>
      <c r="DL265" s="72">
        <v>0</v>
      </c>
    </row>
    <row r="266" spans="1:116" x14ac:dyDescent="0.35">
      <c r="A266" s="7"/>
      <c r="B266" s="8" t="s">
        <v>488</v>
      </c>
      <c r="C266" s="9" t="s">
        <v>489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</v>
      </c>
      <c r="J266" s="10"/>
      <c r="K266" s="10"/>
      <c r="L266" s="8"/>
      <c r="M266" s="12">
        <v>19.8</v>
      </c>
      <c r="N266" s="12">
        <f t="shared" si="6"/>
        <v>59.400000000000006</v>
      </c>
      <c r="O266" s="11">
        <v>5</v>
      </c>
      <c r="P266" s="11">
        <v>5</v>
      </c>
      <c r="Q266" s="11">
        <v>5</v>
      </c>
      <c r="R266" s="11">
        <v>5</v>
      </c>
      <c r="S266" s="11">
        <v>5</v>
      </c>
      <c r="T266" s="11">
        <v>4</v>
      </c>
      <c r="U266" s="11">
        <v>4</v>
      </c>
      <c r="V266" s="11">
        <v>4</v>
      </c>
      <c r="W266" s="11">
        <v>4</v>
      </c>
      <c r="X266" s="11">
        <v>4</v>
      </c>
      <c r="Y266" s="11">
        <v>4</v>
      </c>
      <c r="Z266" s="11">
        <v>4</v>
      </c>
      <c r="AA266" s="11">
        <v>4</v>
      </c>
      <c r="AB266" s="11">
        <v>4</v>
      </c>
      <c r="AC266" s="11">
        <v>4</v>
      </c>
      <c r="AD266" s="11">
        <v>4</v>
      </c>
      <c r="AE266" s="11">
        <v>4</v>
      </c>
      <c r="AF266" s="11">
        <v>4</v>
      </c>
      <c r="AG266" s="11">
        <v>4</v>
      </c>
      <c r="AH266" s="11">
        <v>4</v>
      </c>
      <c r="AI266" s="11">
        <v>4</v>
      </c>
      <c r="AJ266" s="11">
        <v>4</v>
      </c>
      <c r="AK266" s="11">
        <v>4</v>
      </c>
      <c r="AL266" s="11">
        <v>4</v>
      </c>
      <c r="AM266" s="11">
        <v>4</v>
      </c>
      <c r="AN266" s="72">
        <v>4</v>
      </c>
      <c r="AO266" s="72">
        <v>4</v>
      </c>
      <c r="AP266" s="72">
        <v>4</v>
      </c>
      <c r="AQ266" s="72">
        <v>4</v>
      </c>
      <c r="AR266" s="72">
        <v>4</v>
      </c>
      <c r="AS266" s="72">
        <v>4</v>
      </c>
      <c r="AT266" s="72">
        <v>4</v>
      </c>
      <c r="AU266" s="72">
        <v>4</v>
      </c>
      <c r="AV266" s="72">
        <v>4</v>
      </c>
      <c r="AW266" s="72">
        <v>4</v>
      </c>
      <c r="AX266" s="72">
        <v>4</v>
      </c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  <c r="DI266" s="72">
        <v>4</v>
      </c>
      <c r="DJ266" s="72">
        <v>4</v>
      </c>
      <c r="DK266" s="72">
        <v>4</v>
      </c>
      <c r="DL266" s="72">
        <v>3</v>
      </c>
    </row>
    <row r="267" spans="1:116" x14ac:dyDescent="0.35">
      <c r="A267" s="7"/>
      <c r="B267" s="77" t="s">
        <v>1284</v>
      </c>
      <c r="C267" s="9" t="s">
        <v>1287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2"/>
      <c r="N267" s="12">
        <f t="shared" si="6"/>
        <v>0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>
        <v>4</v>
      </c>
      <c r="AZ267" s="72">
        <v>4</v>
      </c>
      <c r="BA267" s="72">
        <v>4</v>
      </c>
      <c r="BB267" s="72">
        <v>4</v>
      </c>
      <c r="BC267" s="72">
        <v>4</v>
      </c>
      <c r="BD267" s="72">
        <v>4</v>
      </c>
      <c r="BE267" s="72">
        <v>4</v>
      </c>
      <c r="BF267" s="72">
        <v>4</v>
      </c>
      <c r="BG267" s="72">
        <v>4</v>
      </c>
      <c r="BH267" s="72">
        <v>4</v>
      </c>
      <c r="BI267" s="72">
        <v>4</v>
      </c>
      <c r="BJ267" s="72">
        <v>4</v>
      </c>
      <c r="BK267" s="72">
        <v>4</v>
      </c>
      <c r="BL267" s="72">
        <v>4</v>
      </c>
      <c r="BM267" s="72">
        <v>4</v>
      </c>
      <c r="BN267" s="72">
        <v>4</v>
      </c>
      <c r="BO267" s="72">
        <v>4</v>
      </c>
      <c r="BP267" s="72">
        <v>4</v>
      </c>
      <c r="BQ267" s="72">
        <v>4</v>
      </c>
      <c r="BR267" s="72">
        <v>4</v>
      </c>
      <c r="BS267" s="72">
        <v>4</v>
      </c>
      <c r="BT267" s="72">
        <v>4</v>
      </c>
      <c r="BU267" s="72">
        <v>4</v>
      </c>
      <c r="BV267" s="72">
        <v>4</v>
      </c>
      <c r="BW267" s="72">
        <v>4</v>
      </c>
      <c r="BX267" s="72">
        <v>4</v>
      </c>
      <c r="BY267" s="72">
        <v>4</v>
      </c>
      <c r="BZ267" s="72">
        <v>4</v>
      </c>
      <c r="CA267" s="72">
        <v>4</v>
      </c>
      <c r="CB267" s="72">
        <v>4</v>
      </c>
      <c r="CC267" s="72">
        <v>4</v>
      </c>
      <c r="CD267" s="72">
        <v>4</v>
      </c>
      <c r="CE267" s="72">
        <v>4</v>
      </c>
      <c r="CF267" s="72">
        <v>4</v>
      </c>
      <c r="CG267" s="72">
        <v>4</v>
      </c>
      <c r="CH267" s="72">
        <v>4</v>
      </c>
      <c r="CI267" s="72">
        <v>4</v>
      </c>
      <c r="CJ267" s="72">
        <v>4</v>
      </c>
      <c r="CK267" s="72">
        <v>4</v>
      </c>
      <c r="CL267" s="72">
        <v>4</v>
      </c>
      <c r="CM267" s="72">
        <v>4</v>
      </c>
      <c r="CN267" s="72">
        <v>4</v>
      </c>
      <c r="CO267" s="72">
        <v>4</v>
      </c>
      <c r="CP267" s="72">
        <v>4</v>
      </c>
      <c r="CQ267" s="72">
        <v>4</v>
      </c>
      <c r="CR267" s="72">
        <v>4</v>
      </c>
      <c r="CS267" s="72">
        <v>4</v>
      </c>
      <c r="CT267" s="72">
        <v>4</v>
      </c>
      <c r="CU267" s="72">
        <v>4</v>
      </c>
      <c r="CV267" s="72">
        <v>4</v>
      </c>
      <c r="CW267" s="72">
        <v>4</v>
      </c>
      <c r="CX267" s="72">
        <v>4</v>
      </c>
      <c r="CY267" s="72">
        <v>4</v>
      </c>
      <c r="CZ267" s="72">
        <v>4</v>
      </c>
      <c r="DA267" s="72">
        <v>4</v>
      </c>
      <c r="DB267" s="72">
        <v>4</v>
      </c>
      <c r="DC267" s="72">
        <v>4</v>
      </c>
      <c r="DD267" s="72">
        <v>4</v>
      </c>
      <c r="DE267" s="72">
        <v>4</v>
      </c>
      <c r="DF267" s="72">
        <v>4</v>
      </c>
      <c r="DG267" s="72">
        <v>4</v>
      </c>
      <c r="DH267" s="72">
        <v>4</v>
      </c>
      <c r="DI267" s="72">
        <v>4</v>
      </c>
      <c r="DJ267" s="72">
        <v>4</v>
      </c>
      <c r="DK267" s="72">
        <v>4</v>
      </c>
      <c r="DL267" s="72">
        <v>4</v>
      </c>
    </row>
    <row r="268" spans="1:116" x14ac:dyDescent="0.35">
      <c r="A268" s="7"/>
      <c r="B268" s="8" t="s">
        <v>1361</v>
      </c>
      <c r="C268" s="9" t="s">
        <v>1362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1500</v>
      </c>
      <c r="J268" s="10"/>
      <c r="K268" s="10"/>
      <c r="L268" s="8"/>
      <c r="M268" s="12">
        <v>16.34</v>
      </c>
      <c r="N268" s="12">
        <f t="shared" si="6"/>
        <v>7712.48</v>
      </c>
      <c r="O268" s="11">
        <v>2000</v>
      </c>
      <c r="P268" s="11">
        <v>2000</v>
      </c>
      <c r="Q268" s="11">
        <v>2000</v>
      </c>
      <c r="R268" s="11">
        <v>2000</v>
      </c>
      <c r="S268" s="11">
        <v>2000</v>
      </c>
      <c r="T268" s="11">
        <v>2000</v>
      </c>
      <c r="U268" s="11">
        <v>1950</v>
      </c>
      <c r="V268" s="11">
        <v>1950</v>
      </c>
      <c r="W268" s="11">
        <v>1950</v>
      </c>
      <c r="X268" s="11">
        <v>1950</v>
      </c>
      <c r="Y268" s="11">
        <v>1750</v>
      </c>
      <c r="Z268" s="11">
        <v>1630</v>
      </c>
      <c r="AA268" s="11">
        <v>1630</v>
      </c>
      <c r="AB268" s="11">
        <v>1630</v>
      </c>
      <c r="AC268" s="11">
        <v>1630</v>
      </c>
      <c r="AD268" s="11">
        <v>1630</v>
      </c>
      <c r="AE268" s="11">
        <v>1630</v>
      </c>
      <c r="AF268" s="11">
        <v>1630</v>
      </c>
      <c r="AG268" s="11">
        <v>1530</v>
      </c>
      <c r="AH268" s="11">
        <v>1500</v>
      </c>
      <c r="AI268" s="11">
        <v>1500</v>
      </c>
      <c r="AJ268" s="11">
        <v>1500</v>
      </c>
      <c r="AK268" s="11">
        <v>1500</v>
      </c>
      <c r="AL268" s="11">
        <v>1500</v>
      </c>
      <c r="AM268" s="72">
        <v>1400</v>
      </c>
      <c r="AN268" s="72">
        <v>1400</v>
      </c>
      <c r="AO268" s="72">
        <v>1400</v>
      </c>
      <c r="AP268" s="72">
        <v>1300</v>
      </c>
      <c r="AQ268" s="72">
        <v>1300</v>
      </c>
      <c r="AR268" s="72">
        <v>940</v>
      </c>
      <c r="AS268" s="72">
        <v>940</v>
      </c>
      <c r="AT268" s="72">
        <v>940</v>
      </c>
      <c r="AU268" s="72">
        <v>940</v>
      </c>
      <c r="AV268" s="72">
        <v>940</v>
      </c>
      <c r="AW268" s="72">
        <v>940</v>
      </c>
      <c r="AX268" s="72">
        <v>940</v>
      </c>
      <c r="AY268" s="72">
        <v>940</v>
      </c>
      <c r="AZ268" s="72">
        <v>840</v>
      </c>
      <c r="BA268" s="72">
        <v>640</v>
      </c>
      <c r="BB268" s="72">
        <v>640</v>
      </c>
      <c r="BC268" s="72">
        <v>640</v>
      </c>
      <c r="BD268" s="72">
        <v>2140</v>
      </c>
      <c r="BE268" s="72">
        <v>2140</v>
      </c>
      <c r="BF268" s="72">
        <v>1840</v>
      </c>
      <c r="BG268" s="72">
        <v>1840</v>
      </c>
      <c r="BH268" s="72">
        <v>1740</v>
      </c>
      <c r="BI268" s="72">
        <v>1740</v>
      </c>
      <c r="BJ268" s="72">
        <v>1740</v>
      </c>
      <c r="BK268" s="72">
        <v>1740</v>
      </c>
      <c r="BL268" s="72">
        <v>1740</v>
      </c>
      <c r="BM268" s="72">
        <v>1740</v>
      </c>
      <c r="BN268" s="72">
        <v>1640</v>
      </c>
      <c r="BO268" s="72">
        <v>1640</v>
      </c>
      <c r="BP268" s="72">
        <v>1640</v>
      </c>
      <c r="BQ268" s="72">
        <v>1640</v>
      </c>
      <c r="BR268" s="72">
        <v>1640</v>
      </c>
      <c r="BS268" s="72">
        <v>1440</v>
      </c>
      <c r="BT268" s="72">
        <v>1440</v>
      </c>
      <c r="BU268" s="72">
        <v>1424</v>
      </c>
      <c r="BV268" s="72">
        <v>1376</v>
      </c>
      <c r="BW268" s="72">
        <v>1376</v>
      </c>
      <c r="BX268" s="72">
        <v>1376</v>
      </c>
      <c r="BY268" s="72">
        <v>1376</v>
      </c>
      <c r="BZ268" s="72">
        <v>1376</v>
      </c>
      <c r="CA268" s="72">
        <v>1376</v>
      </c>
      <c r="CB268" s="72">
        <v>1376</v>
      </c>
      <c r="CC268" s="72">
        <v>1376</v>
      </c>
      <c r="CD268" s="72">
        <v>1376</v>
      </c>
      <c r="CE268" s="72">
        <v>1376</v>
      </c>
      <c r="CF268" s="72">
        <v>1376</v>
      </c>
      <c r="CG268" s="72">
        <v>1376</v>
      </c>
      <c r="CH268" s="72">
        <v>1376</v>
      </c>
      <c r="CI268" s="72">
        <v>1276</v>
      </c>
      <c r="CJ268" s="72">
        <v>1276</v>
      </c>
      <c r="CK268" s="72">
        <v>476</v>
      </c>
      <c r="CL268" s="72">
        <v>476</v>
      </c>
      <c r="CM268" s="72">
        <v>476</v>
      </c>
      <c r="CN268" s="72">
        <v>476</v>
      </c>
      <c r="CO268" s="72">
        <v>476</v>
      </c>
      <c r="CP268" s="72">
        <v>476</v>
      </c>
      <c r="CQ268" s="72">
        <v>476</v>
      </c>
      <c r="CR268" s="72">
        <v>476</v>
      </c>
      <c r="CS268" s="72">
        <v>476</v>
      </c>
      <c r="CT268" s="72">
        <v>476</v>
      </c>
      <c r="CU268" s="72">
        <v>476</v>
      </c>
      <c r="CV268" s="72">
        <v>472</v>
      </c>
      <c r="CW268" s="72">
        <v>472</v>
      </c>
      <c r="CX268" s="72">
        <v>472</v>
      </c>
      <c r="CY268" s="72">
        <v>472</v>
      </c>
      <c r="CZ268" s="72">
        <v>472</v>
      </c>
      <c r="DA268" s="72">
        <v>472</v>
      </c>
      <c r="DB268" s="72">
        <v>472</v>
      </c>
      <c r="DC268" s="72">
        <v>472</v>
      </c>
      <c r="DD268" s="72">
        <v>472</v>
      </c>
      <c r="DE268" s="72">
        <v>472</v>
      </c>
      <c r="DF268" s="72">
        <v>472</v>
      </c>
      <c r="DG268" s="72">
        <v>472</v>
      </c>
      <c r="DH268" s="72">
        <v>472</v>
      </c>
      <c r="DI268" s="72">
        <v>472</v>
      </c>
      <c r="DJ268" s="72">
        <v>472</v>
      </c>
      <c r="DK268" s="72">
        <v>472</v>
      </c>
      <c r="DL268" s="72">
        <v>472</v>
      </c>
    </row>
    <row r="269" spans="1:116" x14ac:dyDescent="0.35">
      <c r="A269" s="7"/>
      <c r="B269" s="8" t="s">
        <v>490</v>
      </c>
      <c r="C269" s="9" t="s">
        <v>491</v>
      </c>
      <c r="D269" s="10" t="s">
        <v>492</v>
      </c>
      <c r="E269" s="8" t="s">
        <v>1222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98.50500000000001</v>
      </c>
      <c r="N269" s="12">
        <f t="shared" si="6"/>
        <v>98.50500000000001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  <c r="DJ269" s="72">
        <v>1</v>
      </c>
      <c r="DK269" s="72">
        <v>1</v>
      </c>
      <c r="DL269" s="72">
        <v>1</v>
      </c>
    </row>
    <row r="270" spans="1:116" x14ac:dyDescent="0.35">
      <c r="A270" s="7"/>
      <c r="B270" s="8" t="s">
        <v>493</v>
      </c>
      <c r="C270" s="9" t="s">
        <v>494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30.195000000000004</v>
      </c>
      <c r="N270" s="12">
        <f t="shared" si="6"/>
        <v>30.195000000000004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  <c r="DJ270" s="72">
        <v>1</v>
      </c>
      <c r="DK270" s="72">
        <v>1</v>
      </c>
      <c r="DL270" s="72">
        <v>1</v>
      </c>
    </row>
    <row r="271" spans="1:116" x14ac:dyDescent="0.35">
      <c r="A271" s="7"/>
      <c r="B271" s="8" t="s">
        <v>495</v>
      </c>
      <c r="C271" s="9" t="s">
        <v>496</v>
      </c>
      <c r="D271" s="10" t="s">
        <v>492</v>
      </c>
      <c r="E271" s="8" t="s">
        <v>1205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23.76</v>
      </c>
      <c r="N271" s="12">
        <f t="shared" si="6"/>
        <v>23.76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</row>
    <row r="272" spans="1:116" ht="26.55" x14ac:dyDescent="0.35">
      <c r="A272" s="7"/>
      <c r="B272" s="8" t="s">
        <v>497</v>
      </c>
      <c r="C272" s="14" t="s">
        <v>498</v>
      </c>
      <c r="D272" s="10" t="s">
        <v>499</v>
      </c>
      <c r="E272" s="8" t="s">
        <v>1223</v>
      </c>
      <c r="F272" s="10">
        <v>1002</v>
      </c>
      <c r="G272" s="10" t="s">
        <v>40</v>
      </c>
      <c r="H272" s="10" t="s">
        <v>41</v>
      </c>
      <c r="I272" s="11">
        <v>0</v>
      </c>
      <c r="J272" s="10">
        <v>2</v>
      </c>
      <c r="K272" s="10"/>
      <c r="L272" s="14" t="s">
        <v>500</v>
      </c>
      <c r="M272" s="12">
        <v>281.25</v>
      </c>
      <c r="N272" s="12">
        <f t="shared" si="6"/>
        <v>281.25</v>
      </c>
      <c r="O272" s="11">
        <v>3</v>
      </c>
      <c r="P272" s="11">
        <v>3</v>
      </c>
      <c r="Q272" s="11">
        <v>2</v>
      </c>
      <c r="R272" s="11">
        <v>1</v>
      </c>
      <c r="S272" s="11">
        <v>1</v>
      </c>
      <c r="T272" s="11">
        <v>0</v>
      </c>
      <c r="U272" s="11">
        <v>0</v>
      </c>
      <c r="V272" s="11">
        <v>1</v>
      </c>
      <c r="W272" s="11">
        <v>1</v>
      </c>
      <c r="X272" s="11">
        <v>0</v>
      </c>
      <c r="Y272" s="11">
        <v>1</v>
      </c>
      <c r="Z272" s="11">
        <v>0</v>
      </c>
      <c r="AA272" s="11">
        <v>0</v>
      </c>
      <c r="AB272" s="11">
        <v>0</v>
      </c>
      <c r="AC272" s="11">
        <v>0</v>
      </c>
      <c r="AD272" s="11">
        <v>0</v>
      </c>
      <c r="AE272" s="11">
        <v>0</v>
      </c>
      <c r="AF272" s="11">
        <v>0</v>
      </c>
      <c r="AG272" s="11">
        <v>0</v>
      </c>
      <c r="AH272" s="11">
        <v>0</v>
      </c>
      <c r="AI272" s="11">
        <v>0</v>
      </c>
      <c r="AJ272" s="11">
        <v>0</v>
      </c>
      <c r="AK272" s="11">
        <v>0</v>
      </c>
      <c r="AL272" s="11">
        <v>0</v>
      </c>
      <c r="AM272" s="11">
        <v>0</v>
      </c>
      <c r="AN272" s="72">
        <v>0</v>
      </c>
      <c r="AO272" s="72">
        <v>0</v>
      </c>
      <c r="AP272" s="72">
        <v>0</v>
      </c>
      <c r="AQ272" s="72">
        <v>0</v>
      </c>
      <c r="AR272" s="72">
        <v>0</v>
      </c>
      <c r="AS272" s="72">
        <v>0</v>
      </c>
      <c r="AT272" s="72">
        <v>0</v>
      </c>
      <c r="AU272" s="72">
        <v>0</v>
      </c>
      <c r="AV272" s="72">
        <v>0</v>
      </c>
      <c r="AW272" s="72">
        <v>0</v>
      </c>
      <c r="AX272" s="72">
        <v>0</v>
      </c>
      <c r="AY272" s="72">
        <v>0</v>
      </c>
      <c r="AZ272" s="72">
        <v>0</v>
      </c>
      <c r="BA272" s="72">
        <v>0</v>
      </c>
      <c r="BB272" s="72">
        <v>0</v>
      </c>
      <c r="BC272" s="72">
        <v>0</v>
      </c>
      <c r="BD272" s="72">
        <v>0</v>
      </c>
      <c r="BE272" s="72">
        <v>1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2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</row>
    <row r="273" spans="1:116" x14ac:dyDescent="0.35">
      <c r="A273" s="7"/>
      <c r="B273" s="8" t="s">
        <v>501</v>
      </c>
      <c r="C273" s="14" t="s">
        <v>502</v>
      </c>
      <c r="D273" s="10" t="s">
        <v>499</v>
      </c>
      <c r="E273" s="8" t="s">
        <v>1223</v>
      </c>
      <c r="F273" s="10">
        <v>1002</v>
      </c>
      <c r="G273" s="10" t="s">
        <v>503</v>
      </c>
      <c r="H273" s="10" t="s">
        <v>41</v>
      </c>
      <c r="I273" s="11">
        <v>1</v>
      </c>
      <c r="J273" s="10">
        <v>1</v>
      </c>
      <c r="K273" s="10"/>
      <c r="L273" s="14" t="s">
        <v>248</v>
      </c>
      <c r="M273" s="12">
        <v>404.93</v>
      </c>
      <c r="N273" s="12">
        <f t="shared" si="6"/>
        <v>0</v>
      </c>
      <c r="O273" s="11"/>
      <c r="P273" s="11"/>
      <c r="Q273" s="11"/>
      <c r="R273" s="11"/>
      <c r="S273" s="11">
        <v>2</v>
      </c>
      <c r="T273" s="11">
        <v>0</v>
      </c>
      <c r="U273" s="11">
        <v>0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2</v>
      </c>
      <c r="AW273" s="72">
        <v>2</v>
      </c>
      <c r="AX273" s="72">
        <v>2</v>
      </c>
      <c r="AY273" s="72">
        <v>2</v>
      </c>
      <c r="AZ273" s="72">
        <v>2</v>
      </c>
      <c r="BA273" s="72">
        <v>2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0</v>
      </c>
      <c r="CL273" s="72">
        <v>0</v>
      </c>
      <c r="CM273" s="72">
        <v>0</v>
      </c>
      <c r="CN273" s="72">
        <v>0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  <c r="DJ273" s="72">
        <v>0</v>
      </c>
      <c r="DK273" s="72">
        <v>0</v>
      </c>
      <c r="DL273" s="72">
        <v>0</v>
      </c>
    </row>
    <row r="274" spans="1:116" x14ac:dyDescent="0.35">
      <c r="A274" s="7"/>
      <c r="B274" s="8" t="s">
        <v>504</v>
      </c>
      <c r="C274" s="9" t="s">
        <v>505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42</v>
      </c>
      <c r="L274" s="8"/>
      <c r="M274" s="12"/>
      <c r="N274" s="12">
        <f t="shared" si="6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1</v>
      </c>
      <c r="CL274" s="72">
        <v>1</v>
      </c>
      <c r="CM274" s="72">
        <v>1</v>
      </c>
      <c r="CN274" s="72">
        <v>1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0</v>
      </c>
      <c r="DJ274" s="72">
        <v>0</v>
      </c>
      <c r="DK274" s="72">
        <v>0</v>
      </c>
      <c r="DL274" s="72">
        <v>0</v>
      </c>
    </row>
    <row r="275" spans="1:116" x14ac:dyDescent="0.35">
      <c r="A275" s="7"/>
      <c r="B275" s="8" t="s">
        <v>506</v>
      </c>
      <c r="C275" s="9" t="s">
        <v>507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 t="s">
        <v>153</v>
      </c>
      <c r="L275" s="8"/>
      <c r="M275" s="12">
        <v>1350</v>
      </c>
      <c r="N275" s="12">
        <f t="shared" si="6"/>
        <v>0</v>
      </c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>
        <v>2</v>
      </c>
      <c r="AD275" s="11">
        <v>2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</row>
    <row r="276" spans="1:116" x14ac:dyDescent="0.35">
      <c r="A276" s="7"/>
      <c r="B276" s="8" t="s">
        <v>508</v>
      </c>
      <c r="C276" s="9" t="s">
        <v>509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/>
      <c r="L276" s="8"/>
      <c r="M276" s="12"/>
      <c r="N276" s="12">
        <f t="shared" si="6"/>
        <v>0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1">
        <v>0</v>
      </c>
      <c r="X276" s="11">
        <v>0</v>
      </c>
      <c r="Y276" s="11">
        <v>0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</row>
    <row r="277" spans="1:116" x14ac:dyDescent="0.35">
      <c r="A277" s="7"/>
      <c r="B277" s="8" t="s">
        <v>1254</v>
      </c>
      <c r="C277" s="9" t="s">
        <v>1258</v>
      </c>
      <c r="D277" s="10" t="s">
        <v>499</v>
      </c>
      <c r="E277" s="8" t="s">
        <v>1223</v>
      </c>
      <c r="F277" s="10"/>
      <c r="G277" s="10" t="s">
        <v>40</v>
      </c>
      <c r="H277" s="10" t="s">
        <v>41</v>
      </c>
      <c r="I277" s="11"/>
      <c r="J277" s="10"/>
      <c r="K277" s="10"/>
      <c r="L277" s="8"/>
      <c r="M277" s="119">
        <v>7609.76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72"/>
      <c r="AO277" s="72"/>
      <c r="AP277" s="72"/>
      <c r="AQ277" s="72"/>
      <c r="AR277" s="72"/>
      <c r="AS277" s="72"/>
      <c r="AT277" s="72"/>
      <c r="AU277" s="72"/>
      <c r="AV277" s="72">
        <v>2</v>
      </c>
      <c r="AW277" s="72">
        <v>2</v>
      </c>
      <c r="AX277" s="72">
        <v>2</v>
      </c>
      <c r="AY277" s="72">
        <v>2</v>
      </c>
      <c r="AZ277" s="72">
        <v>2</v>
      </c>
      <c r="BA277" s="72">
        <v>2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2</v>
      </c>
      <c r="CZ277" s="72">
        <v>2</v>
      </c>
      <c r="DA277" s="72">
        <v>1</v>
      </c>
      <c r="DB277" s="72">
        <v>1</v>
      </c>
      <c r="DC277" s="72">
        <v>1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</row>
    <row r="278" spans="1:116" x14ac:dyDescent="0.35">
      <c r="A278" s="7"/>
      <c r="B278" s="8" t="s">
        <v>510</v>
      </c>
      <c r="C278" s="9" t="s">
        <v>511</v>
      </c>
      <c r="D278" s="10" t="s">
        <v>499</v>
      </c>
      <c r="E278" s="8" t="s">
        <v>1205</v>
      </c>
      <c r="F278" s="10"/>
      <c r="G278" s="10" t="s">
        <v>40</v>
      </c>
      <c r="H278" s="10" t="s">
        <v>41</v>
      </c>
      <c r="I278" s="11">
        <v>1</v>
      </c>
      <c r="J278" s="10"/>
      <c r="K278" s="10" t="s">
        <v>153</v>
      </c>
      <c r="L278" s="8"/>
      <c r="M278" s="12"/>
      <c r="N278" s="12">
        <f t="shared" si="6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>
        <v>1</v>
      </c>
      <c r="AJ278" s="11">
        <v>1</v>
      </c>
      <c r="AK278" s="11">
        <v>1</v>
      </c>
      <c r="AL278" s="11">
        <v>1</v>
      </c>
      <c r="AM278" s="11">
        <v>1</v>
      </c>
      <c r="AN278" s="72">
        <v>1</v>
      </c>
      <c r="AO278" s="72">
        <v>1</v>
      </c>
      <c r="AP278" s="72">
        <v>1</v>
      </c>
      <c r="AQ278" s="72">
        <v>1</v>
      </c>
      <c r="AR278" s="72">
        <v>1</v>
      </c>
      <c r="AS278" s="72">
        <v>1</v>
      </c>
      <c r="AT278" s="72">
        <v>1</v>
      </c>
      <c r="AU278" s="72">
        <v>1</v>
      </c>
      <c r="AV278" s="72">
        <v>1</v>
      </c>
      <c r="AW278" s="72">
        <v>1</v>
      </c>
      <c r="AX278" s="72">
        <v>1</v>
      </c>
      <c r="AY278" s="72">
        <v>1</v>
      </c>
      <c r="AZ278" s="72">
        <v>1</v>
      </c>
      <c r="BA278" s="72">
        <v>1</v>
      </c>
      <c r="BB278" s="72">
        <v>1</v>
      </c>
      <c r="BC278" s="72">
        <v>1</v>
      </c>
      <c r="BD278" s="72">
        <v>1</v>
      </c>
      <c r="BE278" s="72">
        <v>1</v>
      </c>
      <c r="BF278" s="72">
        <v>1</v>
      </c>
      <c r="BG278" s="72">
        <v>1</v>
      </c>
      <c r="BH278" s="72">
        <v>1</v>
      </c>
      <c r="BI278" s="72">
        <v>1</v>
      </c>
      <c r="BJ278" s="72">
        <v>1</v>
      </c>
      <c r="BK278" s="72">
        <v>1</v>
      </c>
      <c r="BL278" s="72">
        <v>1</v>
      </c>
      <c r="BM278" s="72">
        <v>1</v>
      </c>
      <c r="BN278" s="72">
        <v>1</v>
      </c>
      <c r="BO278" s="72">
        <v>1</v>
      </c>
      <c r="BP278" s="72">
        <v>1</v>
      </c>
      <c r="BQ278" s="72">
        <v>1</v>
      </c>
      <c r="BR278" s="72">
        <v>1</v>
      </c>
      <c r="BS278" s="72">
        <v>1</v>
      </c>
      <c r="BT278" s="72">
        <v>1</v>
      </c>
      <c r="BU278" s="72">
        <v>1</v>
      </c>
      <c r="BV278" s="72">
        <v>1</v>
      </c>
      <c r="BW278" s="72">
        <v>1</v>
      </c>
      <c r="BX278" s="72">
        <v>1</v>
      </c>
      <c r="BY278" s="72">
        <v>1</v>
      </c>
      <c r="BZ278" s="72">
        <v>1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  <c r="DL278" s="72">
        <v>1</v>
      </c>
    </row>
    <row r="279" spans="1:116" x14ac:dyDescent="0.35">
      <c r="A279" s="7"/>
      <c r="B279" s="8" t="s">
        <v>512</v>
      </c>
      <c r="C279" s="9" t="s">
        <v>1162</v>
      </c>
      <c r="D279" s="10" t="s">
        <v>513</v>
      </c>
      <c r="E279" s="8" t="s">
        <v>1214</v>
      </c>
      <c r="F279" s="10">
        <v>1003</v>
      </c>
      <c r="G279" s="10" t="s">
        <v>40</v>
      </c>
      <c r="H279" s="10" t="s">
        <v>41</v>
      </c>
      <c r="I279" s="11"/>
      <c r="J279" s="10"/>
      <c r="K279" s="10" t="s">
        <v>514</v>
      </c>
      <c r="L279" s="8" t="s">
        <v>515</v>
      </c>
      <c r="M279" s="12"/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0</v>
      </c>
      <c r="AW279" s="72">
        <v>0</v>
      </c>
      <c r="AX279" s="72">
        <v>0</v>
      </c>
      <c r="AY279" s="72">
        <v>0</v>
      </c>
      <c r="AZ279" s="72">
        <v>0</v>
      </c>
      <c r="BA279" s="72">
        <v>0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</row>
    <row r="280" spans="1:116" x14ac:dyDescent="0.35">
      <c r="A280" s="7"/>
      <c r="B280" s="8" t="s">
        <v>516</v>
      </c>
      <c r="C280" s="9" t="s">
        <v>517</v>
      </c>
      <c r="D280" s="10" t="s">
        <v>513</v>
      </c>
      <c r="E280" s="8" t="s">
        <v>1205</v>
      </c>
      <c r="F280" s="10">
        <v>1002</v>
      </c>
      <c r="G280" s="10" t="s">
        <v>40</v>
      </c>
      <c r="H280" s="10" t="s">
        <v>41</v>
      </c>
      <c r="I280" s="11">
        <v>2</v>
      </c>
      <c r="J280" s="10"/>
      <c r="K280" s="10"/>
      <c r="L280" s="8"/>
      <c r="M280" s="12">
        <v>1300</v>
      </c>
      <c r="N280" s="12">
        <f t="shared" si="6"/>
        <v>2600</v>
      </c>
      <c r="O280" s="11">
        <v>2</v>
      </c>
      <c r="P280" s="11">
        <v>2</v>
      </c>
      <c r="Q280" s="11">
        <v>2</v>
      </c>
      <c r="R280" s="11">
        <v>2</v>
      </c>
      <c r="S280" s="11">
        <v>2</v>
      </c>
      <c r="T280" s="11">
        <v>2</v>
      </c>
      <c r="U280" s="11">
        <v>2</v>
      </c>
      <c r="V280" s="11">
        <v>2</v>
      </c>
      <c r="W280" s="11">
        <v>2</v>
      </c>
      <c r="X280" s="11">
        <v>2</v>
      </c>
      <c r="Y280" s="11">
        <v>2</v>
      </c>
      <c r="Z280" s="11">
        <v>2</v>
      </c>
      <c r="AA280" s="11">
        <v>2</v>
      </c>
      <c r="AB280" s="11">
        <v>2</v>
      </c>
      <c r="AC280" s="11">
        <v>2</v>
      </c>
      <c r="AD280" s="11">
        <v>2</v>
      </c>
      <c r="AE280" s="11">
        <v>2</v>
      </c>
      <c r="AF280" s="11">
        <v>2</v>
      </c>
      <c r="AG280" s="11">
        <v>2</v>
      </c>
      <c r="AH280" s="11">
        <v>2</v>
      </c>
      <c r="AI280" s="11">
        <v>2</v>
      </c>
      <c r="AJ280" s="11">
        <v>2</v>
      </c>
      <c r="AK280" s="11">
        <v>2</v>
      </c>
      <c r="AL280" s="11">
        <v>2</v>
      </c>
      <c r="AM280" s="11">
        <v>2</v>
      </c>
      <c r="AN280" s="72">
        <v>2</v>
      </c>
      <c r="AO280" s="72">
        <v>2</v>
      </c>
      <c r="AP280" s="72">
        <v>2</v>
      </c>
      <c r="AQ280" s="72">
        <v>2</v>
      </c>
      <c r="AR280" s="72">
        <v>2</v>
      </c>
      <c r="AS280" s="72">
        <v>2</v>
      </c>
      <c r="AT280" s="72">
        <v>2</v>
      </c>
      <c r="AU280" s="72">
        <v>2</v>
      </c>
      <c r="AV280" s="72">
        <v>2</v>
      </c>
      <c r="AW280" s="72">
        <v>2</v>
      </c>
      <c r="AX280" s="72">
        <v>2</v>
      </c>
      <c r="AY280" s="72">
        <v>2</v>
      </c>
      <c r="AZ280" s="72">
        <v>2</v>
      </c>
      <c r="BA280" s="72">
        <v>2</v>
      </c>
      <c r="BB280" s="72">
        <v>2</v>
      </c>
      <c r="BC280" s="72">
        <v>2</v>
      </c>
      <c r="BD280" s="72">
        <v>2</v>
      </c>
      <c r="BE280" s="72">
        <v>2</v>
      </c>
      <c r="BF280" s="72">
        <v>2</v>
      </c>
      <c r="BG280" s="72">
        <v>2</v>
      </c>
      <c r="BH280" s="72">
        <v>2</v>
      </c>
      <c r="BI280" s="72">
        <v>2</v>
      </c>
      <c r="BJ280" s="72">
        <v>2</v>
      </c>
      <c r="BK280" s="72">
        <v>2</v>
      </c>
      <c r="BL280" s="72">
        <v>2</v>
      </c>
      <c r="BM280" s="72">
        <v>2</v>
      </c>
      <c r="BN280" s="72">
        <v>2</v>
      </c>
      <c r="BO280" s="72">
        <v>2</v>
      </c>
      <c r="BP280" s="72">
        <v>2</v>
      </c>
      <c r="BQ280" s="72">
        <v>2</v>
      </c>
      <c r="BR280" s="72">
        <v>2</v>
      </c>
      <c r="BS280" s="72">
        <v>2</v>
      </c>
      <c r="BT280" s="72">
        <v>2</v>
      </c>
      <c r="BU280" s="72">
        <v>2</v>
      </c>
      <c r="BV280" s="72">
        <v>2</v>
      </c>
      <c r="BW280" s="72">
        <v>2</v>
      </c>
      <c r="BX280" s="72">
        <v>2</v>
      </c>
      <c r="BY280" s="72">
        <v>2</v>
      </c>
      <c r="BZ280" s="72">
        <v>2</v>
      </c>
      <c r="CA280" s="72">
        <v>2</v>
      </c>
      <c r="CB280" s="72">
        <v>2</v>
      </c>
      <c r="CC280" s="72">
        <v>2</v>
      </c>
      <c r="CD280" s="72">
        <v>2</v>
      </c>
      <c r="CE280" s="72">
        <v>2</v>
      </c>
      <c r="CF280" s="72">
        <v>2</v>
      </c>
      <c r="CG280" s="72">
        <v>2</v>
      </c>
      <c r="CH280" s="72">
        <v>2</v>
      </c>
      <c r="CI280" s="72">
        <v>2</v>
      </c>
      <c r="CJ280" s="72">
        <v>2</v>
      </c>
      <c r="CK280" s="72">
        <v>2</v>
      </c>
      <c r="CL280" s="72">
        <v>2</v>
      </c>
      <c r="CM280" s="72">
        <v>2</v>
      </c>
      <c r="CN280" s="72">
        <v>2</v>
      </c>
      <c r="CO280" s="72">
        <v>2</v>
      </c>
      <c r="CP280" s="72">
        <v>2</v>
      </c>
      <c r="CQ280" s="72">
        <v>2</v>
      </c>
      <c r="CR280" s="72">
        <v>2</v>
      </c>
      <c r="CS280" s="72">
        <v>2</v>
      </c>
      <c r="CT280" s="72">
        <v>2</v>
      </c>
      <c r="CU280" s="72">
        <v>2</v>
      </c>
      <c r="CV280" s="72">
        <v>2</v>
      </c>
      <c r="CW280" s="72">
        <v>2</v>
      </c>
      <c r="CX280" s="72">
        <v>2</v>
      </c>
      <c r="CY280" s="72">
        <v>2</v>
      </c>
      <c r="CZ280" s="72">
        <v>2</v>
      </c>
      <c r="DA280" s="72">
        <v>2</v>
      </c>
      <c r="DB280" s="72">
        <v>2</v>
      </c>
      <c r="DC280" s="72">
        <v>2</v>
      </c>
      <c r="DD280" s="72">
        <v>2</v>
      </c>
      <c r="DE280" s="72">
        <v>2</v>
      </c>
      <c r="DF280" s="72">
        <v>2</v>
      </c>
      <c r="DG280" s="72">
        <v>2</v>
      </c>
      <c r="DH280" s="72">
        <v>2</v>
      </c>
      <c r="DI280" s="72">
        <v>2</v>
      </c>
      <c r="DJ280" s="72">
        <v>2</v>
      </c>
      <c r="DK280" s="72">
        <v>2</v>
      </c>
      <c r="DL280" s="72">
        <v>2</v>
      </c>
    </row>
    <row r="281" spans="1:116" x14ac:dyDescent="0.35">
      <c r="A281" s="7"/>
      <c r="B281" s="8" t="s">
        <v>518</v>
      </c>
      <c r="C281" s="9" t="s">
        <v>519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6"/>
        <v>0</v>
      </c>
      <c r="O281" s="11"/>
      <c r="P281" s="11"/>
      <c r="Q281" s="11">
        <v>7</v>
      </c>
      <c r="R281" s="11">
        <v>7</v>
      </c>
      <c r="S281" s="11">
        <v>7</v>
      </c>
      <c r="T281" s="11">
        <v>7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  <c r="DJ281" s="72">
        <v>0</v>
      </c>
      <c r="DK281" s="72">
        <v>0</v>
      </c>
      <c r="DL281" s="72">
        <v>0</v>
      </c>
    </row>
    <row r="282" spans="1:116" x14ac:dyDescent="0.35">
      <c r="A282" s="7"/>
      <c r="B282" s="8" t="s">
        <v>521</v>
      </c>
      <c r="C282" s="9" t="s">
        <v>522</v>
      </c>
      <c r="D282" s="10" t="s">
        <v>513</v>
      </c>
      <c r="E282" s="8" t="s">
        <v>1224</v>
      </c>
      <c r="F282" s="10">
        <v>1005</v>
      </c>
      <c r="G282" s="10" t="s">
        <v>40</v>
      </c>
      <c r="H282" s="10" t="s">
        <v>41</v>
      </c>
      <c r="I282" s="11">
        <v>0</v>
      </c>
      <c r="J282" s="10"/>
      <c r="K282" s="10" t="s">
        <v>520</v>
      </c>
      <c r="L282" s="8"/>
      <c r="M282" s="12"/>
      <c r="N282" s="12">
        <f t="shared" si="6"/>
        <v>0</v>
      </c>
      <c r="O282" s="11"/>
      <c r="P282" s="11"/>
      <c r="Q282" s="11">
        <v>2</v>
      </c>
      <c r="R282" s="11">
        <v>2</v>
      </c>
      <c r="S282" s="11">
        <v>2</v>
      </c>
      <c r="T282" s="11">
        <v>2</v>
      </c>
      <c r="U282" s="11">
        <v>0</v>
      </c>
      <c r="V282" s="11">
        <v>0</v>
      </c>
      <c r="W282" s="11">
        <v>0</v>
      </c>
      <c r="X282" s="11">
        <v>0</v>
      </c>
      <c r="Y282" s="11">
        <v>0</v>
      </c>
      <c r="Z282" s="11">
        <v>0</v>
      </c>
      <c r="AA282" s="11">
        <v>0</v>
      </c>
      <c r="AB282" s="11">
        <v>0</v>
      </c>
      <c r="AC282" s="11">
        <v>0</v>
      </c>
      <c r="AD282" s="11">
        <v>0</v>
      </c>
      <c r="AE282" s="11">
        <v>0</v>
      </c>
      <c r="AF282" s="11">
        <v>0</v>
      </c>
      <c r="AG282" s="11">
        <v>0</v>
      </c>
      <c r="AH282" s="11">
        <v>0</v>
      </c>
      <c r="AI282" s="11">
        <v>0</v>
      </c>
      <c r="AJ282" s="11">
        <v>0</v>
      </c>
      <c r="AK282" s="11">
        <v>0</v>
      </c>
      <c r="AL282" s="11">
        <v>0</v>
      </c>
      <c r="AM282" s="11">
        <v>0</v>
      </c>
      <c r="AN282" s="72">
        <v>0</v>
      </c>
      <c r="AO282" s="72">
        <v>0</v>
      </c>
      <c r="AP282" s="72">
        <v>0</v>
      </c>
      <c r="AQ282" s="72">
        <v>0</v>
      </c>
      <c r="AR282" s="72">
        <v>0</v>
      </c>
      <c r="AS282" s="72">
        <v>0</v>
      </c>
      <c r="AT282" s="72">
        <v>0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0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  <c r="DL282" s="72">
        <v>0</v>
      </c>
    </row>
    <row r="283" spans="1:116" x14ac:dyDescent="0.35">
      <c r="A283" s="7"/>
      <c r="B283" s="8" t="s">
        <v>523</v>
      </c>
      <c r="C283" s="9" t="s">
        <v>524</v>
      </c>
      <c r="D283" s="10" t="s">
        <v>525</v>
      </c>
      <c r="E283" s="8" t="s">
        <v>1214</v>
      </c>
      <c r="F283" s="10">
        <v>1003</v>
      </c>
      <c r="G283" s="10" t="s">
        <v>40</v>
      </c>
      <c r="H283" s="10" t="s">
        <v>41</v>
      </c>
      <c r="I283" s="11"/>
      <c r="J283" s="10">
        <v>1</v>
      </c>
      <c r="K283" s="10" t="s">
        <v>526</v>
      </c>
      <c r="L283" s="8" t="s">
        <v>527</v>
      </c>
      <c r="M283" s="12"/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  <c r="DK283" s="72">
        <v>0</v>
      </c>
      <c r="DL283" s="72">
        <v>0</v>
      </c>
    </row>
    <row r="284" spans="1:116" x14ac:dyDescent="0.35">
      <c r="A284" s="7"/>
      <c r="B284" s="8" t="s">
        <v>528</v>
      </c>
      <c r="C284" s="9" t="s">
        <v>529</v>
      </c>
      <c r="D284" s="10" t="s">
        <v>525</v>
      </c>
      <c r="E284" s="8" t="s">
        <v>1225</v>
      </c>
      <c r="F284" s="10">
        <v>1003</v>
      </c>
      <c r="G284" s="10" t="s">
        <v>40</v>
      </c>
      <c r="H284" s="10" t="s">
        <v>41</v>
      </c>
      <c r="I284" s="11">
        <v>4</v>
      </c>
      <c r="J284" s="10"/>
      <c r="K284" s="10"/>
      <c r="L284" s="8"/>
      <c r="M284" s="12"/>
      <c r="N284" s="12">
        <f t="shared" si="6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>
        <v>4</v>
      </c>
      <c r="AH284" s="11">
        <v>4</v>
      </c>
      <c r="AI284" s="11">
        <v>4</v>
      </c>
      <c r="AJ284" s="11">
        <v>4</v>
      </c>
      <c r="AK284" s="11">
        <v>4</v>
      </c>
      <c r="AL284" s="11">
        <v>4</v>
      </c>
      <c r="AM284" s="11">
        <v>3</v>
      </c>
      <c r="AN284" s="72">
        <v>3</v>
      </c>
      <c r="AO284" s="72">
        <v>0</v>
      </c>
      <c r="AP284" s="72">
        <v>0</v>
      </c>
      <c r="AQ284" s="72">
        <v>0</v>
      </c>
      <c r="AR284" s="72">
        <v>0</v>
      </c>
      <c r="AS284" s="72">
        <v>0</v>
      </c>
      <c r="AT284" s="72">
        <v>0</v>
      </c>
      <c r="AU284" s="72">
        <v>0</v>
      </c>
      <c r="AV284" s="72">
        <v>0</v>
      </c>
      <c r="AW284" s="72">
        <v>0</v>
      </c>
      <c r="AX284" s="72">
        <v>0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  <c r="DL284" s="72">
        <v>0</v>
      </c>
    </row>
    <row r="285" spans="1:116" x14ac:dyDescent="0.35">
      <c r="A285" s="7"/>
      <c r="B285" s="77" t="s">
        <v>1264</v>
      </c>
      <c r="C285" s="9" t="s">
        <v>1274</v>
      </c>
      <c r="D285" s="10" t="s">
        <v>525</v>
      </c>
      <c r="E285" s="8" t="s">
        <v>1225</v>
      </c>
      <c r="F285" s="10"/>
      <c r="G285" s="10"/>
      <c r="H285" s="10" t="s">
        <v>41</v>
      </c>
      <c r="I285" s="11"/>
      <c r="J285" s="10"/>
      <c r="K285" s="10"/>
      <c r="L285" s="8"/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>
        <v>1</v>
      </c>
      <c r="AX285" s="72">
        <v>1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  <c r="DJ285" s="72">
        <v>0</v>
      </c>
      <c r="DK285" s="72">
        <v>0</v>
      </c>
      <c r="DL285" s="72">
        <v>0</v>
      </c>
    </row>
    <row r="286" spans="1:116" x14ac:dyDescent="0.35">
      <c r="A286" s="7"/>
      <c r="B286" s="8" t="s">
        <v>530</v>
      </c>
      <c r="C286" s="9" t="s">
        <v>531</v>
      </c>
      <c r="D286" s="10" t="s">
        <v>525</v>
      </c>
      <c r="E286" s="8" t="s">
        <v>1225</v>
      </c>
      <c r="F286" s="10">
        <v>1003</v>
      </c>
      <c r="G286" s="10" t="s">
        <v>40</v>
      </c>
      <c r="H286" s="10" t="s">
        <v>41</v>
      </c>
      <c r="I286" s="11">
        <v>4</v>
      </c>
      <c r="J286" s="10"/>
      <c r="K286" s="10"/>
      <c r="L286" s="8"/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>
        <v>4</v>
      </c>
      <c r="AH286" s="11">
        <v>4</v>
      </c>
      <c r="AI286" s="11">
        <v>4</v>
      </c>
      <c r="AJ286" s="11">
        <v>4</v>
      </c>
      <c r="AK286" s="11">
        <v>4</v>
      </c>
      <c r="AL286" s="11">
        <v>4</v>
      </c>
      <c r="AM286" s="11">
        <v>4</v>
      </c>
      <c r="AN286" s="72">
        <v>4</v>
      </c>
      <c r="AO286" s="72">
        <v>0</v>
      </c>
      <c r="AP286" s="72">
        <v>0</v>
      </c>
      <c r="AQ286" s="72">
        <v>0</v>
      </c>
      <c r="AR286" s="72">
        <v>0</v>
      </c>
      <c r="AS286" s="72">
        <v>0</v>
      </c>
      <c r="AT286" s="72">
        <v>0</v>
      </c>
      <c r="AU286" s="72">
        <v>0</v>
      </c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</row>
    <row r="287" spans="1:116" x14ac:dyDescent="0.35">
      <c r="A287" s="7"/>
      <c r="B287" s="8" t="s">
        <v>532</v>
      </c>
      <c r="C287" s="9" t="s">
        <v>1161</v>
      </c>
      <c r="D287" s="10" t="s">
        <v>533</v>
      </c>
      <c r="E287" s="8" t="s">
        <v>1227</v>
      </c>
      <c r="F287" s="10"/>
      <c r="G287" s="10" t="s">
        <v>40</v>
      </c>
      <c r="H287" s="10" t="s">
        <v>41</v>
      </c>
      <c r="I287" s="11">
        <v>1</v>
      </c>
      <c r="J287" s="10"/>
      <c r="K287" s="10"/>
      <c r="L287" s="8"/>
      <c r="M287" s="12">
        <v>26</v>
      </c>
      <c r="N287" s="12">
        <f t="shared" si="6"/>
        <v>26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>
        <v>1</v>
      </c>
      <c r="AK287" s="11">
        <v>1</v>
      </c>
      <c r="AL287" s="11">
        <v>1</v>
      </c>
      <c r="AM287" s="11">
        <v>1</v>
      </c>
      <c r="AN287" s="72">
        <v>1</v>
      </c>
      <c r="AO287" s="72">
        <v>1</v>
      </c>
      <c r="AP287" s="72">
        <v>1</v>
      </c>
      <c r="AQ287" s="72">
        <v>1</v>
      </c>
      <c r="AR287" s="72">
        <v>1</v>
      </c>
      <c r="AS287" s="72">
        <v>1</v>
      </c>
      <c r="AT287" s="72">
        <v>1</v>
      </c>
      <c r="AU287" s="72">
        <v>1</v>
      </c>
      <c r="AV287" s="72">
        <v>1</v>
      </c>
      <c r="AW287" s="72">
        <v>1</v>
      </c>
      <c r="AX287" s="72">
        <v>1</v>
      </c>
      <c r="AY287" s="72">
        <v>1</v>
      </c>
      <c r="AZ287" s="72">
        <v>1</v>
      </c>
      <c r="BA287" s="72">
        <v>1</v>
      </c>
      <c r="BB287" s="72">
        <v>1</v>
      </c>
      <c r="BC287" s="72">
        <v>1</v>
      </c>
      <c r="BD287" s="72">
        <v>1</v>
      </c>
      <c r="BE287" s="72">
        <v>1</v>
      </c>
      <c r="BF287" s="72">
        <v>1</v>
      </c>
      <c r="BG287" s="72">
        <v>1</v>
      </c>
      <c r="BH287" s="72">
        <v>1</v>
      </c>
      <c r="BI287" s="72">
        <v>1</v>
      </c>
      <c r="BJ287" s="72">
        <v>1</v>
      </c>
      <c r="BK287" s="72">
        <v>1</v>
      </c>
      <c r="BL287" s="72">
        <v>1</v>
      </c>
      <c r="BM287" s="72">
        <v>1</v>
      </c>
      <c r="BN287" s="72">
        <v>1</v>
      </c>
      <c r="BO287" s="72">
        <v>1</v>
      </c>
      <c r="BP287" s="72">
        <v>1</v>
      </c>
      <c r="BQ287" s="72">
        <v>1</v>
      </c>
      <c r="BR287" s="72">
        <v>1</v>
      </c>
      <c r="BS287" s="72">
        <v>1</v>
      </c>
      <c r="BT287" s="72">
        <v>1</v>
      </c>
      <c r="BU287" s="72">
        <v>1</v>
      </c>
      <c r="BV287" s="72">
        <v>1</v>
      </c>
      <c r="BW287" s="72">
        <v>1</v>
      </c>
      <c r="BX287" s="72">
        <v>1</v>
      </c>
      <c r="BY287" s="72">
        <v>1</v>
      </c>
      <c r="BZ287" s="72">
        <v>1</v>
      </c>
      <c r="CA287" s="72">
        <v>1</v>
      </c>
      <c r="CB287" s="72">
        <v>1</v>
      </c>
      <c r="CC287" s="72">
        <v>1</v>
      </c>
      <c r="CD287" s="72">
        <v>1</v>
      </c>
      <c r="CE287" s="72">
        <v>1</v>
      </c>
      <c r="CF287" s="72">
        <v>1</v>
      </c>
      <c r="CG287" s="72">
        <v>1</v>
      </c>
      <c r="CH287" s="72">
        <v>1</v>
      </c>
      <c r="CI287" s="72">
        <v>1</v>
      </c>
      <c r="CJ287" s="72">
        <v>1</v>
      </c>
      <c r="CK287" s="72">
        <v>1</v>
      </c>
      <c r="CL287" s="72">
        <v>1</v>
      </c>
      <c r="CM287" s="72">
        <v>1</v>
      </c>
      <c r="CN287" s="72">
        <v>1</v>
      </c>
      <c r="CO287" s="72">
        <v>1</v>
      </c>
      <c r="CP287" s="72">
        <v>1</v>
      </c>
      <c r="CQ287" s="72">
        <v>1</v>
      </c>
      <c r="CR287" s="72">
        <v>1</v>
      </c>
      <c r="CS287" s="72">
        <v>1</v>
      </c>
      <c r="CT287" s="72">
        <v>1</v>
      </c>
      <c r="CU287" s="72">
        <v>1</v>
      </c>
      <c r="CV287" s="72">
        <v>1</v>
      </c>
      <c r="CW287" s="72">
        <v>1</v>
      </c>
      <c r="CX287" s="72">
        <v>1</v>
      </c>
      <c r="CY287" s="72">
        <v>1</v>
      </c>
      <c r="CZ287" s="72">
        <v>1</v>
      </c>
      <c r="DA287" s="72">
        <v>1</v>
      </c>
      <c r="DB287" s="72">
        <v>1</v>
      </c>
      <c r="DC287" s="72">
        <v>1</v>
      </c>
      <c r="DD287" s="72">
        <v>1</v>
      </c>
      <c r="DE287" s="72">
        <v>1</v>
      </c>
      <c r="DF287" s="72">
        <v>1</v>
      </c>
      <c r="DG287" s="72">
        <v>1</v>
      </c>
      <c r="DH287" s="72">
        <v>1</v>
      </c>
      <c r="DI287" s="72">
        <v>1</v>
      </c>
      <c r="DJ287" s="72">
        <v>1</v>
      </c>
      <c r="DK287" s="72">
        <v>1</v>
      </c>
      <c r="DL287" s="72">
        <v>1</v>
      </c>
    </row>
    <row r="288" spans="1:116" x14ac:dyDescent="0.35">
      <c r="A288" s="7"/>
      <c r="B288" s="77" t="s">
        <v>1457</v>
      </c>
      <c r="C288" s="9" t="s">
        <v>1463</v>
      </c>
      <c r="D288" s="10" t="s">
        <v>1461</v>
      </c>
      <c r="E288" s="8" t="s">
        <v>1462</v>
      </c>
      <c r="F288" s="10"/>
      <c r="G288" s="10"/>
      <c r="H288" s="10" t="s">
        <v>41</v>
      </c>
      <c r="I288" s="11"/>
      <c r="J288" s="10"/>
      <c r="K288" s="10"/>
      <c r="L288" s="8"/>
      <c r="M288" s="12"/>
      <c r="N288" s="12">
        <f t="shared" si="6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>
        <v>0</v>
      </c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</row>
    <row r="289" spans="1:116" x14ac:dyDescent="0.35">
      <c r="A289" s="7"/>
      <c r="B289" s="77" t="s">
        <v>1234</v>
      </c>
      <c r="C289" s="78" t="s">
        <v>1240</v>
      </c>
      <c r="D289" s="10" t="s">
        <v>773</v>
      </c>
      <c r="E289" s="8" t="s">
        <v>1221</v>
      </c>
      <c r="F289" s="10"/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6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</row>
    <row r="290" spans="1:116" x14ac:dyDescent="0.35">
      <c r="A290" s="7"/>
      <c r="B290" s="77" t="s">
        <v>1235</v>
      </c>
      <c r="C290" s="78" t="s">
        <v>1241</v>
      </c>
      <c r="D290" s="10" t="s">
        <v>773</v>
      </c>
      <c r="E290" s="8" t="s">
        <v>1203</v>
      </c>
      <c r="F290" s="10">
        <v>1002</v>
      </c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</row>
    <row r="291" spans="1:116" x14ac:dyDescent="0.35">
      <c r="A291" s="7"/>
      <c r="B291" s="77" t="s">
        <v>1236</v>
      </c>
      <c r="C291" s="78" t="s">
        <v>1242</v>
      </c>
      <c r="D291" s="10" t="s">
        <v>773</v>
      </c>
      <c r="E291" s="8" t="s">
        <v>1205</v>
      </c>
      <c r="F291" s="10"/>
      <c r="G291" s="10" t="s">
        <v>40</v>
      </c>
      <c r="H291" s="10" t="s">
        <v>41</v>
      </c>
      <c r="I291" s="11"/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>
        <v>2</v>
      </c>
      <c r="AS291" s="72">
        <v>2</v>
      </c>
      <c r="AT291" s="72">
        <v>2</v>
      </c>
      <c r="AU291" s="72">
        <v>2</v>
      </c>
      <c r="AV291" s="72">
        <v>2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</row>
    <row r="292" spans="1:116" x14ac:dyDescent="0.35">
      <c r="A292" s="7"/>
      <c r="B292" s="8">
        <v>638213</v>
      </c>
      <c r="C292" s="9" t="s">
        <v>534</v>
      </c>
      <c r="D292" s="10" t="s">
        <v>535</v>
      </c>
      <c r="E292" s="8" t="s">
        <v>1226</v>
      </c>
      <c r="F292" s="10">
        <v>1104</v>
      </c>
      <c r="G292" s="10" t="s">
        <v>40</v>
      </c>
      <c r="H292" s="10" t="s">
        <v>95</v>
      </c>
      <c r="I292" s="11">
        <v>0</v>
      </c>
      <c r="J292" s="10"/>
      <c r="K292" s="10"/>
      <c r="L292" s="8"/>
      <c r="M292" s="12"/>
      <c r="N292" s="12">
        <f t="shared" si="6"/>
        <v>0</v>
      </c>
      <c r="O292" s="11">
        <v>66</v>
      </c>
      <c r="P292" s="11">
        <v>66</v>
      </c>
      <c r="Q292" s="11">
        <v>66</v>
      </c>
      <c r="R292" s="11">
        <v>56</v>
      </c>
      <c r="S292" s="11">
        <v>56</v>
      </c>
      <c r="T292" s="11">
        <v>48</v>
      </c>
      <c r="U292" s="11">
        <v>33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</row>
    <row r="293" spans="1:116" x14ac:dyDescent="0.35">
      <c r="A293" s="7"/>
      <c r="B293" s="8" t="s">
        <v>1381</v>
      </c>
      <c r="C293" s="9" t="s">
        <v>1383</v>
      </c>
      <c r="D293" s="10" t="s">
        <v>535</v>
      </c>
      <c r="E293" s="8" t="s">
        <v>1211</v>
      </c>
      <c r="F293" s="10"/>
      <c r="G293" s="10"/>
      <c r="H293" s="10" t="s">
        <v>95</v>
      </c>
      <c r="I293" s="11">
        <v>0</v>
      </c>
      <c r="J293" s="10"/>
      <c r="K293" s="10"/>
      <c r="L293" s="8"/>
      <c r="M293" s="12">
        <v>0.42</v>
      </c>
      <c r="N293" s="12">
        <f t="shared" si="6"/>
        <v>105.83999999999999</v>
      </c>
      <c r="O293" s="11">
        <v>0</v>
      </c>
      <c r="P293" s="11">
        <v>0</v>
      </c>
      <c r="Q293" s="11">
        <v>0</v>
      </c>
      <c r="R293" s="11">
        <v>0</v>
      </c>
      <c r="S293" s="11">
        <v>0</v>
      </c>
      <c r="T293" s="11">
        <v>0</v>
      </c>
      <c r="U293" s="11">
        <v>0</v>
      </c>
      <c r="V293" s="11">
        <v>0</v>
      </c>
      <c r="W293" s="11">
        <v>0</v>
      </c>
      <c r="X293" s="11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0</v>
      </c>
      <c r="AG293" s="11">
        <v>0</v>
      </c>
      <c r="AH293" s="11">
        <v>0</v>
      </c>
      <c r="AI293" s="11">
        <v>0</v>
      </c>
      <c r="AJ293" s="11">
        <v>0</v>
      </c>
      <c r="AK293" s="11">
        <v>0</v>
      </c>
      <c r="AL293" s="11">
        <v>0</v>
      </c>
      <c r="AM293" s="11">
        <v>0</v>
      </c>
      <c r="AN293" s="72">
        <v>0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3000</v>
      </c>
      <c r="BS293" s="72">
        <v>500</v>
      </c>
      <c r="BT293" s="72">
        <v>500</v>
      </c>
      <c r="BU293" s="72">
        <v>500</v>
      </c>
      <c r="BV293" s="72">
        <v>500</v>
      </c>
      <c r="BW293" s="72">
        <v>500</v>
      </c>
      <c r="BX293" s="72">
        <v>500</v>
      </c>
      <c r="BY293" s="72">
        <v>500</v>
      </c>
      <c r="BZ293" s="72">
        <v>500</v>
      </c>
      <c r="CA293" s="72">
        <v>500</v>
      </c>
      <c r="CB293" s="72">
        <v>500</v>
      </c>
      <c r="CC293" s="72">
        <v>500</v>
      </c>
      <c r="CD293" s="72">
        <v>500</v>
      </c>
      <c r="CE293" s="72">
        <v>500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2500</v>
      </c>
      <c r="DF293" s="72">
        <v>2500</v>
      </c>
      <c r="DG293" s="72">
        <v>2500</v>
      </c>
      <c r="DH293" s="72">
        <v>2252</v>
      </c>
      <c r="DI293" s="72">
        <v>2252</v>
      </c>
      <c r="DJ293" s="72">
        <v>252</v>
      </c>
      <c r="DK293" s="72">
        <v>252</v>
      </c>
      <c r="DL293" s="72">
        <v>252</v>
      </c>
    </row>
    <row r="294" spans="1:116" x14ac:dyDescent="0.35">
      <c r="A294" s="7"/>
      <c r="B294" s="8" t="s">
        <v>1509</v>
      </c>
      <c r="C294" s="9" t="s">
        <v>1513</v>
      </c>
      <c r="D294" s="10" t="s">
        <v>535</v>
      </c>
      <c r="E294" s="8" t="s">
        <v>1211</v>
      </c>
      <c r="F294" s="10">
        <v>1101</v>
      </c>
      <c r="G294" s="10" t="s">
        <v>40</v>
      </c>
      <c r="H294" s="10" t="s">
        <v>95</v>
      </c>
      <c r="I294" s="11"/>
      <c r="J294" s="10"/>
      <c r="K294" s="10"/>
      <c r="L294" s="8"/>
      <c r="M294" s="12">
        <v>0.74</v>
      </c>
      <c r="N294" s="12">
        <f t="shared" si="6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72"/>
      <c r="CH294" s="72"/>
      <c r="CI294" s="72"/>
      <c r="CJ294" s="72"/>
      <c r="CK294" s="72"/>
      <c r="CL294" s="72"/>
      <c r="CM294" s="72"/>
      <c r="CN294" s="72"/>
      <c r="CO294" s="72"/>
      <c r="CP294" s="72"/>
      <c r="CQ294" s="72"/>
      <c r="CR294" s="72"/>
      <c r="CS294" s="72"/>
      <c r="CT294" s="72"/>
      <c r="CU294" s="72"/>
      <c r="CV294" s="72">
        <v>240</v>
      </c>
      <c r="CW294" s="72">
        <v>240</v>
      </c>
      <c r="CX294" s="72">
        <v>240</v>
      </c>
      <c r="CY294" s="72">
        <v>240</v>
      </c>
      <c r="CZ294" s="72">
        <v>240</v>
      </c>
      <c r="DA294" s="72">
        <v>240</v>
      </c>
      <c r="DB294" s="72">
        <v>240</v>
      </c>
      <c r="DC294" s="72">
        <v>240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</row>
    <row r="295" spans="1:116" x14ac:dyDescent="0.35">
      <c r="A295" s="7"/>
      <c r="B295" s="77" t="s">
        <v>1265</v>
      </c>
      <c r="C295" s="9" t="s">
        <v>1275</v>
      </c>
      <c r="D295" s="10" t="s">
        <v>537</v>
      </c>
      <c r="E295" s="8" t="s">
        <v>1224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>
        <v>1</v>
      </c>
      <c r="AX295" s="72">
        <v>1</v>
      </c>
      <c r="AY295" s="72">
        <v>1</v>
      </c>
      <c r="AZ295" s="72">
        <v>1</v>
      </c>
      <c r="BA295" s="72">
        <v>1</v>
      </c>
      <c r="BB295" s="72">
        <v>0</v>
      </c>
      <c r="BC295" s="72">
        <v>0</v>
      </c>
      <c r="BD295" s="72">
        <v>0</v>
      </c>
      <c r="BE295" s="72">
        <v>0</v>
      </c>
      <c r="BF295" s="72">
        <v>0</v>
      </c>
      <c r="BG295" s="72">
        <v>0</v>
      </c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</row>
    <row r="296" spans="1:116" x14ac:dyDescent="0.35">
      <c r="A296" s="7"/>
      <c r="B296" s="8" t="s">
        <v>536</v>
      </c>
      <c r="C296" s="78" t="s">
        <v>1345</v>
      </c>
      <c r="D296" s="10" t="s">
        <v>537</v>
      </c>
      <c r="E296" s="8" t="s">
        <v>1229</v>
      </c>
      <c r="F296" s="10"/>
      <c r="G296" s="10" t="s">
        <v>40</v>
      </c>
      <c r="H296" s="10" t="s">
        <v>41</v>
      </c>
      <c r="I296" s="11">
        <v>2</v>
      </c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>
        <v>2</v>
      </c>
      <c r="AJ296" s="11">
        <v>2</v>
      </c>
      <c r="AK296" s="11">
        <v>2</v>
      </c>
      <c r="AL296" s="11">
        <v>2</v>
      </c>
      <c r="AM296" s="11">
        <v>2</v>
      </c>
      <c r="AN296" s="72">
        <v>2</v>
      </c>
      <c r="AO296" s="72">
        <v>2</v>
      </c>
      <c r="AP296" s="72">
        <v>2</v>
      </c>
      <c r="AQ296" s="72">
        <v>2</v>
      </c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2</v>
      </c>
      <c r="AX296" s="72">
        <v>2</v>
      </c>
      <c r="AY296" s="72">
        <v>2</v>
      </c>
      <c r="AZ296" s="72">
        <v>2</v>
      </c>
      <c r="BA296" s="72">
        <v>2</v>
      </c>
      <c r="BB296" s="72">
        <v>2</v>
      </c>
      <c r="BC296" s="72">
        <v>2</v>
      </c>
      <c r="BD296" s="72">
        <v>2</v>
      </c>
      <c r="BE296" s="72">
        <v>2</v>
      </c>
      <c r="BF296" s="72">
        <v>2</v>
      </c>
      <c r="BG296" s="72">
        <v>2</v>
      </c>
      <c r="BH296" s="72">
        <v>2</v>
      </c>
      <c r="BI296" s="72">
        <v>2</v>
      </c>
      <c r="BJ296" s="72">
        <v>2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</row>
    <row r="297" spans="1:116" x14ac:dyDescent="0.35">
      <c r="A297" s="7"/>
      <c r="B297" s="77" t="s">
        <v>1246</v>
      </c>
      <c r="C297" s="9" t="s">
        <v>1250</v>
      </c>
      <c r="D297" s="10" t="s">
        <v>537</v>
      </c>
      <c r="E297" s="8" t="s">
        <v>1251</v>
      </c>
      <c r="F297" s="10"/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/>
      <c r="AS297" s="72"/>
      <c r="AT297" s="72"/>
      <c r="AU297" s="72">
        <v>4</v>
      </c>
      <c r="AV297" s="72">
        <v>4</v>
      </c>
      <c r="AW297" s="72">
        <v>3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</row>
    <row r="298" spans="1:116" x14ac:dyDescent="0.35">
      <c r="A298" s="7"/>
      <c r="B298" s="77" t="s">
        <v>1504</v>
      </c>
      <c r="C298" s="78" t="s">
        <v>542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1600</v>
      </c>
      <c r="N298" s="12">
        <f t="shared" si="6"/>
        <v>4800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  <c r="DI298" s="72">
        <v>3</v>
      </c>
      <c r="DJ298" s="72">
        <v>3</v>
      </c>
      <c r="DK298" s="72">
        <v>3</v>
      </c>
      <c r="DL298" s="72">
        <v>3</v>
      </c>
    </row>
    <row r="299" spans="1:116" x14ac:dyDescent="0.35">
      <c r="A299" s="7"/>
      <c r="B299" s="77" t="s">
        <v>1505</v>
      </c>
      <c r="C299" s="78" t="s">
        <v>539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1380</v>
      </c>
      <c r="N299" s="12">
        <f t="shared" si="6"/>
        <v>4140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4</v>
      </c>
      <c r="CV299" s="72">
        <v>4</v>
      </c>
      <c r="CW299" s="72">
        <v>4</v>
      </c>
      <c r="CX299" s="72">
        <v>4</v>
      </c>
      <c r="CY299" s="72">
        <v>4</v>
      </c>
      <c r="CZ299" s="72">
        <v>4</v>
      </c>
      <c r="DA299" s="72">
        <v>3</v>
      </c>
      <c r="DB299" s="72">
        <v>3</v>
      </c>
      <c r="DC299" s="72">
        <v>3</v>
      </c>
      <c r="DD299" s="72">
        <v>3</v>
      </c>
      <c r="DE299" s="72">
        <v>3</v>
      </c>
      <c r="DF299" s="72">
        <v>3</v>
      </c>
      <c r="DG299" s="72">
        <v>3</v>
      </c>
      <c r="DH299" s="72">
        <v>3</v>
      </c>
      <c r="DI299" s="72">
        <v>3</v>
      </c>
      <c r="DJ299" s="72">
        <v>3</v>
      </c>
      <c r="DK299" s="72">
        <v>3</v>
      </c>
      <c r="DL299" s="72">
        <v>3</v>
      </c>
    </row>
    <row r="300" spans="1:116" x14ac:dyDescent="0.35">
      <c r="A300" s="7"/>
      <c r="B300" s="77" t="s">
        <v>1506</v>
      </c>
      <c r="C300" s="78" t="s">
        <v>547</v>
      </c>
      <c r="D300" s="97" t="s">
        <v>540</v>
      </c>
      <c r="E300" s="92" t="s">
        <v>1224</v>
      </c>
      <c r="F300" s="97">
        <v>1005</v>
      </c>
      <c r="G300" s="97" t="s">
        <v>40</v>
      </c>
      <c r="H300" s="97" t="s">
        <v>41</v>
      </c>
      <c r="I300" s="11">
        <v>0</v>
      </c>
      <c r="J300" s="10"/>
      <c r="K300" s="10" t="s">
        <v>520</v>
      </c>
      <c r="L300" s="8"/>
      <c r="M300" s="12">
        <v>520</v>
      </c>
      <c r="N300" s="12">
        <f t="shared" si="6"/>
        <v>520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0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1</v>
      </c>
      <c r="CV300" s="72">
        <v>1</v>
      </c>
      <c r="CW300" s="72">
        <v>1</v>
      </c>
      <c r="CX300" s="72">
        <v>1</v>
      </c>
      <c r="CY300" s="72">
        <v>1</v>
      </c>
      <c r="CZ300" s="72">
        <v>1</v>
      </c>
      <c r="DA300" s="72">
        <v>1</v>
      </c>
      <c r="DB300" s="72">
        <v>1</v>
      </c>
      <c r="DC300" s="72">
        <v>1</v>
      </c>
      <c r="DD300" s="72">
        <v>1</v>
      </c>
      <c r="DE300" s="72">
        <v>1</v>
      </c>
      <c r="DF300" s="72">
        <v>1</v>
      </c>
      <c r="DG300" s="72">
        <v>1</v>
      </c>
      <c r="DH300" s="72">
        <v>1</v>
      </c>
      <c r="DI300" s="72">
        <v>1</v>
      </c>
      <c r="DJ300" s="72">
        <v>1</v>
      </c>
      <c r="DK300" s="72">
        <v>1</v>
      </c>
      <c r="DL300" s="72">
        <v>1</v>
      </c>
    </row>
    <row r="301" spans="1:116" x14ac:dyDescent="0.35">
      <c r="A301" s="7"/>
      <c r="B301" s="77" t="s">
        <v>1363</v>
      </c>
      <c r="C301" s="8" t="s">
        <v>548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>
        <v>6</v>
      </c>
      <c r="J301" s="10">
        <v>1</v>
      </c>
      <c r="K301" s="10" t="s">
        <v>550</v>
      </c>
      <c r="L301" s="8" t="s">
        <v>551</v>
      </c>
      <c r="M301" s="12">
        <v>3800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>
        <v>6</v>
      </c>
      <c r="AJ301" s="11">
        <v>6</v>
      </c>
      <c r="AK301" s="11">
        <v>6</v>
      </c>
      <c r="AL301" s="11">
        <v>6</v>
      </c>
      <c r="AM301" s="11">
        <v>6</v>
      </c>
      <c r="AN301" s="72">
        <v>5</v>
      </c>
      <c r="AO301" s="72">
        <v>5</v>
      </c>
      <c r="AP301" s="72">
        <v>5</v>
      </c>
      <c r="AQ301" s="72">
        <v>5</v>
      </c>
      <c r="AR301" s="72">
        <v>5</v>
      </c>
      <c r="AS301" s="72">
        <v>5</v>
      </c>
      <c r="AT301" s="72">
        <v>5</v>
      </c>
      <c r="AU301" s="72">
        <v>5</v>
      </c>
      <c r="AV301" s="72">
        <v>5</v>
      </c>
      <c r="AW301" s="72">
        <v>5</v>
      </c>
      <c r="AX301" s="72">
        <v>5</v>
      </c>
      <c r="AY301" s="72">
        <v>5</v>
      </c>
      <c r="AZ301" s="72">
        <v>5</v>
      </c>
      <c r="BA301" s="72">
        <v>5</v>
      </c>
      <c r="BB301" s="72">
        <v>5</v>
      </c>
      <c r="BC301" s="72">
        <v>5</v>
      </c>
      <c r="BD301" s="72">
        <v>4</v>
      </c>
      <c r="BE301" s="72">
        <v>5</v>
      </c>
      <c r="BF301" s="72">
        <v>5</v>
      </c>
      <c r="BG301" s="72">
        <v>5</v>
      </c>
      <c r="BH301" s="72">
        <v>5</v>
      </c>
      <c r="BI301" s="72">
        <v>5</v>
      </c>
      <c r="BJ301" s="72">
        <v>5</v>
      </c>
      <c r="BK301" s="72">
        <v>5</v>
      </c>
      <c r="BL301" s="72">
        <v>5</v>
      </c>
      <c r="BM301" s="72">
        <v>5</v>
      </c>
      <c r="BN301" s="72">
        <v>5</v>
      </c>
      <c r="BO301" s="72">
        <v>5</v>
      </c>
      <c r="BP301" s="72">
        <v>5</v>
      </c>
      <c r="BQ301" s="72">
        <v>5</v>
      </c>
      <c r="BR301" s="72">
        <v>5</v>
      </c>
      <c r="BS301" s="72">
        <v>3</v>
      </c>
      <c r="BT301" s="72">
        <v>3</v>
      </c>
      <c r="BU301" s="72">
        <v>3</v>
      </c>
      <c r="BV301" s="72">
        <v>3</v>
      </c>
      <c r="BW301" s="72">
        <v>3</v>
      </c>
      <c r="BX301" s="72">
        <v>3</v>
      </c>
      <c r="BY301" s="72">
        <v>3</v>
      </c>
      <c r="BZ301" s="72">
        <v>1</v>
      </c>
      <c r="CA301" s="72">
        <v>1</v>
      </c>
      <c r="CB301" s="72">
        <v>1</v>
      </c>
      <c r="CC301" s="72">
        <v>1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</row>
    <row r="302" spans="1:116" x14ac:dyDescent="0.35">
      <c r="A302" s="7"/>
      <c r="B302" s="77" t="s">
        <v>1255</v>
      </c>
      <c r="C302" s="9" t="s">
        <v>552</v>
      </c>
      <c r="D302" s="10" t="s">
        <v>549</v>
      </c>
      <c r="E302" s="8" t="s">
        <v>1215</v>
      </c>
      <c r="F302" s="10"/>
      <c r="G302" s="10" t="s">
        <v>40</v>
      </c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</row>
    <row r="303" spans="1:116" x14ac:dyDescent="0.35">
      <c r="A303" s="7"/>
      <c r="B303" s="8" t="s">
        <v>1256</v>
      </c>
      <c r="C303" s="78" t="s">
        <v>1346</v>
      </c>
      <c r="D303" s="10" t="s">
        <v>549</v>
      </c>
      <c r="E303" s="8" t="s">
        <v>1215</v>
      </c>
      <c r="F303" s="10">
        <v>1104</v>
      </c>
      <c r="G303" s="10" t="s">
        <v>92</v>
      </c>
      <c r="H303" s="10" t="s">
        <v>95</v>
      </c>
      <c r="I303" s="11">
        <v>100</v>
      </c>
      <c r="J303" s="10"/>
      <c r="K303" s="10"/>
      <c r="L303" s="8"/>
      <c r="M303" s="12"/>
      <c r="N303" s="12">
        <f t="shared" si="6"/>
        <v>0</v>
      </c>
      <c r="O303" s="11">
        <v>100</v>
      </c>
      <c r="P303" s="11">
        <v>100</v>
      </c>
      <c r="Q303" s="11">
        <v>100</v>
      </c>
      <c r="R303" s="11">
        <v>100</v>
      </c>
      <c r="S303" s="11">
        <v>100</v>
      </c>
      <c r="T303" s="11">
        <v>100</v>
      </c>
      <c r="U303" s="11">
        <v>100</v>
      </c>
      <c r="V303" s="11">
        <v>100</v>
      </c>
      <c r="W303" s="11">
        <v>100</v>
      </c>
      <c r="X303" s="11">
        <v>100</v>
      </c>
      <c r="Y303" s="11">
        <v>100</v>
      </c>
      <c r="Z303" s="11">
        <v>100</v>
      </c>
      <c r="AA303" s="11">
        <v>100</v>
      </c>
      <c r="AB303" s="11">
        <v>100</v>
      </c>
      <c r="AC303" s="11">
        <v>100</v>
      </c>
      <c r="AD303" s="11">
        <v>100</v>
      </c>
      <c r="AE303" s="11">
        <v>100</v>
      </c>
      <c r="AF303" s="11">
        <v>100</v>
      </c>
      <c r="AG303" s="11">
        <v>100</v>
      </c>
      <c r="AH303" s="11">
        <v>100</v>
      </c>
      <c r="AI303" s="11">
        <v>100</v>
      </c>
      <c r="AJ303" s="11">
        <v>100</v>
      </c>
      <c r="AK303" s="11">
        <v>100</v>
      </c>
      <c r="AL303" s="11">
        <v>100</v>
      </c>
      <c r="AM303" s="11">
        <v>100</v>
      </c>
      <c r="AN303" s="72">
        <v>100</v>
      </c>
      <c r="AO303" s="72">
        <v>100</v>
      </c>
      <c r="AP303" s="72">
        <v>100</v>
      </c>
      <c r="AQ303" s="72">
        <v>100</v>
      </c>
      <c r="AR303" s="72">
        <v>100</v>
      </c>
      <c r="AS303" s="72">
        <v>100</v>
      </c>
      <c r="AT303" s="72">
        <v>100</v>
      </c>
      <c r="AU303" s="72">
        <v>100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</row>
    <row r="304" spans="1:116" x14ac:dyDescent="0.35">
      <c r="A304" s="7"/>
      <c r="B304" s="92" t="s">
        <v>1322</v>
      </c>
      <c r="C304" s="9" t="s">
        <v>1262</v>
      </c>
      <c r="D304" s="10" t="s">
        <v>549</v>
      </c>
      <c r="E304" s="8" t="s">
        <v>1215</v>
      </c>
      <c r="F304" s="10"/>
      <c r="G304" s="10" t="s">
        <v>92</v>
      </c>
      <c r="H304" s="10" t="s">
        <v>95</v>
      </c>
      <c r="I304" s="11">
        <v>50</v>
      </c>
      <c r="J304" s="10"/>
      <c r="K304" s="10" t="s">
        <v>553</v>
      </c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>
        <v>50</v>
      </c>
      <c r="V304" s="11">
        <v>50</v>
      </c>
      <c r="W304" s="11">
        <v>50</v>
      </c>
      <c r="X304" s="11">
        <v>50</v>
      </c>
      <c r="Y304" s="11">
        <v>50</v>
      </c>
      <c r="Z304" s="11">
        <v>50</v>
      </c>
      <c r="AA304" s="11">
        <v>50</v>
      </c>
      <c r="AB304" s="11">
        <v>50</v>
      </c>
      <c r="AC304" s="11">
        <v>50</v>
      </c>
      <c r="AD304" s="11">
        <v>50</v>
      </c>
      <c r="AE304" s="11">
        <v>50</v>
      </c>
      <c r="AF304" s="11">
        <v>50</v>
      </c>
      <c r="AG304" s="11">
        <v>50</v>
      </c>
      <c r="AH304" s="11">
        <v>50</v>
      </c>
      <c r="AI304" s="11">
        <v>50</v>
      </c>
      <c r="AJ304" s="11">
        <v>50</v>
      </c>
      <c r="AK304" s="11">
        <v>50</v>
      </c>
      <c r="AL304" s="11">
        <v>50</v>
      </c>
      <c r="AM304" s="11">
        <v>50</v>
      </c>
      <c r="AN304" s="72">
        <v>50</v>
      </c>
      <c r="AO304" s="72">
        <v>50</v>
      </c>
      <c r="AP304" s="72">
        <v>50</v>
      </c>
      <c r="AQ304" s="72">
        <v>50</v>
      </c>
      <c r="AR304" s="72">
        <v>50</v>
      </c>
      <c r="AS304" s="72">
        <v>50</v>
      </c>
      <c r="AT304" s="72">
        <v>50</v>
      </c>
      <c r="AU304" s="72">
        <v>50</v>
      </c>
      <c r="AV304" s="72">
        <v>0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</row>
    <row r="305" spans="1:116" x14ac:dyDescent="0.35">
      <c r="A305" s="7"/>
      <c r="B305" s="8" t="s">
        <v>554</v>
      </c>
      <c r="C305" s="9"/>
      <c r="D305" s="10" t="s">
        <v>549</v>
      </c>
      <c r="E305" s="8" t="s">
        <v>1215</v>
      </c>
      <c r="F305" s="10">
        <v>1104</v>
      </c>
      <c r="G305" s="10" t="s">
        <v>40</v>
      </c>
      <c r="H305" s="10" t="s">
        <v>41</v>
      </c>
      <c r="I305" s="11">
        <v>1</v>
      </c>
      <c r="J305" s="10"/>
      <c r="K305" s="10"/>
      <c r="L305" s="8"/>
      <c r="M305" s="12"/>
      <c r="N305" s="12">
        <f t="shared" si="6"/>
        <v>0</v>
      </c>
      <c r="O305" s="11">
        <v>1</v>
      </c>
      <c r="P305" s="11">
        <v>1</v>
      </c>
      <c r="Q305" s="11">
        <v>1</v>
      </c>
      <c r="R305" s="11">
        <v>1</v>
      </c>
      <c r="S305" s="11">
        <v>1</v>
      </c>
      <c r="T305" s="11">
        <v>1</v>
      </c>
      <c r="U305" s="11">
        <v>1</v>
      </c>
      <c r="V305" s="11">
        <v>1</v>
      </c>
      <c r="W305" s="11">
        <v>1</v>
      </c>
      <c r="X305" s="11">
        <v>1</v>
      </c>
      <c r="Y305" s="11">
        <v>1</v>
      </c>
      <c r="Z305" s="11">
        <v>1</v>
      </c>
      <c r="AA305" s="11">
        <v>1</v>
      </c>
      <c r="AB305" s="11">
        <v>1</v>
      </c>
      <c r="AC305" s="11">
        <v>1</v>
      </c>
      <c r="AD305" s="11">
        <v>1</v>
      </c>
      <c r="AE305" s="11">
        <v>1</v>
      </c>
      <c r="AF305" s="11">
        <v>1</v>
      </c>
      <c r="AG305" s="11">
        <v>1</v>
      </c>
      <c r="AH305" s="11">
        <v>1</v>
      </c>
      <c r="AI305" s="11">
        <v>1</v>
      </c>
      <c r="AJ305" s="11">
        <v>1</v>
      </c>
      <c r="AK305" s="11">
        <v>1</v>
      </c>
      <c r="AL305" s="11">
        <v>1</v>
      </c>
      <c r="AM305" s="11">
        <v>1</v>
      </c>
      <c r="AN305" s="72">
        <v>1</v>
      </c>
      <c r="AO305" s="72">
        <v>1</v>
      </c>
      <c r="AP305" s="72">
        <v>1</v>
      </c>
      <c r="AQ305" s="72">
        <v>1</v>
      </c>
      <c r="AR305" s="72">
        <v>1</v>
      </c>
      <c r="AS305" s="72">
        <v>1</v>
      </c>
      <c r="AT305" s="72">
        <v>1</v>
      </c>
      <c r="AU305" s="72">
        <v>1</v>
      </c>
      <c r="AV305" s="72">
        <v>1</v>
      </c>
      <c r="AW305" s="72">
        <v>1</v>
      </c>
      <c r="AX305" s="72">
        <v>1</v>
      </c>
      <c r="AY305" s="72">
        <v>1</v>
      </c>
      <c r="AZ305" s="72">
        <v>1</v>
      </c>
      <c r="BA305" s="72">
        <v>1</v>
      </c>
      <c r="BB305" s="72">
        <v>1</v>
      </c>
      <c r="BC305" s="72">
        <v>1</v>
      </c>
      <c r="BD305" s="72">
        <v>1</v>
      </c>
      <c r="BE305" s="72">
        <v>1</v>
      </c>
      <c r="BF305" s="72">
        <v>1</v>
      </c>
      <c r="BG305" s="72">
        <v>1</v>
      </c>
      <c r="BH305" s="72">
        <v>1</v>
      </c>
      <c r="BI305" s="72">
        <v>1</v>
      </c>
      <c r="BJ305" s="72">
        <v>1</v>
      </c>
      <c r="BK305" s="72">
        <v>1</v>
      </c>
      <c r="BL305" s="72">
        <v>1</v>
      </c>
      <c r="BM305" s="72">
        <v>1</v>
      </c>
      <c r="BN305" s="72">
        <v>1</v>
      </c>
      <c r="BO305" s="72">
        <v>1</v>
      </c>
      <c r="BP305" s="72">
        <v>1</v>
      </c>
      <c r="BQ305" s="72">
        <v>1</v>
      </c>
      <c r="BR305" s="72">
        <v>1</v>
      </c>
      <c r="BS305" s="72">
        <v>1</v>
      </c>
      <c r="BT305" s="72">
        <v>1</v>
      </c>
      <c r="BU305" s="72">
        <v>1</v>
      </c>
      <c r="BV305" s="72">
        <v>1</v>
      </c>
      <c r="BW305" s="72">
        <v>1</v>
      </c>
      <c r="BX305" s="72">
        <v>1</v>
      </c>
      <c r="BY305" s="72">
        <v>1</v>
      </c>
      <c r="BZ305" s="72">
        <v>1</v>
      </c>
      <c r="CA305" s="72">
        <v>1</v>
      </c>
      <c r="CB305" s="72">
        <v>1</v>
      </c>
      <c r="CC305" s="72">
        <v>1</v>
      </c>
      <c r="CD305" s="72">
        <v>1</v>
      </c>
      <c r="CE305" s="72">
        <v>1</v>
      </c>
      <c r="CF305" s="72">
        <v>1</v>
      </c>
      <c r="CG305" s="72">
        <v>1</v>
      </c>
      <c r="CH305" s="72">
        <v>1</v>
      </c>
      <c r="CI305" s="72">
        <v>1</v>
      </c>
      <c r="CJ305" s="72">
        <v>1</v>
      </c>
      <c r="CK305" s="72">
        <v>1</v>
      </c>
      <c r="CL305" s="72">
        <v>1</v>
      </c>
      <c r="CM305" s="72">
        <v>1</v>
      </c>
      <c r="CN305" s="72">
        <v>1</v>
      </c>
      <c r="CO305" s="72">
        <v>1</v>
      </c>
      <c r="CP305" s="72">
        <v>1</v>
      </c>
      <c r="CQ305" s="72">
        <v>1</v>
      </c>
      <c r="CR305" s="72">
        <v>1</v>
      </c>
      <c r="CS305" s="72">
        <v>1</v>
      </c>
      <c r="CT305" s="72">
        <v>1</v>
      </c>
      <c r="CU305" s="72">
        <v>1</v>
      </c>
      <c r="CV305" s="72">
        <v>1</v>
      </c>
      <c r="CW305" s="72">
        <v>1</v>
      </c>
      <c r="CX305" s="72">
        <v>1</v>
      </c>
      <c r="CY305" s="72">
        <v>1</v>
      </c>
      <c r="CZ305" s="72">
        <v>1</v>
      </c>
      <c r="DA305" s="72">
        <v>1</v>
      </c>
      <c r="DB305" s="72">
        <v>1</v>
      </c>
      <c r="DC305" s="72">
        <v>1</v>
      </c>
      <c r="DD305" s="72">
        <v>1</v>
      </c>
      <c r="DE305" s="72">
        <v>1</v>
      </c>
      <c r="DF305" s="72">
        <v>1</v>
      </c>
      <c r="DG305" s="72">
        <v>1</v>
      </c>
      <c r="DH305" s="72">
        <v>1</v>
      </c>
      <c r="DI305" s="72">
        <v>1</v>
      </c>
      <c r="DJ305" s="72">
        <v>1</v>
      </c>
      <c r="DK305" s="72">
        <v>1</v>
      </c>
      <c r="DL305" s="72">
        <v>1</v>
      </c>
    </row>
    <row r="306" spans="1:116" x14ac:dyDescent="0.35">
      <c r="A306" s="7"/>
      <c r="B306" s="77" t="s">
        <v>1538</v>
      </c>
      <c r="C306" s="9" t="s">
        <v>1545</v>
      </c>
      <c r="D306" s="10" t="s">
        <v>1076</v>
      </c>
      <c r="E306" s="8" t="s">
        <v>1226</v>
      </c>
      <c r="F306" s="10"/>
      <c r="G306" s="10"/>
      <c r="H306" s="10"/>
      <c r="I306" s="11"/>
      <c r="J306" s="10"/>
      <c r="K306" s="10"/>
      <c r="L306" s="8"/>
      <c r="M306" s="12">
        <v>0.64319999999999999</v>
      </c>
      <c r="N306" s="12">
        <f t="shared" si="6"/>
        <v>38.591999999999999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/>
      <c r="CW306" s="72"/>
      <c r="CX306" s="72"/>
      <c r="CY306" s="72"/>
      <c r="CZ306" s="72"/>
      <c r="DA306" s="72"/>
      <c r="DB306" s="72"/>
      <c r="DC306" s="72"/>
      <c r="DD306" s="72"/>
      <c r="DE306" s="72"/>
      <c r="DF306" s="72"/>
      <c r="DG306" s="72"/>
      <c r="DH306" s="72">
        <v>60</v>
      </c>
      <c r="DI306" s="72">
        <v>60</v>
      </c>
      <c r="DJ306" s="72">
        <v>60</v>
      </c>
      <c r="DK306" s="72">
        <v>60</v>
      </c>
      <c r="DL306" s="72">
        <v>60</v>
      </c>
    </row>
    <row r="307" spans="1:116" x14ac:dyDescent="0.35">
      <c r="A307" s="7"/>
      <c r="B307" s="8" t="s">
        <v>1230</v>
      </c>
      <c r="C307" s="9" t="s">
        <v>555</v>
      </c>
      <c r="D307" s="10" t="s">
        <v>549</v>
      </c>
      <c r="E307" s="8" t="s">
        <v>1215</v>
      </c>
      <c r="F307" s="10">
        <v>1002</v>
      </c>
      <c r="G307" s="10" t="s">
        <v>503</v>
      </c>
      <c r="H307" s="10" t="s">
        <v>41</v>
      </c>
      <c r="I307" s="11">
        <v>1</v>
      </c>
      <c r="J307" s="10"/>
      <c r="K307" s="10" t="s">
        <v>556</v>
      </c>
      <c r="L307" s="8"/>
      <c r="M307" s="12"/>
      <c r="N307" s="12">
        <f t="shared" si="6"/>
        <v>0</v>
      </c>
      <c r="O307" s="11">
        <v>4</v>
      </c>
      <c r="P307" s="11">
        <v>4</v>
      </c>
      <c r="Q307" s="11">
        <v>4</v>
      </c>
      <c r="R307" s="11">
        <v>4</v>
      </c>
      <c r="S307" s="11">
        <v>4</v>
      </c>
      <c r="T307" s="11">
        <v>4</v>
      </c>
      <c r="U307" s="11">
        <v>1</v>
      </c>
      <c r="V307" s="11">
        <v>1</v>
      </c>
      <c r="W307" s="11">
        <v>1</v>
      </c>
      <c r="X307" s="11">
        <v>1</v>
      </c>
      <c r="Y307" s="11">
        <v>1</v>
      </c>
      <c r="Z307" s="11">
        <v>1</v>
      </c>
      <c r="AA307" s="11">
        <v>1</v>
      </c>
      <c r="AB307" s="11">
        <v>1</v>
      </c>
      <c r="AC307" s="11">
        <v>1</v>
      </c>
      <c r="AD307" s="11">
        <v>1</v>
      </c>
      <c r="AE307" s="11">
        <v>1</v>
      </c>
      <c r="AF307" s="11">
        <v>1</v>
      </c>
      <c r="AG307" s="11">
        <v>1</v>
      </c>
      <c r="AH307" s="11">
        <v>1</v>
      </c>
      <c r="AI307" s="11">
        <v>1</v>
      </c>
      <c r="AJ307" s="11">
        <v>1</v>
      </c>
      <c r="AK307" s="11">
        <v>1</v>
      </c>
      <c r="AL307" s="11">
        <v>1</v>
      </c>
      <c r="AM307" s="11">
        <v>1</v>
      </c>
      <c r="AN307" s="72">
        <v>1</v>
      </c>
      <c r="AO307" s="72">
        <v>1</v>
      </c>
      <c r="AP307" s="72">
        <v>1</v>
      </c>
      <c r="AQ307" s="72">
        <v>1</v>
      </c>
      <c r="AR307" s="72">
        <v>1</v>
      </c>
      <c r="AS307" s="72">
        <v>1</v>
      </c>
      <c r="AT307" s="72">
        <v>1</v>
      </c>
      <c r="AU307" s="72">
        <v>1</v>
      </c>
      <c r="AV307" s="72">
        <v>1</v>
      </c>
      <c r="AW307" s="72">
        <v>1</v>
      </c>
      <c r="AX307" s="72">
        <v>1</v>
      </c>
      <c r="AY307" s="72">
        <v>1</v>
      </c>
      <c r="AZ307" s="72">
        <v>1</v>
      </c>
      <c r="BA307" s="72">
        <v>1</v>
      </c>
      <c r="BB307" s="72">
        <v>1</v>
      </c>
      <c r="BC307" s="72">
        <v>1</v>
      </c>
      <c r="BD307" s="72">
        <v>1</v>
      </c>
      <c r="BE307" s="72">
        <v>1</v>
      </c>
      <c r="BF307" s="72">
        <v>1</v>
      </c>
      <c r="BG307" s="72">
        <v>1</v>
      </c>
      <c r="BH307" s="72">
        <v>1</v>
      </c>
      <c r="BI307" s="72">
        <v>1</v>
      </c>
      <c r="BJ307" s="72">
        <v>1</v>
      </c>
      <c r="BK307" s="72">
        <v>1</v>
      </c>
      <c r="BL307" s="72">
        <v>1</v>
      </c>
      <c r="BM307" s="72">
        <v>1</v>
      </c>
      <c r="BN307" s="72">
        <v>1</v>
      </c>
      <c r="BO307" s="72">
        <v>1</v>
      </c>
      <c r="BP307" s="72">
        <v>1</v>
      </c>
      <c r="BQ307" s="72">
        <v>1</v>
      </c>
      <c r="BR307" s="72">
        <v>1</v>
      </c>
      <c r="BS307" s="72">
        <v>1</v>
      </c>
      <c r="BT307" s="72">
        <v>1</v>
      </c>
      <c r="BU307" s="72">
        <v>1</v>
      </c>
      <c r="BV307" s="72">
        <v>1</v>
      </c>
      <c r="BW307" s="72">
        <v>1</v>
      </c>
      <c r="BX307" s="72">
        <v>1</v>
      </c>
      <c r="BY307" s="72">
        <v>1</v>
      </c>
      <c r="BZ307" s="72">
        <v>1</v>
      </c>
      <c r="CA307" s="72">
        <v>1</v>
      </c>
      <c r="CB307" s="72">
        <v>1</v>
      </c>
      <c r="CC307" s="72">
        <v>1</v>
      </c>
      <c r="CD307" s="72">
        <v>1</v>
      </c>
      <c r="CE307" s="72">
        <v>1</v>
      </c>
      <c r="CF307" s="72">
        <v>1</v>
      </c>
      <c r="CG307" s="72">
        <v>1</v>
      </c>
      <c r="CH307" s="72">
        <v>1</v>
      </c>
      <c r="CI307" s="72">
        <v>1</v>
      </c>
      <c r="CJ307" s="72">
        <v>1</v>
      </c>
      <c r="CK307" s="72">
        <v>1</v>
      </c>
      <c r="CL307" s="72">
        <v>1</v>
      </c>
      <c r="CM307" s="72">
        <v>1</v>
      </c>
      <c r="CN307" s="72">
        <v>1</v>
      </c>
      <c r="CO307" s="72">
        <v>1</v>
      </c>
      <c r="CP307" s="72">
        <v>1</v>
      </c>
      <c r="CQ307" s="72">
        <v>1</v>
      </c>
      <c r="CR307" s="72">
        <v>1</v>
      </c>
      <c r="CS307" s="72">
        <v>1</v>
      </c>
      <c r="CT307" s="72">
        <v>1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</row>
    <row r="308" spans="1:116" x14ac:dyDescent="0.35">
      <c r="A308" s="7"/>
      <c r="B308" s="8" t="s">
        <v>1230</v>
      </c>
      <c r="C308" s="9" t="s">
        <v>557</v>
      </c>
      <c r="D308" s="10" t="s">
        <v>549</v>
      </c>
      <c r="E308" s="8" t="s">
        <v>1215</v>
      </c>
      <c r="F308" s="10">
        <v>1006</v>
      </c>
      <c r="G308" s="10" t="s">
        <v>503</v>
      </c>
      <c r="H308" s="10" t="s">
        <v>41</v>
      </c>
      <c r="I308" s="11">
        <v>3</v>
      </c>
      <c r="J308" s="10"/>
      <c r="K308" s="10" t="s">
        <v>556</v>
      </c>
      <c r="L308" s="8"/>
      <c r="M308" s="12"/>
      <c r="N308" s="12">
        <f t="shared" si="6"/>
        <v>0</v>
      </c>
      <c r="O308" s="11">
        <v>14</v>
      </c>
      <c r="P308" s="11">
        <v>14</v>
      </c>
      <c r="Q308" s="11">
        <v>14</v>
      </c>
      <c r="R308" s="11">
        <v>14</v>
      </c>
      <c r="S308" s="11">
        <v>10</v>
      </c>
      <c r="T308" s="11">
        <v>10</v>
      </c>
      <c r="U308" s="11">
        <v>6</v>
      </c>
      <c r="V308" s="11">
        <v>6</v>
      </c>
      <c r="W308" s="11">
        <v>6</v>
      </c>
      <c r="X308" s="11">
        <v>6</v>
      </c>
      <c r="Y308" s="11">
        <v>6</v>
      </c>
      <c r="Z308" s="11">
        <v>6</v>
      </c>
      <c r="AA308" s="11">
        <v>6</v>
      </c>
      <c r="AB308" s="11">
        <v>6</v>
      </c>
      <c r="AC308" s="11">
        <v>6</v>
      </c>
      <c r="AD308" s="11">
        <v>6</v>
      </c>
      <c r="AE308" s="11">
        <v>3</v>
      </c>
      <c r="AF308" s="11">
        <v>3</v>
      </c>
      <c r="AG308" s="11">
        <v>3</v>
      </c>
      <c r="AH308" s="11">
        <v>3</v>
      </c>
      <c r="AI308" s="11">
        <v>3</v>
      </c>
      <c r="AJ308" s="11">
        <v>3</v>
      </c>
      <c r="AK308" s="11">
        <v>3</v>
      </c>
      <c r="AL308" s="11">
        <v>3</v>
      </c>
      <c r="AM308" s="11">
        <v>3</v>
      </c>
      <c r="AN308" s="72">
        <v>3</v>
      </c>
      <c r="AO308" s="72">
        <v>3</v>
      </c>
      <c r="AP308" s="72">
        <v>3</v>
      </c>
      <c r="AQ308" s="72">
        <v>3</v>
      </c>
      <c r="AR308" s="72">
        <v>3</v>
      </c>
      <c r="AS308" s="72">
        <v>3</v>
      </c>
      <c r="AT308" s="72">
        <v>3</v>
      </c>
      <c r="AU308" s="72">
        <v>3</v>
      </c>
      <c r="AV308" s="72">
        <v>3</v>
      </c>
      <c r="AW308" s="72">
        <v>3</v>
      </c>
      <c r="AX308" s="72">
        <v>3</v>
      </c>
      <c r="AY308" s="72">
        <v>3</v>
      </c>
      <c r="AZ308" s="72">
        <v>3</v>
      </c>
      <c r="BA308" s="72">
        <v>3</v>
      </c>
      <c r="BB308" s="72">
        <v>3</v>
      </c>
      <c r="BC308" s="72">
        <v>3</v>
      </c>
      <c r="BD308" s="72">
        <v>3</v>
      </c>
      <c r="BE308" s="72">
        <v>3</v>
      </c>
      <c r="BF308" s="72">
        <v>3</v>
      </c>
      <c r="BG308" s="72">
        <v>3</v>
      </c>
      <c r="BH308" s="72">
        <v>3</v>
      </c>
      <c r="BI308" s="72">
        <v>3</v>
      </c>
      <c r="BJ308" s="72">
        <v>3</v>
      </c>
      <c r="BK308" s="72">
        <v>3</v>
      </c>
      <c r="BL308" s="72">
        <v>3</v>
      </c>
      <c r="BM308" s="72">
        <v>3</v>
      </c>
      <c r="BN308" s="72">
        <v>3</v>
      </c>
      <c r="BO308" s="72">
        <v>3</v>
      </c>
      <c r="BP308" s="72">
        <v>3</v>
      </c>
      <c r="BQ308" s="72">
        <v>3</v>
      </c>
      <c r="BR308" s="72">
        <v>3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3</v>
      </c>
      <c r="CA308" s="72">
        <v>3</v>
      </c>
      <c r="CB308" s="72">
        <v>3</v>
      </c>
      <c r="CC308" s="72">
        <v>3</v>
      </c>
      <c r="CD308" s="72">
        <v>3</v>
      </c>
      <c r="CE308" s="72">
        <v>3</v>
      </c>
      <c r="CF308" s="72">
        <v>3</v>
      </c>
      <c r="CG308" s="72">
        <v>3</v>
      </c>
      <c r="CH308" s="72">
        <v>3</v>
      </c>
      <c r="CI308" s="72">
        <v>3</v>
      </c>
      <c r="CJ308" s="72">
        <v>3</v>
      </c>
      <c r="CK308" s="72">
        <v>3</v>
      </c>
      <c r="CL308" s="72">
        <v>3</v>
      </c>
      <c r="CM308" s="72">
        <v>3</v>
      </c>
      <c r="CN308" s="72">
        <v>3</v>
      </c>
      <c r="CO308" s="72">
        <v>3</v>
      </c>
      <c r="CP308" s="72">
        <v>3</v>
      </c>
      <c r="CQ308" s="72">
        <v>3</v>
      </c>
      <c r="CR308" s="72">
        <v>3</v>
      </c>
      <c r="CS308" s="72">
        <v>3</v>
      </c>
      <c r="CT308" s="72">
        <v>3</v>
      </c>
      <c r="CU308" s="72">
        <v>3</v>
      </c>
      <c r="CV308" s="72">
        <v>3</v>
      </c>
      <c r="CW308" s="72">
        <v>3</v>
      </c>
      <c r="CX308" s="72">
        <v>3</v>
      </c>
      <c r="CY308" s="72">
        <v>3</v>
      </c>
      <c r="CZ308" s="72">
        <v>3</v>
      </c>
      <c r="DA308" s="72">
        <v>3</v>
      </c>
      <c r="DB308" s="72">
        <v>3</v>
      </c>
      <c r="DC308" s="72">
        <v>3</v>
      </c>
      <c r="DD308" s="72">
        <v>3</v>
      </c>
      <c r="DE308" s="72">
        <v>3</v>
      </c>
      <c r="DF308" s="72">
        <v>3</v>
      </c>
      <c r="DG308" s="72">
        <v>3</v>
      </c>
      <c r="DH308" s="72">
        <v>3</v>
      </c>
      <c r="DI308" s="72">
        <v>3</v>
      </c>
      <c r="DJ308" s="72">
        <v>3</v>
      </c>
      <c r="DK308" s="72">
        <v>3</v>
      </c>
      <c r="DL308" s="72">
        <v>3</v>
      </c>
    </row>
    <row r="309" spans="1:116" x14ac:dyDescent="0.35">
      <c r="A309" s="7"/>
      <c r="B309" s="92" t="s">
        <v>1323</v>
      </c>
      <c r="C309" s="9" t="s">
        <v>558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61</v>
      </c>
      <c r="J309" s="10"/>
      <c r="K309" s="10" t="s">
        <v>556</v>
      </c>
      <c r="L309" s="8"/>
      <c r="M309" s="12"/>
      <c r="N309" s="12">
        <f t="shared" si="6"/>
        <v>0</v>
      </c>
      <c r="O309" s="11">
        <v>61</v>
      </c>
      <c r="P309" s="11">
        <v>61</v>
      </c>
      <c r="Q309" s="11">
        <v>61</v>
      </c>
      <c r="R309" s="11">
        <v>61</v>
      </c>
      <c r="S309" s="11">
        <v>61</v>
      </c>
      <c r="T309" s="11">
        <v>61</v>
      </c>
      <c r="U309" s="11">
        <v>61</v>
      </c>
      <c r="V309" s="11">
        <v>61</v>
      </c>
      <c r="W309" s="11">
        <v>61</v>
      </c>
      <c r="X309" s="11">
        <v>61</v>
      </c>
      <c r="Y309" s="11">
        <v>61</v>
      </c>
      <c r="Z309" s="11">
        <v>61</v>
      </c>
      <c r="AA309" s="11">
        <v>61</v>
      </c>
      <c r="AB309" s="11">
        <v>61</v>
      </c>
      <c r="AC309" s="11">
        <v>61</v>
      </c>
      <c r="AD309" s="11">
        <v>61</v>
      </c>
      <c r="AE309" s="11">
        <v>61</v>
      </c>
      <c r="AF309" s="11">
        <v>61</v>
      </c>
      <c r="AG309" s="11">
        <v>61</v>
      </c>
      <c r="AH309" s="11">
        <v>61</v>
      </c>
      <c r="AI309" s="11">
        <v>61</v>
      </c>
      <c r="AJ309" s="11">
        <v>61</v>
      </c>
      <c r="AK309" s="11">
        <v>61</v>
      </c>
      <c r="AL309" s="11">
        <v>61</v>
      </c>
      <c r="AM309" s="11">
        <v>61</v>
      </c>
      <c r="AN309" s="72">
        <v>61</v>
      </c>
      <c r="AO309" s="72">
        <v>61</v>
      </c>
      <c r="AP309" s="72">
        <v>61</v>
      </c>
      <c r="AQ309" s="72">
        <v>61</v>
      </c>
      <c r="AR309" s="72">
        <v>61</v>
      </c>
      <c r="AS309" s="72">
        <v>61</v>
      </c>
      <c r="AT309" s="72">
        <v>61</v>
      </c>
      <c r="AU309" s="72">
        <v>61</v>
      </c>
      <c r="AV309" s="72">
        <v>61</v>
      </c>
      <c r="AW309" s="72">
        <v>61</v>
      </c>
      <c r="AX309" s="72">
        <v>61</v>
      </c>
      <c r="AY309" s="72">
        <v>61</v>
      </c>
      <c r="AZ309" s="72">
        <v>61</v>
      </c>
      <c r="BA309" s="72">
        <v>61</v>
      </c>
      <c r="BB309" s="72">
        <v>61</v>
      </c>
      <c r="BC309" s="72">
        <v>61</v>
      </c>
      <c r="BD309" s="72">
        <v>61</v>
      </c>
      <c r="BE309" s="72">
        <v>61</v>
      </c>
      <c r="BF309" s="72">
        <v>61</v>
      </c>
      <c r="BG309" s="72">
        <v>61</v>
      </c>
      <c r="BH309" s="72">
        <v>61</v>
      </c>
      <c r="BI309" s="72">
        <v>61</v>
      </c>
      <c r="BJ309" s="72">
        <v>61</v>
      </c>
      <c r="BK309" s="72">
        <v>61</v>
      </c>
      <c r="BL309" s="72">
        <v>61</v>
      </c>
      <c r="BM309" s="72">
        <v>61</v>
      </c>
      <c r="BN309" s="72">
        <v>61</v>
      </c>
      <c r="BO309" s="72">
        <v>61</v>
      </c>
      <c r="BP309" s="72">
        <v>61</v>
      </c>
      <c r="BQ309" s="72">
        <v>61</v>
      </c>
      <c r="BR309" s="72">
        <v>61</v>
      </c>
      <c r="BS309" s="72">
        <v>61</v>
      </c>
      <c r="BT309" s="72">
        <v>61</v>
      </c>
      <c r="BU309" s="72">
        <v>61</v>
      </c>
      <c r="BV309" s="72">
        <v>61</v>
      </c>
      <c r="BW309" s="72">
        <v>61</v>
      </c>
      <c r="BX309" s="72">
        <v>61</v>
      </c>
      <c r="BY309" s="72">
        <v>61</v>
      </c>
      <c r="BZ309" s="72">
        <v>61</v>
      </c>
      <c r="CA309" s="72">
        <v>61</v>
      </c>
      <c r="CB309" s="72">
        <v>61</v>
      </c>
      <c r="CC309" s="72">
        <v>61</v>
      </c>
      <c r="CD309" s="72">
        <v>61</v>
      </c>
      <c r="CE309" s="72">
        <v>61</v>
      </c>
      <c r="CF309" s="72">
        <v>61</v>
      </c>
      <c r="CG309" s="72">
        <v>61</v>
      </c>
      <c r="CH309" s="72">
        <v>61</v>
      </c>
      <c r="CI309" s="72">
        <v>61</v>
      </c>
      <c r="CJ309" s="72">
        <v>61</v>
      </c>
      <c r="CK309" s="72">
        <v>61</v>
      </c>
      <c r="CL309" s="72">
        <v>61</v>
      </c>
      <c r="CM309" s="72">
        <v>61</v>
      </c>
      <c r="CN309" s="72">
        <v>61</v>
      </c>
      <c r="CO309" s="72">
        <v>61</v>
      </c>
      <c r="CP309" s="72">
        <v>61</v>
      </c>
      <c r="CQ309" s="72">
        <v>61</v>
      </c>
      <c r="CR309" s="72">
        <v>61</v>
      </c>
      <c r="CS309" s="72">
        <v>61</v>
      </c>
      <c r="CT309" s="72">
        <v>61</v>
      </c>
      <c r="CU309" s="72">
        <v>61</v>
      </c>
      <c r="CV309" s="72">
        <v>61</v>
      </c>
      <c r="CW309" s="72">
        <v>61</v>
      </c>
      <c r="CX309" s="72">
        <v>61</v>
      </c>
      <c r="CY309" s="72">
        <v>61</v>
      </c>
      <c r="CZ309" s="72">
        <v>61</v>
      </c>
      <c r="DA309" s="72">
        <v>61</v>
      </c>
      <c r="DB309" s="72">
        <v>61</v>
      </c>
      <c r="DC309" s="72">
        <v>61</v>
      </c>
      <c r="DD309" s="72">
        <v>61</v>
      </c>
      <c r="DE309" s="72">
        <v>61</v>
      </c>
      <c r="DF309" s="72">
        <v>61</v>
      </c>
      <c r="DG309" s="72">
        <v>61</v>
      </c>
      <c r="DH309" s="72">
        <v>61</v>
      </c>
      <c r="DI309" s="72">
        <v>61</v>
      </c>
      <c r="DJ309" s="72">
        <v>61</v>
      </c>
      <c r="DK309" s="72">
        <v>61</v>
      </c>
      <c r="DL309" s="72">
        <v>61</v>
      </c>
    </row>
    <row r="310" spans="1:116" x14ac:dyDescent="0.35">
      <c r="A310" s="7"/>
      <c r="B310" s="92" t="s">
        <v>1324</v>
      </c>
      <c r="C310" s="9" t="s">
        <v>559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53</v>
      </c>
      <c r="J310" s="10"/>
      <c r="K310" s="10" t="s">
        <v>556</v>
      </c>
      <c r="L310" s="8"/>
      <c r="M310" s="12"/>
      <c r="N310" s="12">
        <f t="shared" si="6"/>
        <v>0</v>
      </c>
      <c r="O310" s="11">
        <v>53</v>
      </c>
      <c r="P310" s="11">
        <v>53</v>
      </c>
      <c r="Q310" s="11">
        <v>53</v>
      </c>
      <c r="R310" s="11">
        <v>53</v>
      </c>
      <c r="S310" s="11">
        <v>53</v>
      </c>
      <c r="T310" s="11">
        <v>53</v>
      </c>
      <c r="U310" s="11">
        <v>53</v>
      </c>
      <c r="V310" s="11">
        <v>53</v>
      </c>
      <c r="W310" s="11">
        <v>53</v>
      </c>
      <c r="X310" s="11">
        <v>53</v>
      </c>
      <c r="Y310" s="11">
        <v>53</v>
      </c>
      <c r="Z310" s="11">
        <v>53</v>
      </c>
      <c r="AA310" s="11">
        <v>53</v>
      </c>
      <c r="AB310" s="11">
        <v>53</v>
      </c>
      <c r="AC310" s="11">
        <v>53</v>
      </c>
      <c r="AD310" s="11">
        <v>53</v>
      </c>
      <c r="AE310" s="11">
        <v>53</v>
      </c>
      <c r="AF310" s="11">
        <v>53</v>
      </c>
      <c r="AG310" s="11">
        <v>53</v>
      </c>
      <c r="AH310" s="11">
        <v>53</v>
      </c>
      <c r="AI310" s="11">
        <v>53</v>
      </c>
      <c r="AJ310" s="11">
        <v>53</v>
      </c>
      <c r="AK310" s="11">
        <v>53</v>
      </c>
      <c r="AL310" s="11">
        <v>53</v>
      </c>
      <c r="AM310" s="11">
        <v>53</v>
      </c>
      <c r="AN310" s="72">
        <v>53</v>
      </c>
      <c r="AO310" s="72">
        <v>53</v>
      </c>
      <c r="AP310" s="72">
        <v>53</v>
      </c>
      <c r="AQ310" s="72">
        <v>53</v>
      </c>
      <c r="AR310" s="72">
        <v>53</v>
      </c>
      <c r="AS310" s="72">
        <v>53</v>
      </c>
      <c r="AT310" s="72">
        <v>53</v>
      </c>
      <c r="AU310" s="72">
        <v>53</v>
      </c>
      <c r="AV310" s="72">
        <v>53</v>
      </c>
      <c r="AW310" s="72">
        <v>53</v>
      </c>
      <c r="AX310" s="72">
        <v>53</v>
      </c>
      <c r="AY310" s="72">
        <v>53</v>
      </c>
      <c r="AZ310" s="72">
        <v>53</v>
      </c>
      <c r="BA310" s="72">
        <v>53</v>
      </c>
      <c r="BB310" s="72">
        <v>53</v>
      </c>
      <c r="BC310" s="72">
        <v>53</v>
      </c>
      <c r="BD310" s="72">
        <v>53</v>
      </c>
      <c r="BE310" s="72">
        <v>53</v>
      </c>
      <c r="BF310" s="72">
        <v>53</v>
      </c>
      <c r="BG310" s="72">
        <v>53</v>
      </c>
      <c r="BH310" s="72">
        <v>53</v>
      </c>
      <c r="BI310" s="72">
        <v>53</v>
      </c>
      <c r="BJ310" s="72">
        <v>53</v>
      </c>
      <c r="BK310" s="72">
        <v>53</v>
      </c>
      <c r="BL310" s="72">
        <v>53</v>
      </c>
      <c r="BM310" s="72">
        <v>53</v>
      </c>
      <c r="BN310" s="72">
        <v>53</v>
      </c>
      <c r="BO310" s="72">
        <v>53</v>
      </c>
      <c r="BP310" s="72">
        <v>53</v>
      </c>
      <c r="BQ310" s="72">
        <v>53</v>
      </c>
      <c r="BR310" s="72">
        <v>53</v>
      </c>
      <c r="BS310" s="72">
        <v>53</v>
      </c>
      <c r="BT310" s="72">
        <v>53</v>
      </c>
      <c r="BU310" s="72">
        <v>53</v>
      </c>
      <c r="BV310" s="72">
        <v>53</v>
      </c>
      <c r="BW310" s="72">
        <v>53</v>
      </c>
      <c r="BX310" s="72">
        <v>53</v>
      </c>
      <c r="BY310" s="72">
        <v>53</v>
      </c>
      <c r="BZ310" s="72">
        <v>53</v>
      </c>
      <c r="CA310" s="72">
        <v>53</v>
      </c>
      <c r="CB310" s="72">
        <v>53</v>
      </c>
      <c r="CC310" s="72">
        <v>53</v>
      </c>
      <c r="CD310" s="72">
        <v>53</v>
      </c>
      <c r="CE310" s="72">
        <v>53</v>
      </c>
      <c r="CF310" s="72">
        <v>53</v>
      </c>
      <c r="CG310" s="72">
        <v>53</v>
      </c>
      <c r="CH310" s="72">
        <v>53</v>
      </c>
      <c r="CI310" s="72">
        <v>53</v>
      </c>
      <c r="CJ310" s="72">
        <v>53</v>
      </c>
      <c r="CK310" s="72">
        <v>53</v>
      </c>
      <c r="CL310" s="72">
        <v>53</v>
      </c>
      <c r="CM310" s="72">
        <v>53</v>
      </c>
      <c r="CN310" s="72">
        <v>53</v>
      </c>
      <c r="CO310" s="72">
        <v>53</v>
      </c>
      <c r="CP310" s="72">
        <v>53</v>
      </c>
      <c r="CQ310" s="72">
        <v>53</v>
      </c>
      <c r="CR310" s="72">
        <v>53</v>
      </c>
      <c r="CS310" s="72">
        <v>53</v>
      </c>
      <c r="CT310" s="72">
        <v>53</v>
      </c>
      <c r="CU310" s="72">
        <v>53</v>
      </c>
      <c r="CV310" s="72">
        <v>53</v>
      </c>
      <c r="CW310" s="72">
        <v>53</v>
      </c>
      <c r="CX310" s="72">
        <v>53</v>
      </c>
      <c r="CY310" s="72">
        <v>53</v>
      </c>
      <c r="CZ310" s="72">
        <v>53</v>
      </c>
      <c r="DA310" s="72">
        <v>53</v>
      </c>
      <c r="DB310" s="72">
        <v>53</v>
      </c>
      <c r="DC310" s="72">
        <v>53</v>
      </c>
      <c r="DD310" s="72">
        <v>53</v>
      </c>
      <c r="DE310" s="72">
        <v>53</v>
      </c>
      <c r="DF310" s="72">
        <v>53</v>
      </c>
      <c r="DG310" s="72">
        <v>53</v>
      </c>
      <c r="DH310" s="72">
        <v>53</v>
      </c>
      <c r="DI310" s="72">
        <v>53</v>
      </c>
      <c r="DJ310" s="72">
        <v>53</v>
      </c>
      <c r="DK310" s="72">
        <v>53</v>
      </c>
      <c r="DL310" s="72">
        <v>53</v>
      </c>
    </row>
    <row r="311" spans="1:116" x14ac:dyDescent="0.35">
      <c r="A311" s="7"/>
      <c r="B311" s="92" t="s">
        <v>1325</v>
      </c>
      <c r="C311" s="9" t="s">
        <v>560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28</v>
      </c>
      <c r="J311" s="10"/>
      <c r="K311" s="10" t="s">
        <v>556</v>
      </c>
      <c r="L311" s="8"/>
      <c r="M311" s="12"/>
      <c r="N311" s="12">
        <f t="shared" si="6"/>
        <v>0</v>
      </c>
      <c r="O311" s="11">
        <v>28</v>
      </c>
      <c r="P311" s="11">
        <v>28</v>
      </c>
      <c r="Q311" s="11">
        <v>28</v>
      </c>
      <c r="R311" s="11">
        <v>28</v>
      </c>
      <c r="S311" s="11">
        <v>28</v>
      </c>
      <c r="T311" s="11">
        <v>28</v>
      </c>
      <c r="U311" s="11">
        <v>28</v>
      </c>
      <c r="V311" s="11">
        <v>28</v>
      </c>
      <c r="W311" s="11">
        <v>28</v>
      </c>
      <c r="X311" s="11">
        <v>28</v>
      </c>
      <c r="Y311" s="11">
        <v>28</v>
      </c>
      <c r="Z311" s="11">
        <v>28</v>
      </c>
      <c r="AA311" s="11">
        <v>28</v>
      </c>
      <c r="AB311" s="11">
        <v>28</v>
      </c>
      <c r="AC311" s="11">
        <v>28</v>
      </c>
      <c r="AD311" s="11">
        <v>28</v>
      </c>
      <c r="AE311" s="11">
        <v>28</v>
      </c>
      <c r="AF311" s="11">
        <v>28</v>
      </c>
      <c r="AG311" s="11">
        <v>28</v>
      </c>
      <c r="AH311" s="11">
        <v>28</v>
      </c>
      <c r="AI311" s="11">
        <v>28</v>
      </c>
      <c r="AJ311" s="11">
        <v>28</v>
      </c>
      <c r="AK311" s="11">
        <v>28</v>
      </c>
      <c r="AL311" s="11">
        <v>28</v>
      </c>
      <c r="AM311" s="11">
        <v>28</v>
      </c>
      <c r="AN311" s="72">
        <v>28</v>
      </c>
      <c r="AO311" s="72">
        <v>28</v>
      </c>
      <c r="AP311" s="72">
        <v>28</v>
      </c>
      <c r="AQ311" s="72">
        <v>28</v>
      </c>
      <c r="AR311" s="72">
        <v>28</v>
      </c>
      <c r="AS311" s="72">
        <v>28</v>
      </c>
      <c r="AT311" s="72">
        <v>28</v>
      </c>
      <c r="AU311" s="72">
        <v>28</v>
      </c>
      <c r="AV311" s="72">
        <v>28</v>
      </c>
      <c r="AW311" s="72">
        <v>28</v>
      </c>
      <c r="AX311" s="72">
        <v>28</v>
      </c>
      <c r="AY311" s="72">
        <v>28</v>
      </c>
      <c r="AZ311" s="72">
        <v>28</v>
      </c>
      <c r="BA311" s="72">
        <v>28</v>
      </c>
      <c r="BB311" s="72">
        <v>28</v>
      </c>
      <c r="BC311" s="72">
        <v>28</v>
      </c>
      <c r="BD311" s="72">
        <v>28</v>
      </c>
      <c r="BE311" s="72">
        <v>28</v>
      </c>
      <c r="BF311" s="72">
        <v>28</v>
      </c>
      <c r="BG311" s="72">
        <v>28</v>
      </c>
      <c r="BH311" s="72">
        <v>28</v>
      </c>
      <c r="BI311" s="72">
        <v>28</v>
      </c>
      <c r="BJ311" s="72">
        <v>28</v>
      </c>
      <c r="BK311" s="72">
        <v>28</v>
      </c>
      <c r="BL311" s="72">
        <v>28</v>
      </c>
      <c r="BM311" s="72">
        <v>28</v>
      </c>
      <c r="BN311" s="72">
        <v>28</v>
      </c>
      <c r="BO311" s="72">
        <v>28</v>
      </c>
      <c r="BP311" s="72">
        <v>28</v>
      </c>
      <c r="BQ311" s="72">
        <v>28</v>
      </c>
      <c r="BR311" s="72">
        <v>28</v>
      </c>
      <c r="BS311" s="72">
        <v>28</v>
      </c>
      <c r="BT311" s="72">
        <v>28</v>
      </c>
      <c r="BU311" s="72">
        <v>28</v>
      </c>
      <c r="BV311" s="72">
        <v>28</v>
      </c>
      <c r="BW311" s="72">
        <v>28</v>
      </c>
      <c r="BX311" s="72">
        <v>28</v>
      </c>
      <c r="BY311" s="72">
        <v>28</v>
      </c>
      <c r="BZ311" s="72">
        <v>28</v>
      </c>
      <c r="CA311" s="72">
        <v>28</v>
      </c>
      <c r="CB311" s="72">
        <v>28</v>
      </c>
      <c r="CC311" s="72">
        <v>28</v>
      </c>
      <c r="CD311" s="72">
        <v>28</v>
      </c>
      <c r="CE311" s="72">
        <v>28</v>
      </c>
      <c r="CF311" s="72">
        <v>28</v>
      </c>
      <c r="CG311" s="72">
        <v>28</v>
      </c>
      <c r="CH311" s="72">
        <v>28</v>
      </c>
      <c r="CI311" s="72">
        <v>28</v>
      </c>
      <c r="CJ311" s="72">
        <v>28</v>
      </c>
      <c r="CK311" s="72">
        <v>28</v>
      </c>
      <c r="CL311" s="72">
        <v>28</v>
      </c>
      <c r="CM311" s="72">
        <v>28</v>
      </c>
      <c r="CN311" s="72">
        <v>28</v>
      </c>
      <c r="CO311" s="72">
        <v>28</v>
      </c>
      <c r="CP311" s="72">
        <v>28</v>
      </c>
      <c r="CQ311" s="72">
        <v>28</v>
      </c>
      <c r="CR311" s="72">
        <v>28</v>
      </c>
      <c r="CS311" s="72">
        <v>28</v>
      </c>
      <c r="CT311" s="72">
        <v>28</v>
      </c>
      <c r="CU311" s="72">
        <v>28</v>
      </c>
      <c r="CV311" s="72">
        <v>28</v>
      </c>
      <c r="CW311" s="72">
        <v>28</v>
      </c>
      <c r="CX311" s="72">
        <v>28</v>
      </c>
      <c r="CY311" s="72">
        <v>28</v>
      </c>
      <c r="CZ311" s="72">
        <v>28</v>
      </c>
      <c r="DA311" s="72">
        <v>28</v>
      </c>
      <c r="DB311" s="72">
        <v>28</v>
      </c>
      <c r="DC311" s="72">
        <v>28</v>
      </c>
      <c r="DD311" s="72">
        <v>28</v>
      </c>
      <c r="DE311" s="72">
        <v>28</v>
      </c>
      <c r="DF311" s="72">
        <v>28</v>
      </c>
      <c r="DG311" s="72">
        <v>28</v>
      </c>
      <c r="DH311" s="72">
        <v>28</v>
      </c>
      <c r="DI311" s="72">
        <v>28</v>
      </c>
      <c r="DJ311" s="72">
        <v>28</v>
      </c>
      <c r="DK311" s="72">
        <v>28</v>
      </c>
      <c r="DL311" s="72">
        <v>28</v>
      </c>
    </row>
    <row r="312" spans="1:116" x14ac:dyDescent="0.35">
      <c r="A312" s="7"/>
      <c r="B312" s="92" t="s">
        <v>1326</v>
      </c>
      <c r="C312" s="9" t="s">
        <v>561</v>
      </c>
      <c r="D312" s="10" t="s">
        <v>549</v>
      </c>
      <c r="E312" s="8" t="s">
        <v>1209</v>
      </c>
      <c r="F312" s="10">
        <v>1101</v>
      </c>
      <c r="G312" s="10" t="s">
        <v>40</v>
      </c>
      <c r="H312" s="10" t="s">
        <v>41</v>
      </c>
      <c r="I312" s="11">
        <v>267</v>
      </c>
      <c r="J312" s="10"/>
      <c r="K312" s="10" t="s">
        <v>556</v>
      </c>
      <c r="L312" s="8"/>
      <c r="M312" s="12"/>
      <c r="N312" s="12">
        <f t="shared" si="6"/>
        <v>0</v>
      </c>
      <c r="O312" s="11">
        <v>267</v>
      </c>
      <c r="P312" s="11">
        <v>267</v>
      </c>
      <c r="Q312" s="11">
        <v>267</v>
      </c>
      <c r="R312" s="11">
        <v>267</v>
      </c>
      <c r="S312" s="11">
        <v>267</v>
      </c>
      <c r="T312" s="11">
        <v>267</v>
      </c>
      <c r="U312" s="11">
        <v>267</v>
      </c>
      <c r="V312" s="11">
        <v>267</v>
      </c>
      <c r="W312" s="11">
        <v>267</v>
      </c>
      <c r="X312" s="11">
        <v>267</v>
      </c>
      <c r="Y312" s="11">
        <v>267</v>
      </c>
      <c r="Z312" s="11">
        <v>267</v>
      </c>
      <c r="AA312" s="11">
        <v>267</v>
      </c>
      <c r="AB312" s="11">
        <v>267</v>
      </c>
      <c r="AC312" s="11">
        <v>267</v>
      </c>
      <c r="AD312" s="11">
        <v>267</v>
      </c>
      <c r="AE312" s="11">
        <v>267</v>
      </c>
      <c r="AF312" s="11">
        <v>267</v>
      </c>
      <c r="AG312" s="11">
        <v>267</v>
      </c>
      <c r="AH312" s="11">
        <v>267</v>
      </c>
      <c r="AI312" s="11">
        <v>267</v>
      </c>
      <c r="AJ312" s="11">
        <v>267</v>
      </c>
      <c r="AK312" s="11">
        <v>267</v>
      </c>
      <c r="AL312" s="11">
        <v>267</v>
      </c>
      <c r="AM312" s="11">
        <v>267</v>
      </c>
      <c r="AN312" s="72">
        <v>267</v>
      </c>
      <c r="AO312" s="72">
        <v>267</v>
      </c>
      <c r="AP312" s="72">
        <v>267</v>
      </c>
      <c r="AQ312" s="72">
        <v>267</v>
      </c>
      <c r="AR312" s="72">
        <v>267</v>
      </c>
      <c r="AS312" s="72">
        <v>267</v>
      </c>
      <c r="AT312" s="72">
        <v>267</v>
      </c>
      <c r="AU312" s="72">
        <v>267</v>
      </c>
      <c r="AV312" s="72">
        <v>267</v>
      </c>
      <c r="AW312" s="72">
        <v>267</v>
      </c>
      <c r="AX312" s="72">
        <v>267</v>
      </c>
      <c r="AY312" s="72">
        <v>267</v>
      </c>
      <c r="AZ312" s="72">
        <v>267</v>
      </c>
      <c r="BA312" s="72">
        <v>267</v>
      </c>
      <c r="BB312" s="72">
        <v>267</v>
      </c>
      <c r="BC312" s="72">
        <v>267</v>
      </c>
      <c r="BD312" s="72">
        <v>267</v>
      </c>
      <c r="BE312" s="72">
        <v>267</v>
      </c>
      <c r="BF312" s="72">
        <v>267</v>
      </c>
      <c r="BG312" s="72">
        <v>267</v>
      </c>
      <c r="BH312" s="72">
        <v>267</v>
      </c>
      <c r="BI312" s="72">
        <v>267</v>
      </c>
      <c r="BJ312" s="72">
        <v>267</v>
      </c>
      <c r="BK312" s="72">
        <v>267</v>
      </c>
      <c r="BL312" s="72">
        <v>267</v>
      </c>
      <c r="BM312" s="72">
        <v>267</v>
      </c>
      <c r="BN312" s="72">
        <v>267</v>
      </c>
      <c r="BO312" s="72">
        <v>267</v>
      </c>
      <c r="BP312" s="72">
        <v>267</v>
      </c>
      <c r="BQ312" s="72">
        <v>267</v>
      </c>
      <c r="BR312" s="72">
        <v>267</v>
      </c>
      <c r="BS312" s="72">
        <v>267</v>
      </c>
      <c r="BT312" s="72">
        <v>267</v>
      </c>
      <c r="BU312" s="72">
        <v>267</v>
      </c>
      <c r="BV312" s="72">
        <v>267</v>
      </c>
      <c r="BW312" s="72">
        <v>267</v>
      </c>
      <c r="BX312" s="72">
        <v>267</v>
      </c>
      <c r="BY312" s="72">
        <v>267</v>
      </c>
      <c r="BZ312" s="72">
        <v>267</v>
      </c>
      <c r="CA312" s="72">
        <v>267</v>
      </c>
      <c r="CB312" s="72">
        <v>267</v>
      </c>
      <c r="CC312" s="72">
        <v>267</v>
      </c>
      <c r="CD312" s="72">
        <v>267</v>
      </c>
      <c r="CE312" s="72">
        <v>267</v>
      </c>
      <c r="CF312" s="72">
        <v>267</v>
      </c>
      <c r="CG312" s="72">
        <v>267</v>
      </c>
      <c r="CH312" s="72">
        <v>267</v>
      </c>
      <c r="CI312" s="72">
        <v>267</v>
      </c>
      <c r="CJ312" s="72">
        <v>267</v>
      </c>
      <c r="CK312" s="72">
        <v>267</v>
      </c>
      <c r="CL312" s="72">
        <v>267</v>
      </c>
      <c r="CM312" s="72">
        <v>267</v>
      </c>
      <c r="CN312" s="72">
        <v>267</v>
      </c>
      <c r="CO312" s="72">
        <v>267</v>
      </c>
      <c r="CP312" s="72">
        <v>267</v>
      </c>
      <c r="CQ312" s="72">
        <v>267</v>
      </c>
      <c r="CR312" s="72">
        <v>267</v>
      </c>
      <c r="CS312" s="72">
        <v>267</v>
      </c>
      <c r="CT312" s="72">
        <v>267</v>
      </c>
      <c r="CU312" s="72">
        <v>267</v>
      </c>
      <c r="CV312" s="72">
        <v>267</v>
      </c>
      <c r="CW312" s="72">
        <v>267</v>
      </c>
      <c r="CX312" s="72">
        <v>267</v>
      </c>
      <c r="CY312" s="72">
        <v>267</v>
      </c>
      <c r="CZ312" s="72">
        <v>267</v>
      </c>
      <c r="DA312" s="72">
        <v>267</v>
      </c>
      <c r="DB312" s="72">
        <v>267</v>
      </c>
      <c r="DC312" s="72">
        <v>267</v>
      </c>
      <c r="DD312" s="72">
        <v>267</v>
      </c>
      <c r="DE312" s="72">
        <v>267</v>
      </c>
      <c r="DF312" s="72">
        <v>267</v>
      </c>
      <c r="DG312" s="72">
        <v>267</v>
      </c>
      <c r="DH312" s="72">
        <v>267</v>
      </c>
      <c r="DI312" s="72">
        <v>267</v>
      </c>
      <c r="DJ312" s="72">
        <v>267</v>
      </c>
      <c r="DK312" s="72">
        <v>267</v>
      </c>
      <c r="DL312" s="72">
        <v>267</v>
      </c>
    </row>
    <row r="313" spans="1:116" x14ac:dyDescent="0.35">
      <c r="A313" s="7"/>
      <c r="B313" s="92" t="s">
        <v>1327</v>
      </c>
      <c r="C313" s="8" t="s">
        <v>562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6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3</v>
      </c>
      <c r="BI313" s="72">
        <v>3</v>
      </c>
      <c r="BJ313" s="72">
        <v>3</v>
      </c>
      <c r="BK313" s="72">
        <v>3</v>
      </c>
      <c r="BL313" s="72">
        <v>3</v>
      </c>
      <c r="BM313" s="72">
        <v>3</v>
      </c>
      <c r="BN313" s="72">
        <v>3</v>
      </c>
      <c r="BO313" s="72">
        <v>3</v>
      </c>
      <c r="BP313" s="72">
        <v>3</v>
      </c>
      <c r="BQ313" s="72">
        <v>3</v>
      </c>
      <c r="BR313" s="72">
        <v>3</v>
      </c>
      <c r="BS313" s="72">
        <v>3</v>
      </c>
      <c r="BT313" s="72">
        <v>3</v>
      </c>
      <c r="BU313" s="72">
        <v>3</v>
      </c>
      <c r="BV313" s="72">
        <v>3</v>
      </c>
      <c r="BW313" s="72">
        <v>3</v>
      </c>
      <c r="BX313" s="72">
        <v>3</v>
      </c>
      <c r="BY313" s="72">
        <v>3</v>
      </c>
      <c r="BZ313" s="72">
        <v>3</v>
      </c>
      <c r="CA313" s="72">
        <v>3</v>
      </c>
      <c r="CB313" s="72">
        <v>3</v>
      </c>
      <c r="CC313" s="72">
        <v>3</v>
      </c>
      <c r="CD313" s="72">
        <v>3</v>
      </c>
      <c r="CE313" s="72">
        <v>3</v>
      </c>
      <c r="CF313" s="72">
        <v>3</v>
      </c>
      <c r="CG313" s="72">
        <v>3</v>
      </c>
      <c r="CH313" s="72">
        <v>3</v>
      </c>
      <c r="CI313" s="72">
        <v>3</v>
      </c>
      <c r="CJ313" s="72">
        <v>3</v>
      </c>
      <c r="CK313" s="72">
        <v>3</v>
      </c>
      <c r="CL313" s="72">
        <v>3</v>
      </c>
      <c r="CM313" s="72">
        <v>3</v>
      </c>
      <c r="CN313" s="72">
        <v>3</v>
      </c>
      <c r="CO313" s="72">
        <v>3</v>
      </c>
      <c r="CP313" s="72">
        <v>3</v>
      </c>
      <c r="CQ313" s="72">
        <v>3</v>
      </c>
      <c r="CR313" s="72">
        <v>3</v>
      </c>
      <c r="CS313" s="72">
        <v>3</v>
      </c>
      <c r="CT313" s="72">
        <v>3</v>
      </c>
      <c r="CU313" s="72">
        <v>3</v>
      </c>
      <c r="CV313" s="72">
        <v>3</v>
      </c>
      <c r="CW313" s="72">
        <v>3</v>
      </c>
      <c r="CX313" s="72">
        <v>3</v>
      </c>
      <c r="CY313" s="72">
        <v>3</v>
      </c>
      <c r="CZ313" s="72">
        <v>3</v>
      </c>
      <c r="DA313" s="72">
        <v>3</v>
      </c>
      <c r="DB313" s="72">
        <v>3</v>
      </c>
      <c r="DC313" s="72">
        <v>3</v>
      </c>
      <c r="DD313" s="72">
        <v>3</v>
      </c>
      <c r="DE313" s="72">
        <v>3</v>
      </c>
      <c r="DF313" s="72">
        <v>3</v>
      </c>
      <c r="DG313" s="72">
        <v>3</v>
      </c>
      <c r="DH313" s="72">
        <v>3</v>
      </c>
      <c r="DI313" s="72">
        <v>3</v>
      </c>
      <c r="DJ313" s="72">
        <v>3</v>
      </c>
      <c r="DK313" s="72">
        <v>3</v>
      </c>
      <c r="DL313" s="72">
        <v>3</v>
      </c>
    </row>
    <row r="314" spans="1:116" x14ac:dyDescent="0.35">
      <c r="A314" s="7"/>
      <c r="B314" s="92" t="s">
        <v>1328</v>
      </c>
      <c r="C314" s="8" t="s">
        <v>564</v>
      </c>
      <c r="D314" s="10" t="s">
        <v>549</v>
      </c>
      <c r="E314" s="8" t="s">
        <v>1219</v>
      </c>
      <c r="F314" s="10">
        <v>1102</v>
      </c>
      <c r="G314" s="10" t="s">
        <v>40</v>
      </c>
      <c r="H314" s="10" t="s">
        <v>41</v>
      </c>
      <c r="I314" s="11">
        <v>2</v>
      </c>
      <c r="J314" s="10"/>
      <c r="K314" s="10" t="s">
        <v>563</v>
      </c>
      <c r="L314" s="8"/>
      <c r="M314" s="12"/>
      <c r="N314" s="12">
        <f t="shared" si="6"/>
        <v>0</v>
      </c>
      <c r="O314" s="11">
        <v>2</v>
      </c>
      <c r="P314" s="11">
        <v>2</v>
      </c>
      <c r="Q314" s="11">
        <v>2</v>
      </c>
      <c r="R314" s="11">
        <v>2</v>
      </c>
      <c r="S314" s="11">
        <v>2</v>
      </c>
      <c r="T314" s="11">
        <v>2</v>
      </c>
      <c r="U314" s="11">
        <v>2</v>
      </c>
      <c r="V314" s="11">
        <v>2</v>
      </c>
      <c r="W314" s="11">
        <v>2</v>
      </c>
      <c r="X314" s="11">
        <v>2</v>
      </c>
      <c r="Y314" s="11">
        <v>2</v>
      </c>
      <c r="Z314" s="11">
        <v>2</v>
      </c>
      <c r="AA314" s="11">
        <v>2</v>
      </c>
      <c r="AB314" s="11">
        <v>2</v>
      </c>
      <c r="AC314" s="11">
        <v>2</v>
      </c>
      <c r="AD314" s="11">
        <v>2</v>
      </c>
      <c r="AE314" s="11">
        <v>2</v>
      </c>
      <c r="AF314" s="11">
        <v>2</v>
      </c>
      <c r="AG314" s="11">
        <v>2</v>
      </c>
      <c r="AH314" s="11">
        <v>2</v>
      </c>
      <c r="AI314" s="11">
        <v>2</v>
      </c>
      <c r="AJ314" s="11">
        <v>2</v>
      </c>
      <c r="AK314" s="11">
        <v>2</v>
      </c>
      <c r="AL314" s="11">
        <v>2</v>
      </c>
      <c r="AM314" s="11">
        <v>2</v>
      </c>
      <c r="AN314" s="72">
        <v>2</v>
      </c>
      <c r="AO314" s="72">
        <v>2</v>
      </c>
      <c r="AP314" s="72">
        <v>2</v>
      </c>
      <c r="AQ314" s="72">
        <v>2</v>
      </c>
      <c r="AR314" s="72">
        <v>2</v>
      </c>
      <c r="AS314" s="72">
        <v>2</v>
      </c>
      <c r="AT314" s="72">
        <v>2</v>
      </c>
      <c r="AU314" s="72">
        <v>2</v>
      </c>
      <c r="AV314" s="72">
        <v>2</v>
      </c>
      <c r="AW314" s="72">
        <v>2</v>
      </c>
      <c r="AX314" s="72">
        <v>2</v>
      </c>
      <c r="AY314" s="72">
        <v>2</v>
      </c>
      <c r="AZ314" s="72">
        <v>2</v>
      </c>
      <c r="BA314" s="72">
        <v>2</v>
      </c>
      <c r="BB314" s="72">
        <v>2</v>
      </c>
      <c r="BC314" s="72">
        <v>2</v>
      </c>
      <c r="BD314" s="72">
        <v>2</v>
      </c>
      <c r="BE314" s="72">
        <v>2</v>
      </c>
      <c r="BF314" s="72">
        <v>2</v>
      </c>
      <c r="BG314" s="72">
        <v>2</v>
      </c>
      <c r="BH314" s="72">
        <v>2</v>
      </c>
      <c r="BI314" s="72">
        <v>2</v>
      </c>
      <c r="BJ314" s="72">
        <v>2</v>
      </c>
      <c r="BK314" s="72">
        <v>2</v>
      </c>
      <c r="BL314" s="72">
        <v>2</v>
      </c>
      <c r="BM314" s="72">
        <v>2</v>
      </c>
      <c r="BN314" s="72">
        <v>2</v>
      </c>
      <c r="BO314" s="72">
        <v>2</v>
      </c>
      <c r="BP314" s="72">
        <v>2</v>
      </c>
      <c r="BQ314" s="72">
        <v>2</v>
      </c>
      <c r="BR314" s="72">
        <v>2</v>
      </c>
      <c r="BS314" s="72">
        <v>2</v>
      </c>
      <c r="BT314" s="72">
        <v>2</v>
      </c>
      <c r="BU314" s="72">
        <v>2</v>
      </c>
      <c r="BV314" s="72">
        <v>2</v>
      </c>
      <c r="BW314" s="72">
        <v>2</v>
      </c>
      <c r="BX314" s="72">
        <v>2</v>
      </c>
      <c r="BY314" s="72">
        <v>2</v>
      </c>
      <c r="BZ314" s="72">
        <v>2</v>
      </c>
      <c r="CA314" s="72">
        <v>2</v>
      </c>
      <c r="CB314" s="72">
        <v>2</v>
      </c>
      <c r="CC314" s="72">
        <v>2</v>
      </c>
      <c r="CD314" s="72">
        <v>2</v>
      </c>
      <c r="CE314" s="72">
        <v>2</v>
      </c>
      <c r="CF314" s="72">
        <v>2</v>
      </c>
      <c r="CG314" s="72">
        <v>2</v>
      </c>
      <c r="CH314" s="72">
        <v>2</v>
      </c>
      <c r="CI314" s="72">
        <v>2</v>
      </c>
      <c r="CJ314" s="72">
        <v>2</v>
      </c>
      <c r="CK314" s="72">
        <v>2</v>
      </c>
      <c r="CL314" s="72">
        <v>2</v>
      </c>
      <c r="CM314" s="72">
        <v>2</v>
      </c>
      <c r="CN314" s="72">
        <v>2</v>
      </c>
      <c r="CO314" s="72">
        <v>2</v>
      </c>
      <c r="CP314" s="72">
        <v>2</v>
      </c>
      <c r="CQ314" s="72">
        <v>2</v>
      </c>
      <c r="CR314" s="72">
        <v>2</v>
      </c>
      <c r="CS314" s="72">
        <v>2</v>
      </c>
      <c r="CT314" s="72">
        <v>2</v>
      </c>
      <c r="CU314" s="72">
        <v>2</v>
      </c>
      <c r="CV314" s="72">
        <v>2</v>
      </c>
      <c r="CW314" s="72">
        <v>2</v>
      </c>
      <c r="CX314" s="72">
        <v>2</v>
      </c>
      <c r="CY314" s="72">
        <v>2</v>
      </c>
      <c r="CZ314" s="72">
        <v>2</v>
      </c>
      <c r="DA314" s="72">
        <v>2</v>
      </c>
      <c r="DB314" s="72">
        <v>2</v>
      </c>
      <c r="DC314" s="72">
        <v>2</v>
      </c>
      <c r="DD314" s="72">
        <v>2</v>
      </c>
      <c r="DE314" s="72">
        <v>2</v>
      </c>
      <c r="DF314" s="72">
        <v>2</v>
      </c>
      <c r="DG314" s="72">
        <v>2</v>
      </c>
      <c r="DH314" s="72">
        <v>2</v>
      </c>
      <c r="DI314" s="72">
        <v>2</v>
      </c>
      <c r="DJ314" s="72">
        <v>2</v>
      </c>
      <c r="DK314" s="72">
        <v>2</v>
      </c>
      <c r="DL314" s="72">
        <v>2</v>
      </c>
    </row>
    <row r="315" spans="1:116" x14ac:dyDescent="0.35">
      <c r="A315" s="7"/>
      <c r="B315" s="92" t="s">
        <v>1329</v>
      </c>
      <c r="C315" s="8" t="s">
        <v>565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7</v>
      </c>
      <c r="J315" s="10"/>
      <c r="K315" s="10" t="s">
        <v>566</v>
      </c>
      <c r="L315" s="8"/>
      <c r="M315" s="12"/>
      <c r="N315" s="12">
        <f t="shared" si="6"/>
        <v>0</v>
      </c>
      <c r="O315" s="11">
        <v>7</v>
      </c>
      <c r="P315" s="11">
        <v>7</v>
      </c>
      <c r="Q315" s="11">
        <v>7</v>
      </c>
      <c r="R315" s="11">
        <v>7</v>
      </c>
      <c r="S315" s="11">
        <v>7</v>
      </c>
      <c r="T315" s="11">
        <v>7</v>
      </c>
      <c r="U315" s="11">
        <v>7</v>
      </c>
      <c r="V315" s="11">
        <v>7</v>
      </c>
      <c r="W315" s="11">
        <v>7</v>
      </c>
      <c r="X315" s="11">
        <v>7</v>
      </c>
      <c r="Y315" s="11">
        <v>7</v>
      </c>
      <c r="Z315" s="11">
        <v>7</v>
      </c>
      <c r="AA315" s="11">
        <v>7</v>
      </c>
      <c r="AB315" s="11">
        <v>7</v>
      </c>
      <c r="AC315" s="11">
        <v>7</v>
      </c>
      <c r="AD315" s="11">
        <v>7</v>
      </c>
      <c r="AE315" s="11">
        <v>7</v>
      </c>
      <c r="AF315" s="11">
        <v>7</v>
      </c>
      <c r="AG315" s="11">
        <v>7</v>
      </c>
      <c r="AH315" s="11">
        <v>7</v>
      </c>
      <c r="AI315" s="11">
        <v>7</v>
      </c>
      <c r="AJ315" s="11">
        <v>7</v>
      </c>
      <c r="AK315" s="11">
        <v>7</v>
      </c>
      <c r="AL315" s="11">
        <v>7</v>
      </c>
      <c r="AM315" s="11">
        <v>7</v>
      </c>
      <c r="AN315" s="72">
        <v>7</v>
      </c>
      <c r="AO315" s="72">
        <v>7</v>
      </c>
      <c r="AP315" s="72">
        <v>7</v>
      </c>
      <c r="AQ315" s="72">
        <v>7</v>
      </c>
      <c r="AR315" s="72">
        <v>7</v>
      </c>
      <c r="AS315" s="72">
        <v>7</v>
      </c>
      <c r="AT315" s="72">
        <v>7</v>
      </c>
      <c r="AU315" s="72">
        <v>7</v>
      </c>
      <c r="AV315" s="72">
        <v>7</v>
      </c>
      <c r="AW315" s="72">
        <v>7</v>
      </c>
      <c r="AX315" s="72">
        <v>7</v>
      </c>
      <c r="AY315" s="72">
        <v>7</v>
      </c>
      <c r="AZ315" s="72">
        <v>7</v>
      </c>
      <c r="BA315" s="72">
        <v>7</v>
      </c>
      <c r="BB315" s="72">
        <v>7</v>
      </c>
      <c r="BC315" s="72">
        <v>7</v>
      </c>
      <c r="BD315" s="72">
        <v>7</v>
      </c>
      <c r="BE315" s="72">
        <v>7</v>
      </c>
      <c r="BF315" s="72">
        <v>7</v>
      </c>
      <c r="BG315" s="72">
        <v>7</v>
      </c>
      <c r="BH315" s="72">
        <v>7</v>
      </c>
      <c r="BI315" s="72">
        <v>7</v>
      </c>
      <c r="BJ315" s="72">
        <v>7</v>
      </c>
      <c r="BK315" s="72">
        <v>7</v>
      </c>
      <c r="BL315" s="72">
        <v>7</v>
      </c>
      <c r="BM315" s="72">
        <v>7</v>
      </c>
      <c r="BN315" s="72">
        <v>7</v>
      </c>
      <c r="BO315" s="72">
        <v>7</v>
      </c>
      <c r="BP315" s="72">
        <v>7</v>
      </c>
      <c r="BQ315" s="72">
        <v>7</v>
      </c>
      <c r="BR315" s="72">
        <v>7</v>
      </c>
      <c r="BS315" s="72">
        <v>7</v>
      </c>
      <c r="BT315" s="72">
        <v>7</v>
      </c>
      <c r="BU315" s="72">
        <v>7</v>
      </c>
      <c r="BV315" s="72">
        <v>7</v>
      </c>
      <c r="BW315" s="72">
        <v>7</v>
      </c>
      <c r="BX315" s="72">
        <v>7</v>
      </c>
      <c r="BY315" s="72">
        <v>7</v>
      </c>
      <c r="BZ315" s="72">
        <v>7</v>
      </c>
      <c r="CA315" s="72">
        <v>7</v>
      </c>
      <c r="CB315" s="72">
        <v>7</v>
      </c>
      <c r="CC315" s="72">
        <v>7</v>
      </c>
      <c r="CD315" s="72">
        <v>7</v>
      </c>
      <c r="CE315" s="72">
        <v>7</v>
      </c>
      <c r="CF315" s="72">
        <v>7</v>
      </c>
      <c r="CG315" s="72">
        <v>7</v>
      </c>
      <c r="CH315" s="72">
        <v>7</v>
      </c>
      <c r="CI315" s="72">
        <v>7</v>
      </c>
      <c r="CJ315" s="72">
        <v>7</v>
      </c>
      <c r="CK315" s="72">
        <v>7</v>
      </c>
      <c r="CL315" s="72">
        <v>7</v>
      </c>
      <c r="CM315" s="72">
        <v>7</v>
      </c>
      <c r="CN315" s="72">
        <v>7</v>
      </c>
      <c r="CO315" s="72">
        <v>7</v>
      </c>
      <c r="CP315" s="72">
        <v>7</v>
      </c>
      <c r="CQ315" s="72">
        <v>7</v>
      </c>
      <c r="CR315" s="72">
        <v>7</v>
      </c>
      <c r="CS315" s="72">
        <v>7</v>
      </c>
      <c r="CT315" s="72">
        <v>7</v>
      </c>
      <c r="CU315" s="72">
        <v>7</v>
      </c>
      <c r="CV315" s="72">
        <v>7</v>
      </c>
      <c r="CW315" s="72">
        <v>7</v>
      </c>
      <c r="CX315" s="72">
        <v>7</v>
      </c>
      <c r="CY315" s="72">
        <v>7</v>
      </c>
      <c r="CZ315" s="72">
        <v>7</v>
      </c>
      <c r="DA315" s="72">
        <v>7</v>
      </c>
      <c r="DB315" s="72">
        <v>7</v>
      </c>
      <c r="DC315" s="72">
        <v>7</v>
      </c>
      <c r="DD315" s="72">
        <v>7</v>
      </c>
      <c r="DE315" s="72">
        <v>7</v>
      </c>
      <c r="DF315" s="72">
        <v>7</v>
      </c>
      <c r="DG315" s="72">
        <v>7</v>
      </c>
      <c r="DH315" s="72">
        <v>7</v>
      </c>
      <c r="DI315" s="72">
        <v>7</v>
      </c>
      <c r="DJ315" s="72">
        <v>7</v>
      </c>
      <c r="DK315" s="72">
        <v>7</v>
      </c>
      <c r="DL315" s="72">
        <v>7</v>
      </c>
    </row>
    <row r="316" spans="1:116" x14ac:dyDescent="0.35">
      <c r="A316" s="7"/>
      <c r="B316" s="92" t="s">
        <v>1330</v>
      </c>
      <c r="C316" s="8" t="s">
        <v>567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5</v>
      </c>
      <c r="J316" s="10"/>
      <c r="K316" s="10" t="s">
        <v>566</v>
      </c>
      <c r="L316" s="8"/>
      <c r="M316" s="12"/>
      <c r="N316" s="12">
        <f t="shared" si="6"/>
        <v>0</v>
      </c>
      <c r="O316" s="11">
        <v>5</v>
      </c>
      <c r="P316" s="11">
        <v>5</v>
      </c>
      <c r="Q316" s="11">
        <v>5</v>
      </c>
      <c r="R316" s="11">
        <v>5</v>
      </c>
      <c r="S316" s="11">
        <v>5</v>
      </c>
      <c r="T316" s="11">
        <v>5</v>
      </c>
      <c r="U316" s="11">
        <v>5</v>
      </c>
      <c r="V316" s="11">
        <v>5</v>
      </c>
      <c r="W316" s="11">
        <v>5</v>
      </c>
      <c r="X316" s="11">
        <v>5</v>
      </c>
      <c r="Y316" s="11">
        <v>5</v>
      </c>
      <c r="Z316" s="11">
        <v>5</v>
      </c>
      <c r="AA316" s="11">
        <v>5</v>
      </c>
      <c r="AB316" s="11">
        <v>5</v>
      </c>
      <c r="AC316" s="11">
        <v>5</v>
      </c>
      <c r="AD316" s="11">
        <v>5</v>
      </c>
      <c r="AE316" s="11">
        <v>5</v>
      </c>
      <c r="AF316" s="11">
        <v>5</v>
      </c>
      <c r="AG316" s="11">
        <v>5</v>
      </c>
      <c r="AH316" s="11">
        <v>5</v>
      </c>
      <c r="AI316" s="11">
        <v>5</v>
      </c>
      <c r="AJ316" s="11">
        <v>5</v>
      </c>
      <c r="AK316" s="11">
        <v>5</v>
      </c>
      <c r="AL316" s="11">
        <v>5</v>
      </c>
      <c r="AM316" s="11">
        <v>5</v>
      </c>
      <c r="AN316" s="72">
        <v>5</v>
      </c>
      <c r="AO316" s="72">
        <v>5</v>
      </c>
      <c r="AP316" s="72">
        <v>5</v>
      </c>
      <c r="AQ316" s="72">
        <v>5</v>
      </c>
      <c r="AR316" s="72">
        <v>5</v>
      </c>
      <c r="AS316" s="72">
        <v>5</v>
      </c>
      <c r="AT316" s="72">
        <v>5</v>
      </c>
      <c r="AU316" s="72">
        <v>5</v>
      </c>
      <c r="AV316" s="72">
        <v>5</v>
      </c>
      <c r="AW316" s="72">
        <v>5</v>
      </c>
      <c r="AX316" s="72">
        <v>5</v>
      </c>
      <c r="AY316" s="72">
        <v>5</v>
      </c>
      <c r="AZ316" s="72">
        <v>5</v>
      </c>
      <c r="BA316" s="72">
        <v>5</v>
      </c>
      <c r="BB316" s="72">
        <v>5</v>
      </c>
      <c r="BC316" s="72">
        <v>5</v>
      </c>
      <c r="BD316" s="72">
        <v>5</v>
      </c>
      <c r="BE316" s="72">
        <v>5</v>
      </c>
      <c r="BF316" s="72">
        <v>5</v>
      </c>
      <c r="BG316" s="72">
        <v>5</v>
      </c>
      <c r="BH316" s="72">
        <v>5</v>
      </c>
      <c r="BI316" s="72">
        <v>5</v>
      </c>
      <c r="BJ316" s="72">
        <v>5</v>
      </c>
      <c r="BK316" s="72">
        <v>5</v>
      </c>
      <c r="BL316" s="72">
        <v>5</v>
      </c>
      <c r="BM316" s="72">
        <v>5</v>
      </c>
      <c r="BN316" s="72">
        <v>5</v>
      </c>
      <c r="BO316" s="72">
        <v>5</v>
      </c>
      <c r="BP316" s="72">
        <v>5</v>
      </c>
      <c r="BQ316" s="72">
        <v>5</v>
      </c>
      <c r="BR316" s="72">
        <v>5</v>
      </c>
      <c r="BS316" s="72">
        <v>5</v>
      </c>
      <c r="BT316" s="72">
        <v>5</v>
      </c>
      <c r="BU316" s="72">
        <v>5</v>
      </c>
      <c r="BV316" s="72">
        <v>5</v>
      </c>
      <c r="BW316" s="72">
        <v>5</v>
      </c>
      <c r="BX316" s="72">
        <v>5</v>
      </c>
      <c r="BY316" s="72">
        <v>5</v>
      </c>
      <c r="BZ316" s="72">
        <v>5</v>
      </c>
      <c r="CA316" s="72">
        <v>5</v>
      </c>
      <c r="CB316" s="72">
        <v>5</v>
      </c>
      <c r="CC316" s="72">
        <v>5</v>
      </c>
      <c r="CD316" s="72">
        <v>5</v>
      </c>
      <c r="CE316" s="72">
        <v>5</v>
      </c>
      <c r="CF316" s="72">
        <v>5</v>
      </c>
      <c r="CG316" s="72">
        <v>5</v>
      </c>
      <c r="CH316" s="72">
        <v>5</v>
      </c>
      <c r="CI316" s="72">
        <v>5</v>
      </c>
      <c r="CJ316" s="72">
        <v>5</v>
      </c>
      <c r="CK316" s="72">
        <v>5</v>
      </c>
      <c r="CL316" s="72">
        <v>5</v>
      </c>
      <c r="CM316" s="72">
        <v>5</v>
      </c>
      <c r="CN316" s="72">
        <v>5</v>
      </c>
      <c r="CO316" s="72">
        <v>5</v>
      </c>
      <c r="CP316" s="72">
        <v>5</v>
      </c>
      <c r="CQ316" s="72">
        <v>5</v>
      </c>
      <c r="CR316" s="72">
        <v>5</v>
      </c>
      <c r="CS316" s="72">
        <v>5</v>
      </c>
      <c r="CT316" s="72">
        <v>5</v>
      </c>
      <c r="CU316" s="72">
        <v>5</v>
      </c>
      <c r="CV316" s="72">
        <v>5</v>
      </c>
      <c r="CW316" s="72">
        <v>5</v>
      </c>
      <c r="CX316" s="72">
        <v>5</v>
      </c>
      <c r="CY316" s="72">
        <v>5</v>
      </c>
      <c r="CZ316" s="72">
        <v>5</v>
      </c>
      <c r="DA316" s="72">
        <v>5</v>
      </c>
      <c r="DB316" s="72">
        <v>5</v>
      </c>
      <c r="DC316" s="72">
        <v>5</v>
      </c>
      <c r="DD316" s="72">
        <v>5</v>
      </c>
      <c r="DE316" s="72">
        <v>5</v>
      </c>
      <c r="DF316" s="72">
        <v>5</v>
      </c>
      <c r="DG316" s="72">
        <v>5</v>
      </c>
      <c r="DH316" s="72">
        <v>5</v>
      </c>
      <c r="DI316" s="72">
        <v>5</v>
      </c>
      <c r="DJ316" s="72">
        <v>5</v>
      </c>
      <c r="DK316" s="72">
        <v>5</v>
      </c>
      <c r="DL316" s="72">
        <v>5</v>
      </c>
    </row>
    <row r="317" spans="1:116" x14ac:dyDescent="0.35">
      <c r="A317" s="7"/>
      <c r="B317" s="92" t="s">
        <v>1331</v>
      </c>
      <c r="C317" s="8" t="s">
        <v>568</v>
      </c>
      <c r="D317" s="10" t="s">
        <v>549</v>
      </c>
      <c r="E317" s="8" t="s">
        <v>1208</v>
      </c>
      <c r="F317" s="10">
        <v>1102</v>
      </c>
      <c r="G317" s="10" t="s">
        <v>40</v>
      </c>
      <c r="H317" s="10" t="s">
        <v>41</v>
      </c>
      <c r="I317" s="11">
        <v>10</v>
      </c>
      <c r="J317" s="10"/>
      <c r="K317" s="10"/>
      <c r="L317" s="8"/>
      <c r="M317" s="12"/>
      <c r="N317" s="12">
        <f t="shared" si="6"/>
        <v>0</v>
      </c>
      <c r="O317" s="11">
        <v>10</v>
      </c>
      <c r="P317" s="11">
        <v>10</v>
      </c>
      <c r="Q317" s="11">
        <v>10</v>
      </c>
      <c r="R317" s="11">
        <v>10</v>
      </c>
      <c r="S317" s="11">
        <v>10</v>
      </c>
      <c r="T317" s="11">
        <v>10</v>
      </c>
      <c r="U317" s="11">
        <v>10</v>
      </c>
      <c r="V317" s="11">
        <v>10</v>
      </c>
      <c r="W317" s="11">
        <v>10</v>
      </c>
      <c r="X317" s="11">
        <v>10</v>
      </c>
      <c r="Y317" s="11">
        <v>10</v>
      </c>
      <c r="Z317" s="11">
        <v>10</v>
      </c>
      <c r="AA317" s="11">
        <v>10</v>
      </c>
      <c r="AB317" s="11">
        <v>10</v>
      </c>
      <c r="AC317" s="11">
        <v>10</v>
      </c>
      <c r="AD317" s="11">
        <v>10</v>
      </c>
      <c r="AE317" s="11">
        <v>10</v>
      </c>
      <c r="AF317" s="11">
        <v>10</v>
      </c>
      <c r="AG317" s="11">
        <v>10</v>
      </c>
      <c r="AH317" s="11">
        <v>10</v>
      </c>
      <c r="AI317" s="11">
        <v>10</v>
      </c>
      <c r="AJ317" s="11">
        <v>10</v>
      </c>
      <c r="AK317" s="11">
        <v>10</v>
      </c>
      <c r="AL317" s="11">
        <v>10</v>
      </c>
      <c r="AM317" s="11">
        <v>10</v>
      </c>
      <c r="AN317" s="72">
        <v>10</v>
      </c>
      <c r="AO317" s="72">
        <v>10</v>
      </c>
      <c r="AP317" s="72">
        <v>10</v>
      </c>
      <c r="AQ317" s="72">
        <v>10</v>
      </c>
      <c r="AR317" s="72">
        <v>10</v>
      </c>
      <c r="AS317" s="72">
        <v>10</v>
      </c>
      <c r="AT317" s="72">
        <v>10</v>
      </c>
      <c r="AU317" s="72">
        <v>10</v>
      </c>
      <c r="AV317" s="72">
        <v>10</v>
      </c>
      <c r="AW317" s="72">
        <v>10</v>
      </c>
      <c r="AX317" s="72">
        <v>10</v>
      </c>
      <c r="AY317" s="72">
        <v>10</v>
      </c>
      <c r="AZ317" s="72">
        <v>10</v>
      </c>
      <c r="BA317" s="72">
        <v>10</v>
      </c>
      <c r="BB317" s="72">
        <v>10</v>
      </c>
      <c r="BC317" s="72">
        <v>10</v>
      </c>
      <c r="BD317" s="72">
        <v>10</v>
      </c>
      <c r="BE317" s="72">
        <v>10</v>
      </c>
      <c r="BF317" s="72">
        <v>10</v>
      </c>
      <c r="BG317" s="72">
        <v>10</v>
      </c>
      <c r="BH317" s="72">
        <v>10</v>
      </c>
      <c r="BI317" s="72">
        <v>10</v>
      </c>
      <c r="BJ317" s="72">
        <v>10</v>
      </c>
      <c r="BK317" s="72">
        <v>10</v>
      </c>
      <c r="BL317" s="72">
        <v>10</v>
      </c>
      <c r="BM317" s="72">
        <v>10</v>
      </c>
      <c r="BN317" s="72">
        <v>10</v>
      </c>
      <c r="BO317" s="72">
        <v>10</v>
      </c>
      <c r="BP317" s="72">
        <v>10</v>
      </c>
      <c r="BQ317" s="72">
        <v>10</v>
      </c>
      <c r="BR317" s="72">
        <v>10</v>
      </c>
      <c r="BS317" s="72">
        <v>10</v>
      </c>
      <c r="BT317" s="72">
        <v>10</v>
      </c>
      <c r="BU317" s="72">
        <v>10</v>
      </c>
      <c r="BV317" s="72">
        <v>10</v>
      </c>
      <c r="BW317" s="72">
        <v>10</v>
      </c>
      <c r="BX317" s="72">
        <v>10</v>
      </c>
      <c r="BY317" s="72">
        <v>10</v>
      </c>
      <c r="BZ317" s="72">
        <v>10</v>
      </c>
      <c r="CA317" s="72">
        <v>10</v>
      </c>
      <c r="CB317" s="72">
        <v>10</v>
      </c>
      <c r="CC317" s="72">
        <v>10</v>
      </c>
      <c r="CD317" s="72">
        <v>10</v>
      </c>
      <c r="CE317" s="72">
        <v>10</v>
      </c>
      <c r="CF317" s="72">
        <v>10</v>
      </c>
      <c r="CG317" s="72">
        <v>10</v>
      </c>
      <c r="CH317" s="72">
        <v>10</v>
      </c>
      <c r="CI317" s="72">
        <v>10</v>
      </c>
      <c r="CJ317" s="72">
        <v>10</v>
      </c>
      <c r="CK317" s="72">
        <v>10</v>
      </c>
      <c r="CL317" s="72">
        <v>10</v>
      </c>
      <c r="CM317" s="72">
        <v>10</v>
      </c>
      <c r="CN317" s="72">
        <v>10</v>
      </c>
      <c r="CO317" s="72">
        <v>10</v>
      </c>
      <c r="CP317" s="72">
        <v>10</v>
      </c>
      <c r="CQ317" s="72">
        <v>10</v>
      </c>
      <c r="CR317" s="72">
        <v>10</v>
      </c>
      <c r="CS317" s="72">
        <v>10</v>
      </c>
      <c r="CT317" s="72">
        <v>10</v>
      </c>
      <c r="CU317" s="72">
        <v>10</v>
      </c>
      <c r="CV317" s="72">
        <v>10</v>
      </c>
      <c r="CW317" s="72">
        <v>10</v>
      </c>
      <c r="CX317" s="72">
        <v>10</v>
      </c>
      <c r="CY317" s="72">
        <v>10</v>
      </c>
      <c r="CZ317" s="72">
        <v>10</v>
      </c>
      <c r="DA317" s="72">
        <v>10</v>
      </c>
      <c r="DB317" s="72">
        <v>10</v>
      </c>
      <c r="DC317" s="72">
        <v>10</v>
      </c>
      <c r="DD317" s="72">
        <v>10</v>
      </c>
      <c r="DE317" s="72">
        <v>10</v>
      </c>
      <c r="DF317" s="72">
        <v>10</v>
      </c>
      <c r="DG317" s="72">
        <v>10</v>
      </c>
      <c r="DH317" s="72">
        <v>10</v>
      </c>
      <c r="DI317" s="72">
        <v>10</v>
      </c>
      <c r="DJ317" s="72">
        <v>10</v>
      </c>
      <c r="DK317" s="72">
        <v>10</v>
      </c>
      <c r="DL317" s="72">
        <v>10</v>
      </c>
    </row>
    <row r="318" spans="1:116" x14ac:dyDescent="0.35">
      <c r="A318" s="7"/>
      <c r="B318" s="92" t="s">
        <v>1332</v>
      </c>
      <c r="C318" s="9" t="s">
        <v>569</v>
      </c>
      <c r="D318" s="10" t="s">
        <v>549</v>
      </c>
      <c r="E318" s="8" t="s">
        <v>1215</v>
      </c>
      <c r="F318" s="10">
        <v>1104</v>
      </c>
      <c r="G318" s="10" t="s">
        <v>40</v>
      </c>
      <c r="H318" s="10" t="s">
        <v>41</v>
      </c>
      <c r="I318" s="11">
        <v>223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223</v>
      </c>
      <c r="P318" s="11">
        <v>223</v>
      </c>
      <c r="Q318" s="11">
        <v>223</v>
      </c>
      <c r="R318" s="11">
        <v>223</v>
      </c>
      <c r="S318" s="11">
        <v>223</v>
      </c>
      <c r="T318" s="11">
        <v>223</v>
      </c>
      <c r="U318" s="11">
        <v>223</v>
      </c>
      <c r="V318" s="11">
        <v>223</v>
      </c>
      <c r="W318" s="11">
        <v>223</v>
      </c>
      <c r="X318" s="11">
        <v>223</v>
      </c>
      <c r="Y318" s="11">
        <v>223</v>
      </c>
      <c r="Z318" s="11">
        <v>223</v>
      </c>
      <c r="AA318" s="11">
        <v>223</v>
      </c>
      <c r="AB318" s="11">
        <v>223</v>
      </c>
      <c r="AC318" s="11">
        <v>223</v>
      </c>
      <c r="AD318" s="11">
        <v>223</v>
      </c>
      <c r="AE318" s="11">
        <v>223</v>
      </c>
      <c r="AF318" s="11">
        <v>223</v>
      </c>
      <c r="AG318" s="11">
        <v>223</v>
      </c>
      <c r="AH318" s="11">
        <v>223</v>
      </c>
      <c r="AI318" s="11">
        <v>223</v>
      </c>
      <c r="AJ318" s="11">
        <v>223</v>
      </c>
      <c r="AK318" s="11">
        <v>223</v>
      </c>
      <c r="AL318" s="11">
        <v>223</v>
      </c>
      <c r="AM318" s="11">
        <v>223</v>
      </c>
      <c r="AN318" s="72">
        <v>223</v>
      </c>
      <c r="AO318" s="72">
        <v>223</v>
      </c>
      <c r="AP318" s="72">
        <v>223</v>
      </c>
      <c r="AQ318" s="72">
        <v>223</v>
      </c>
      <c r="AR318" s="72">
        <v>223</v>
      </c>
      <c r="AS318" s="72">
        <v>223</v>
      </c>
      <c r="AT318" s="72">
        <v>223</v>
      </c>
      <c r="AU318" s="72">
        <v>223</v>
      </c>
      <c r="AV318" s="72">
        <v>223</v>
      </c>
      <c r="AW318" s="72">
        <v>223</v>
      </c>
      <c r="AX318" s="72">
        <v>223</v>
      </c>
      <c r="AY318" s="72">
        <v>223</v>
      </c>
      <c r="AZ318" s="72">
        <v>223</v>
      </c>
      <c r="BA318" s="72">
        <v>223</v>
      </c>
      <c r="BB318" s="72">
        <v>223</v>
      </c>
      <c r="BC318" s="72">
        <v>223</v>
      </c>
      <c r="BD318" s="72">
        <v>223</v>
      </c>
      <c r="BE318" s="72">
        <v>223</v>
      </c>
      <c r="BF318" s="72">
        <v>223</v>
      </c>
      <c r="BG318" s="72">
        <v>223</v>
      </c>
      <c r="BH318" s="72">
        <v>223</v>
      </c>
      <c r="BI318" s="72">
        <v>223</v>
      </c>
      <c r="BJ318" s="72">
        <v>223</v>
      </c>
      <c r="BK318" s="72">
        <v>223</v>
      </c>
      <c r="BL318" s="72">
        <v>223</v>
      </c>
      <c r="BM318" s="72">
        <v>223</v>
      </c>
      <c r="BN318" s="72">
        <v>223</v>
      </c>
      <c r="BO318" s="72">
        <v>223</v>
      </c>
      <c r="BP318" s="72">
        <v>223</v>
      </c>
      <c r="BQ318" s="72">
        <v>223</v>
      </c>
      <c r="BR318" s="72">
        <v>223</v>
      </c>
      <c r="BS318" s="72">
        <v>223</v>
      </c>
      <c r="BT318" s="72">
        <v>223</v>
      </c>
      <c r="BU318" s="72">
        <v>223</v>
      </c>
      <c r="BV318" s="72">
        <v>223</v>
      </c>
      <c r="BW318" s="72">
        <v>223</v>
      </c>
      <c r="BX318" s="72">
        <v>223</v>
      </c>
      <c r="BY318" s="72">
        <v>223</v>
      </c>
      <c r="BZ318" s="72">
        <v>223</v>
      </c>
      <c r="CA318" s="72">
        <v>223</v>
      </c>
      <c r="CB318" s="72">
        <v>223</v>
      </c>
      <c r="CC318" s="72">
        <v>223</v>
      </c>
      <c r="CD318" s="72">
        <v>223</v>
      </c>
      <c r="CE318" s="72">
        <v>223</v>
      </c>
      <c r="CF318" s="72">
        <v>223</v>
      </c>
      <c r="CG318" s="72">
        <v>223</v>
      </c>
      <c r="CH318" s="72">
        <v>223</v>
      </c>
      <c r="CI318" s="72">
        <v>223</v>
      </c>
      <c r="CJ318" s="72">
        <v>223</v>
      </c>
      <c r="CK318" s="72">
        <v>223</v>
      </c>
      <c r="CL318" s="72">
        <v>223</v>
      </c>
      <c r="CM318" s="72">
        <v>223</v>
      </c>
      <c r="CN318" s="72">
        <v>223</v>
      </c>
      <c r="CO318" s="72">
        <v>223</v>
      </c>
      <c r="CP318" s="72">
        <v>223</v>
      </c>
      <c r="CQ318" s="72">
        <v>223</v>
      </c>
      <c r="CR318" s="72">
        <v>223</v>
      </c>
      <c r="CS318" s="72">
        <v>223</v>
      </c>
      <c r="CT318" s="72">
        <v>223</v>
      </c>
      <c r="CU318" s="72">
        <v>223</v>
      </c>
      <c r="CV318" s="72">
        <v>223</v>
      </c>
      <c r="CW318" s="72">
        <v>223</v>
      </c>
      <c r="CX318" s="72">
        <v>223</v>
      </c>
      <c r="CY318" s="72">
        <v>223</v>
      </c>
      <c r="CZ318" s="72">
        <v>223</v>
      </c>
      <c r="DA318" s="72">
        <v>223</v>
      </c>
      <c r="DB318" s="72">
        <v>223</v>
      </c>
      <c r="DC318" s="72">
        <v>223</v>
      </c>
      <c r="DD318" s="72">
        <v>223</v>
      </c>
      <c r="DE318" s="72">
        <v>223</v>
      </c>
      <c r="DF318" s="72">
        <v>223</v>
      </c>
      <c r="DG318" s="72">
        <v>223</v>
      </c>
      <c r="DH318" s="72">
        <v>223</v>
      </c>
      <c r="DI318" s="72">
        <v>223</v>
      </c>
      <c r="DJ318" s="72">
        <v>223</v>
      </c>
      <c r="DK318" s="72">
        <v>223</v>
      </c>
      <c r="DL318" s="72">
        <v>223</v>
      </c>
    </row>
    <row r="319" spans="1:116" x14ac:dyDescent="0.35">
      <c r="A319" s="7"/>
      <c r="B319" s="92" t="s">
        <v>1333</v>
      </c>
      <c r="C319" s="9" t="s">
        <v>570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7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7</v>
      </c>
      <c r="P319" s="11">
        <v>7</v>
      </c>
      <c r="Q319" s="11">
        <v>7</v>
      </c>
      <c r="R319" s="11">
        <v>7</v>
      </c>
      <c r="S319" s="11">
        <v>7</v>
      </c>
      <c r="T319" s="11">
        <v>7</v>
      </c>
      <c r="U319" s="11">
        <v>7</v>
      </c>
      <c r="V319" s="11">
        <v>7</v>
      </c>
      <c r="W319" s="11">
        <v>7</v>
      </c>
      <c r="X319" s="11">
        <v>7</v>
      </c>
      <c r="Y319" s="11">
        <v>7</v>
      </c>
      <c r="Z319" s="11">
        <v>7</v>
      </c>
      <c r="AA319" s="11">
        <v>7</v>
      </c>
      <c r="AB319" s="11">
        <v>7</v>
      </c>
      <c r="AC319" s="11">
        <v>7</v>
      </c>
      <c r="AD319" s="11">
        <v>7</v>
      </c>
      <c r="AE319" s="11">
        <v>7</v>
      </c>
      <c r="AF319" s="11">
        <v>7</v>
      </c>
      <c r="AG319" s="11">
        <v>7</v>
      </c>
      <c r="AH319" s="11">
        <v>7</v>
      </c>
      <c r="AI319" s="11">
        <v>7</v>
      </c>
      <c r="AJ319" s="11">
        <v>7</v>
      </c>
      <c r="AK319" s="11">
        <v>7</v>
      </c>
      <c r="AL319" s="11">
        <v>7</v>
      </c>
      <c r="AM319" s="11">
        <v>7</v>
      </c>
      <c r="AN319" s="72">
        <v>7</v>
      </c>
      <c r="AO319" s="72">
        <v>7</v>
      </c>
      <c r="AP319" s="72">
        <v>7</v>
      </c>
      <c r="AQ319" s="72">
        <v>7</v>
      </c>
      <c r="AR319" s="72">
        <v>7</v>
      </c>
      <c r="AS319" s="72">
        <v>7</v>
      </c>
      <c r="AT319" s="72">
        <v>7</v>
      </c>
      <c r="AU319" s="72">
        <v>7</v>
      </c>
      <c r="AV319" s="72">
        <v>7</v>
      </c>
      <c r="AW319" s="72">
        <v>7</v>
      </c>
      <c r="AX319" s="72">
        <v>7</v>
      </c>
      <c r="AY319" s="72">
        <v>7</v>
      </c>
      <c r="AZ319" s="72">
        <v>7</v>
      </c>
      <c r="BA319" s="72">
        <v>7</v>
      </c>
      <c r="BB319" s="72">
        <v>7</v>
      </c>
      <c r="BC319" s="72">
        <v>7</v>
      </c>
      <c r="BD319" s="72">
        <v>7</v>
      </c>
      <c r="BE319" s="72">
        <v>7</v>
      </c>
      <c r="BF319" s="72">
        <v>7</v>
      </c>
      <c r="BG319" s="72">
        <v>7</v>
      </c>
      <c r="BH319" s="72">
        <v>7</v>
      </c>
      <c r="BI319" s="72">
        <v>7</v>
      </c>
      <c r="BJ319" s="72">
        <v>7</v>
      </c>
      <c r="BK319" s="72">
        <v>7</v>
      </c>
      <c r="BL319" s="72">
        <v>7</v>
      </c>
      <c r="BM319" s="72">
        <v>7</v>
      </c>
      <c r="BN319" s="72">
        <v>7</v>
      </c>
      <c r="BO319" s="72">
        <v>7</v>
      </c>
      <c r="BP319" s="72">
        <v>7</v>
      </c>
      <c r="BQ319" s="72">
        <v>7</v>
      </c>
      <c r="BR319" s="72">
        <v>7</v>
      </c>
      <c r="BS319" s="72">
        <v>7</v>
      </c>
      <c r="BT319" s="72">
        <v>7</v>
      </c>
      <c r="BU319" s="72">
        <v>7</v>
      </c>
      <c r="BV319" s="72">
        <v>7</v>
      </c>
      <c r="BW319" s="72">
        <v>7</v>
      </c>
      <c r="BX319" s="72">
        <v>7</v>
      </c>
      <c r="BY319" s="72">
        <v>7</v>
      </c>
      <c r="BZ319" s="72">
        <v>7</v>
      </c>
      <c r="CA319" s="72">
        <v>7</v>
      </c>
      <c r="CB319" s="72">
        <v>7</v>
      </c>
      <c r="CC319" s="72">
        <v>7</v>
      </c>
      <c r="CD319" s="72">
        <v>7</v>
      </c>
      <c r="CE319" s="72">
        <v>7</v>
      </c>
      <c r="CF319" s="72">
        <v>7</v>
      </c>
      <c r="CG319" s="72">
        <v>7</v>
      </c>
      <c r="CH319" s="72">
        <v>7</v>
      </c>
      <c r="CI319" s="72">
        <v>7</v>
      </c>
      <c r="CJ319" s="72">
        <v>7</v>
      </c>
      <c r="CK319" s="72">
        <v>7</v>
      </c>
      <c r="CL319" s="72">
        <v>7</v>
      </c>
      <c r="CM319" s="72">
        <v>7</v>
      </c>
      <c r="CN319" s="72">
        <v>7</v>
      </c>
      <c r="CO319" s="72">
        <v>7</v>
      </c>
      <c r="CP319" s="72">
        <v>7</v>
      </c>
      <c r="CQ319" s="72">
        <v>7</v>
      </c>
      <c r="CR319" s="72">
        <v>7</v>
      </c>
      <c r="CS319" s="72">
        <v>7</v>
      </c>
      <c r="CT319" s="72">
        <v>7</v>
      </c>
      <c r="CU319" s="72">
        <v>7</v>
      </c>
      <c r="CV319" s="72">
        <v>7</v>
      </c>
      <c r="CW319" s="72">
        <v>7</v>
      </c>
      <c r="CX319" s="72">
        <v>7</v>
      </c>
      <c r="CY319" s="72">
        <v>7</v>
      </c>
      <c r="CZ319" s="72">
        <v>7</v>
      </c>
      <c r="DA319" s="72">
        <v>7</v>
      </c>
      <c r="DB319" s="72">
        <v>7</v>
      </c>
      <c r="DC319" s="72">
        <v>7</v>
      </c>
      <c r="DD319" s="72">
        <v>7</v>
      </c>
      <c r="DE319" s="72">
        <v>7</v>
      </c>
      <c r="DF319" s="72">
        <v>7</v>
      </c>
      <c r="DG319" s="72">
        <v>7</v>
      </c>
      <c r="DH319" s="72">
        <v>7</v>
      </c>
      <c r="DI319" s="72">
        <v>7</v>
      </c>
      <c r="DJ319" s="72">
        <v>7</v>
      </c>
      <c r="DK319" s="72">
        <v>7</v>
      </c>
      <c r="DL319" s="72">
        <v>7</v>
      </c>
    </row>
    <row r="320" spans="1:116" x14ac:dyDescent="0.35">
      <c r="A320" s="7"/>
      <c r="B320" s="92" t="s">
        <v>1334</v>
      </c>
      <c r="C320" s="9" t="s">
        <v>571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153</v>
      </c>
      <c r="L320" s="8"/>
      <c r="M320" s="12"/>
      <c r="N320" s="12">
        <f t="shared" si="6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  <c r="DJ320" s="72">
        <v>1</v>
      </c>
      <c r="DK320" s="72">
        <v>1</v>
      </c>
      <c r="DL320" s="72">
        <v>1</v>
      </c>
    </row>
    <row r="321" spans="1:116" x14ac:dyDescent="0.35">
      <c r="A321" s="7"/>
      <c r="B321" s="92" t="s">
        <v>1335</v>
      </c>
      <c r="C321" s="9" t="s">
        <v>572</v>
      </c>
      <c r="D321" s="10" t="s">
        <v>549</v>
      </c>
      <c r="E321" s="8" t="s">
        <v>1215</v>
      </c>
      <c r="F321" s="10">
        <v>1103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  <c r="DJ321" s="72">
        <v>1</v>
      </c>
      <c r="DK321" s="72">
        <v>1</v>
      </c>
      <c r="DL321" s="72">
        <v>1</v>
      </c>
    </row>
    <row r="322" spans="1:116" x14ac:dyDescent="0.35">
      <c r="A322" s="7"/>
      <c r="B322" s="92" t="s">
        <v>1336</v>
      </c>
      <c r="C322" s="8" t="s">
        <v>573</v>
      </c>
      <c r="D322" s="10" t="s">
        <v>549</v>
      </c>
      <c r="E322" s="8" t="s">
        <v>1208</v>
      </c>
      <c r="F322" s="10">
        <v>1102</v>
      </c>
      <c r="G322" s="10" t="s">
        <v>40</v>
      </c>
      <c r="H322" s="10" t="s">
        <v>41</v>
      </c>
      <c r="I322" s="11">
        <v>1</v>
      </c>
      <c r="J322" s="10"/>
      <c r="K322" s="10" t="s">
        <v>556</v>
      </c>
      <c r="L322" s="8"/>
      <c r="M322" s="12"/>
      <c r="N322" s="12">
        <f t="shared" si="6"/>
        <v>0</v>
      </c>
      <c r="O322" s="11">
        <v>1</v>
      </c>
      <c r="P322" s="11">
        <v>1</v>
      </c>
      <c r="Q322" s="11">
        <v>1</v>
      </c>
      <c r="R322" s="11">
        <v>1</v>
      </c>
      <c r="S322" s="11">
        <v>1</v>
      </c>
      <c r="T322" s="11">
        <v>1</v>
      </c>
      <c r="U322" s="11">
        <v>1</v>
      </c>
      <c r="V322" s="11">
        <v>1</v>
      </c>
      <c r="W322" s="11">
        <v>1</v>
      </c>
      <c r="X322" s="11">
        <v>1</v>
      </c>
      <c r="Y322" s="11">
        <v>1</v>
      </c>
      <c r="Z322" s="11">
        <v>1</v>
      </c>
      <c r="AA322" s="11">
        <v>1</v>
      </c>
      <c r="AB322" s="11">
        <v>1</v>
      </c>
      <c r="AC322" s="11">
        <v>1</v>
      </c>
      <c r="AD322" s="11">
        <v>1</v>
      </c>
      <c r="AE322" s="11">
        <v>1</v>
      </c>
      <c r="AF322" s="11">
        <v>1</v>
      </c>
      <c r="AG322" s="11">
        <v>1</v>
      </c>
      <c r="AH322" s="11">
        <v>1</v>
      </c>
      <c r="AI322" s="11">
        <v>1</v>
      </c>
      <c r="AJ322" s="11">
        <v>1</v>
      </c>
      <c r="AK322" s="11">
        <v>1</v>
      </c>
      <c r="AL322" s="11">
        <v>1</v>
      </c>
      <c r="AM322" s="11">
        <v>1</v>
      </c>
      <c r="AN322" s="72">
        <v>1</v>
      </c>
      <c r="AO322" s="72">
        <v>1</v>
      </c>
      <c r="AP322" s="72">
        <v>1</v>
      </c>
      <c r="AQ322" s="72">
        <v>1</v>
      </c>
      <c r="AR322" s="72">
        <v>1</v>
      </c>
      <c r="AS322" s="72">
        <v>1</v>
      </c>
      <c r="AT322" s="72">
        <v>1</v>
      </c>
      <c r="AU322" s="72">
        <v>1</v>
      </c>
      <c r="AV322" s="72">
        <v>1</v>
      </c>
      <c r="AW322" s="72">
        <v>1</v>
      </c>
      <c r="AX322" s="72">
        <v>1</v>
      </c>
      <c r="AY322" s="72">
        <v>1</v>
      </c>
      <c r="AZ322" s="72">
        <v>1</v>
      </c>
      <c r="BA322" s="72">
        <v>1</v>
      </c>
      <c r="BB322" s="72">
        <v>1</v>
      </c>
      <c r="BC322" s="72">
        <v>1</v>
      </c>
      <c r="BD322" s="72">
        <v>1</v>
      </c>
      <c r="BE322" s="72">
        <v>1</v>
      </c>
      <c r="BF322" s="72">
        <v>1</v>
      </c>
      <c r="BG322" s="72">
        <v>1</v>
      </c>
      <c r="BH322" s="72">
        <v>1</v>
      </c>
      <c r="BI322" s="72">
        <v>1</v>
      </c>
      <c r="BJ322" s="72">
        <v>1</v>
      </c>
      <c r="BK322" s="72">
        <v>1</v>
      </c>
      <c r="BL322" s="72">
        <v>1</v>
      </c>
      <c r="BM322" s="72">
        <v>1</v>
      </c>
      <c r="BN322" s="72">
        <v>1</v>
      </c>
      <c r="BO322" s="72">
        <v>1</v>
      </c>
      <c r="BP322" s="72">
        <v>1</v>
      </c>
      <c r="BQ322" s="72">
        <v>1</v>
      </c>
      <c r="BR322" s="72">
        <v>1</v>
      </c>
      <c r="BS322" s="72">
        <v>1</v>
      </c>
      <c r="BT322" s="72">
        <v>1</v>
      </c>
      <c r="BU322" s="72">
        <v>1</v>
      </c>
      <c r="BV322" s="72">
        <v>1</v>
      </c>
      <c r="BW322" s="72">
        <v>1</v>
      </c>
      <c r="BX322" s="72">
        <v>1</v>
      </c>
      <c r="BY322" s="72">
        <v>1</v>
      </c>
      <c r="BZ322" s="72">
        <v>1</v>
      </c>
      <c r="CA322" s="72">
        <v>1</v>
      </c>
      <c r="CB322" s="72">
        <v>1</v>
      </c>
      <c r="CC322" s="72">
        <v>1</v>
      </c>
      <c r="CD322" s="72">
        <v>1</v>
      </c>
      <c r="CE322" s="72">
        <v>1</v>
      </c>
      <c r="CF322" s="72">
        <v>1</v>
      </c>
      <c r="CG322" s="72">
        <v>1</v>
      </c>
      <c r="CH322" s="72">
        <v>1</v>
      </c>
      <c r="CI322" s="72">
        <v>1</v>
      </c>
      <c r="CJ322" s="72">
        <v>1</v>
      </c>
      <c r="CK322" s="72">
        <v>1</v>
      </c>
      <c r="CL322" s="72">
        <v>1</v>
      </c>
      <c r="CM322" s="72">
        <v>1</v>
      </c>
      <c r="CN322" s="72">
        <v>1</v>
      </c>
      <c r="CO322" s="72">
        <v>1</v>
      </c>
      <c r="CP322" s="72">
        <v>1</v>
      </c>
      <c r="CQ322" s="72">
        <v>1</v>
      </c>
      <c r="CR322" s="72">
        <v>1</v>
      </c>
      <c r="CS322" s="72">
        <v>1</v>
      </c>
      <c r="CT322" s="72">
        <v>1</v>
      </c>
      <c r="CU322" s="72">
        <v>1</v>
      </c>
      <c r="CV322" s="72">
        <v>1</v>
      </c>
      <c r="CW322" s="72">
        <v>1</v>
      </c>
      <c r="CX322" s="72">
        <v>1</v>
      </c>
      <c r="CY322" s="72">
        <v>1</v>
      </c>
      <c r="CZ322" s="72">
        <v>1</v>
      </c>
      <c r="DA322" s="72">
        <v>1</v>
      </c>
      <c r="DB322" s="72">
        <v>1</v>
      </c>
      <c r="DC322" s="72">
        <v>1</v>
      </c>
      <c r="DD322" s="72">
        <v>1</v>
      </c>
      <c r="DE322" s="72">
        <v>1</v>
      </c>
      <c r="DF322" s="72">
        <v>1</v>
      </c>
      <c r="DG322" s="72">
        <v>1</v>
      </c>
      <c r="DH322" s="72">
        <v>1</v>
      </c>
      <c r="DI322" s="72">
        <v>1</v>
      </c>
      <c r="DJ322" s="72">
        <v>1</v>
      </c>
      <c r="DK322" s="72">
        <v>1</v>
      </c>
      <c r="DL322" s="72">
        <v>1</v>
      </c>
    </row>
    <row r="323" spans="1:116" x14ac:dyDescent="0.35">
      <c r="A323" s="7"/>
      <c r="B323" s="8" t="s">
        <v>1230</v>
      </c>
      <c r="C323" s="8" t="s">
        <v>1165</v>
      </c>
      <c r="D323" s="10" t="s">
        <v>549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7">M323*DL323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10</v>
      </c>
      <c r="AL323" s="11">
        <v>0</v>
      </c>
      <c r="AM323" s="11">
        <v>0</v>
      </c>
      <c r="AN323" s="72">
        <v>0</v>
      </c>
      <c r="AO323" s="72">
        <v>0</v>
      </c>
      <c r="AP323" s="72">
        <v>0</v>
      </c>
      <c r="AQ323" s="72">
        <v>0</v>
      </c>
      <c r="AR323" s="72">
        <v>0</v>
      </c>
      <c r="AS323" s="72">
        <v>0</v>
      </c>
      <c r="AT323" s="72">
        <v>0</v>
      </c>
      <c r="AU323" s="72">
        <v>0</v>
      </c>
      <c r="AV323" s="72">
        <v>0</v>
      </c>
      <c r="AW323" s="72">
        <v>0</v>
      </c>
      <c r="AX323" s="72">
        <v>0</v>
      </c>
      <c r="AY323" s="72">
        <v>0</v>
      </c>
      <c r="AZ323" s="72">
        <v>0</v>
      </c>
      <c r="BA323" s="72">
        <v>0</v>
      </c>
      <c r="BB323" s="72">
        <v>0</v>
      </c>
      <c r="BC323" s="72">
        <v>0</v>
      </c>
      <c r="BD323" s="72">
        <v>0</v>
      </c>
      <c r="BE323" s="72">
        <v>0</v>
      </c>
      <c r="BF323" s="72">
        <v>0</v>
      </c>
      <c r="BG323" s="72">
        <v>0</v>
      </c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0</v>
      </c>
      <c r="DJ323" s="72">
        <v>0</v>
      </c>
      <c r="DK323" s="72">
        <v>0</v>
      </c>
      <c r="DL323" s="72">
        <v>0</v>
      </c>
    </row>
    <row r="324" spans="1:116" x14ac:dyDescent="0.35">
      <c r="A324" s="7"/>
      <c r="B324" s="8" t="s">
        <v>574</v>
      </c>
      <c r="C324" s="8" t="s">
        <v>575</v>
      </c>
      <c r="D324" s="10" t="s">
        <v>1166</v>
      </c>
      <c r="E324" s="8" t="s">
        <v>1215</v>
      </c>
      <c r="F324" s="10"/>
      <c r="G324" s="10" t="s">
        <v>40</v>
      </c>
      <c r="H324" s="10" t="s">
        <v>41</v>
      </c>
      <c r="I324" s="11"/>
      <c r="J324" s="10"/>
      <c r="K324" s="10"/>
      <c r="L324" s="8"/>
      <c r="M324" s="12"/>
      <c r="N324" s="12">
        <f t="shared" si="7"/>
        <v>0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>
        <v>7</v>
      </c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>
        <v>0</v>
      </c>
      <c r="BI324" s="72">
        <v>0</v>
      </c>
      <c r="BJ324" s="72">
        <v>0</v>
      </c>
      <c r="BK324" s="72">
        <v>0</v>
      </c>
      <c r="BL324" s="72">
        <v>0</v>
      </c>
      <c r="BM324" s="72">
        <v>0</v>
      </c>
      <c r="BN324" s="72">
        <v>0</v>
      </c>
      <c r="BO324" s="72">
        <v>0</v>
      </c>
      <c r="BP324" s="72">
        <v>0</v>
      </c>
      <c r="BQ324" s="72">
        <v>0</v>
      </c>
      <c r="BR324" s="72">
        <v>0</v>
      </c>
      <c r="BS324" s="72">
        <v>0</v>
      </c>
      <c r="BT324" s="72">
        <v>0</v>
      </c>
      <c r="BU324" s="72">
        <v>0</v>
      </c>
      <c r="BV324" s="72">
        <v>0</v>
      </c>
      <c r="BW324" s="72">
        <v>0</v>
      </c>
      <c r="BX324" s="72">
        <v>0</v>
      </c>
      <c r="BY324" s="72">
        <v>0</v>
      </c>
      <c r="BZ324" s="72">
        <v>0</v>
      </c>
      <c r="CA324" s="72">
        <v>0</v>
      </c>
      <c r="CB324" s="72">
        <v>0</v>
      </c>
      <c r="CC324" s="72">
        <v>0</v>
      </c>
      <c r="CD324" s="72">
        <v>0</v>
      </c>
      <c r="CE324" s="72">
        <v>0</v>
      </c>
      <c r="CF324" s="72">
        <v>0</v>
      </c>
      <c r="CG324" s="72">
        <v>0</v>
      </c>
      <c r="CH324" s="72">
        <v>0</v>
      </c>
      <c r="CI324" s="72">
        <v>0</v>
      </c>
      <c r="CJ324" s="72">
        <v>0</v>
      </c>
      <c r="CK324" s="72">
        <v>0</v>
      </c>
      <c r="CL324" s="72">
        <v>0</v>
      </c>
      <c r="CM324" s="72">
        <v>0</v>
      </c>
      <c r="CN324" s="72">
        <v>0</v>
      </c>
      <c r="CO324" s="72">
        <v>0</v>
      </c>
      <c r="CP324" s="72">
        <v>0</v>
      </c>
      <c r="CQ324" s="72">
        <v>0</v>
      </c>
      <c r="CR324" s="72">
        <v>0</v>
      </c>
      <c r="CS324" s="72">
        <v>0</v>
      </c>
      <c r="CT324" s="72">
        <v>0</v>
      </c>
      <c r="CU324" s="72">
        <v>0</v>
      </c>
      <c r="CV324" s="72">
        <v>0</v>
      </c>
      <c r="CW324" s="72">
        <v>0</v>
      </c>
      <c r="CX324" s="72">
        <v>0</v>
      </c>
      <c r="CY324" s="72">
        <v>0</v>
      </c>
      <c r="CZ324" s="72">
        <v>0</v>
      </c>
      <c r="DA324" s="72">
        <v>0</v>
      </c>
      <c r="DB324" s="72">
        <v>0</v>
      </c>
      <c r="DC324" s="72">
        <v>0</v>
      </c>
      <c r="DD324" s="72">
        <v>0</v>
      </c>
      <c r="DE324" s="72">
        <v>0</v>
      </c>
      <c r="DF324" s="72">
        <v>0</v>
      </c>
      <c r="DG324" s="72">
        <v>0</v>
      </c>
      <c r="DH324" s="72">
        <v>0</v>
      </c>
      <c r="DI324" s="72">
        <v>0</v>
      </c>
      <c r="DJ324" s="72">
        <v>0</v>
      </c>
      <c r="DK324" s="72">
        <v>0</v>
      </c>
      <c r="DL324" s="72">
        <v>0</v>
      </c>
    </row>
    <row r="325" spans="1:116" x14ac:dyDescent="0.35">
      <c r="A325" s="7"/>
      <c r="B325" s="77" t="s">
        <v>1539</v>
      </c>
      <c r="C325" s="8" t="s">
        <v>1546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457.52</v>
      </c>
      <c r="N325" s="12">
        <f t="shared" si="7"/>
        <v>44379.439999999995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97</v>
      </c>
      <c r="DI325" s="72">
        <v>97</v>
      </c>
      <c r="DJ325" s="72">
        <v>97</v>
      </c>
      <c r="DK325" s="72">
        <v>97</v>
      </c>
      <c r="DL325" s="72">
        <v>97</v>
      </c>
    </row>
    <row r="326" spans="1:116" x14ac:dyDescent="0.35">
      <c r="A326" s="7"/>
      <c r="B326" s="77" t="s">
        <v>1540</v>
      </c>
      <c r="C326" s="8" t="s">
        <v>1547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291.60000000000002</v>
      </c>
      <c r="N326" s="12">
        <f t="shared" si="7"/>
        <v>14288.400000000001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49</v>
      </c>
      <c r="DI326" s="72">
        <v>49</v>
      </c>
      <c r="DJ326" s="72">
        <v>49</v>
      </c>
      <c r="DK326" s="72">
        <v>49</v>
      </c>
      <c r="DL326" s="72">
        <v>49</v>
      </c>
    </row>
    <row r="327" spans="1:116" x14ac:dyDescent="0.35">
      <c r="A327" s="7"/>
      <c r="B327" s="77" t="s">
        <v>1541</v>
      </c>
      <c r="C327" s="8" t="s">
        <v>1548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102.06</v>
      </c>
      <c r="N327" s="12">
        <f t="shared" si="7"/>
        <v>28678.86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293</v>
      </c>
      <c r="DI327" s="72">
        <v>293</v>
      </c>
      <c r="DJ327" s="72">
        <v>293</v>
      </c>
      <c r="DK327" s="72">
        <v>281</v>
      </c>
      <c r="DL327" s="72">
        <v>281</v>
      </c>
    </row>
    <row r="328" spans="1:116" x14ac:dyDescent="0.35">
      <c r="A328" s="7"/>
      <c r="B328" s="77" t="s">
        <v>1542</v>
      </c>
      <c r="C328" s="8" t="s">
        <v>1549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109.06</v>
      </c>
      <c r="N328" s="12">
        <f t="shared" si="7"/>
        <v>20939.52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192</v>
      </c>
      <c r="DI328" s="72">
        <v>192</v>
      </c>
      <c r="DJ328" s="72">
        <v>192</v>
      </c>
      <c r="DK328" s="72">
        <v>192</v>
      </c>
      <c r="DL328" s="72">
        <v>192</v>
      </c>
    </row>
    <row r="329" spans="1:116" x14ac:dyDescent="0.35">
      <c r="A329" s="7"/>
      <c r="B329" s="77" t="s">
        <v>1543</v>
      </c>
      <c r="C329" s="8" t="s">
        <v>1550</v>
      </c>
      <c r="D329" s="10" t="s">
        <v>1551</v>
      </c>
      <c r="E329" s="8" t="s">
        <v>1203</v>
      </c>
      <c r="F329" s="10"/>
      <c r="G329" s="10"/>
      <c r="H329" s="10"/>
      <c r="I329" s="11"/>
      <c r="J329" s="10"/>
      <c r="K329" s="10"/>
      <c r="L329" s="8"/>
      <c r="M329" s="12">
        <v>211.41</v>
      </c>
      <c r="N329" s="12">
        <f t="shared" si="7"/>
        <v>130862.79</v>
      </c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/>
      <c r="CX329" s="72"/>
      <c r="CY329" s="72"/>
      <c r="CZ329" s="72"/>
      <c r="DA329" s="72"/>
      <c r="DB329" s="72"/>
      <c r="DC329" s="72"/>
      <c r="DD329" s="72"/>
      <c r="DE329" s="72"/>
      <c r="DF329" s="72"/>
      <c r="DG329" s="72"/>
      <c r="DH329" s="72">
        <v>622</v>
      </c>
      <c r="DI329" s="72">
        <v>621</v>
      </c>
      <c r="DJ329" s="72">
        <v>621</v>
      </c>
      <c r="DK329" s="72">
        <v>619</v>
      </c>
      <c r="DL329" s="72">
        <v>619</v>
      </c>
    </row>
    <row r="330" spans="1:116" x14ac:dyDescent="0.35">
      <c r="A330" s="7"/>
      <c r="B330" s="8" t="s">
        <v>576</v>
      </c>
      <c r="C330" s="8" t="s">
        <v>577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0</v>
      </c>
      <c r="J330" s="10"/>
      <c r="K330" s="10" t="s">
        <v>42</v>
      </c>
      <c r="L330" s="8"/>
      <c r="M330" s="12"/>
      <c r="N330" s="12">
        <f t="shared" si="7"/>
        <v>0</v>
      </c>
      <c r="O330" s="11"/>
      <c r="P330" s="11"/>
      <c r="Q330" s="11"/>
      <c r="R330" s="11"/>
      <c r="S330" s="11"/>
      <c r="T330" s="11"/>
      <c r="U330" s="11">
        <v>0</v>
      </c>
      <c r="V330" s="11">
        <v>0</v>
      </c>
      <c r="W330" s="11">
        <v>0</v>
      </c>
      <c r="X330" s="11">
        <v>0</v>
      </c>
      <c r="Y330" s="11">
        <v>0</v>
      </c>
      <c r="Z330" s="11">
        <v>0</v>
      </c>
      <c r="AA330" s="11">
        <v>0</v>
      </c>
      <c r="AB330" s="11">
        <v>0</v>
      </c>
      <c r="AC330" s="11">
        <v>0</v>
      </c>
      <c r="AD330" s="11">
        <v>0</v>
      </c>
      <c r="AE330" s="11">
        <v>0</v>
      </c>
      <c r="AF330" s="11">
        <v>0</v>
      </c>
      <c r="AG330" s="11">
        <v>0</v>
      </c>
      <c r="AH330" s="11">
        <v>0</v>
      </c>
      <c r="AI330" s="11">
        <v>0</v>
      </c>
      <c r="AJ330" s="11">
        <v>0</v>
      </c>
      <c r="AK330" s="11">
        <v>0</v>
      </c>
      <c r="AL330" s="11">
        <v>0</v>
      </c>
      <c r="AM330" s="11">
        <v>0</v>
      </c>
      <c r="AN330" s="72">
        <v>0</v>
      </c>
      <c r="AO330" s="72">
        <v>0</v>
      </c>
      <c r="AP330" s="72">
        <v>0</v>
      </c>
      <c r="AQ330" s="72">
        <v>0</v>
      </c>
      <c r="AR330" s="72">
        <v>0</v>
      </c>
      <c r="AS330" s="72">
        <v>0</v>
      </c>
      <c r="AT330" s="72">
        <v>0</v>
      </c>
      <c r="AU330" s="72">
        <v>0</v>
      </c>
      <c r="AV330" s="72">
        <v>0</v>
      </c>
      <c r="AW330" s="72">
        <v>0</v>
      </c>
      <c r="AX330" s="72">
        <v>0</v>
      </c>
      <c r="AY330" s="72">
        <v>0</v>
      </c>
      <c r="AZ330" s="72">
        <v>0</v>
      </c>
      <c r="BA330" s="72">
        <v>0</v>
      </c>
      <c r="BB330" s="72">
        <v>0</v>
      </c>
      <c r="BC330" s="72">
        <v>0</v>
      </c>
      <c r="BD330" s="72">
        <v>0</v>
      </c>
      <c r="BE330" s="72">
        <v>0</v>
      </c>
      <c r="BF330" s="72">
        <v>0</v>
      </c>
      <c r="BG330" s="72">
        <v>0</v>
      </c>
      <c r="BH330" s="72">
        <v>0</v>
      </c>
      <c r="BI330" s="72">
        <v>0</v>
      </c>
      <c r="BJ330" s="72">
        <v>0</v>
      </c>
      <c r="BK330" s="72">
        <v>0</v>
      </c>
      <c r="BL330" s="72">
        <v>0</v>
      </c>
      <c r="BM330" s="72">
        <v>0</v>
      </c>
      <c r="BN330" s="72">
        <v>0</v>
      </c>
      <c r="BO330" s="72">
        <v>0</v>
      </c>
      <c r="BP330" s="72">
        <v>0</v>
      </c>
      <c r="BQ330" s="72">
        <v>0</v>
      </c>
      <c r="BR330" s="72">
        <v>0</v>
      </c>
      <c r="BS330" s="72">
        <v>0</v>
      </c>
      <c r="BT330" s="72">
        <v>0</v>
      </c>
      <c r="BU330" s="72">
        <v>0</v>
      </c>
      <c r="BV330" s="72">
        <v>0</v>
      </c>
      <c r="BW330" s="72">
        <v>0</v>
      </c>
      <c r="BX330" s="72">
        <v>0</v>
      </c>
      <c r="BY330" s="72">
        <v>0</v>
      </c>
      <c r="BZ330" s="72">
        <v>0</v>
      </c>
      <c r="CA330" s="72">
        <v>0</v>
      </c>
      <c r="CB330" s="72">
        <v>0</v>
      </c>
      <c r="CC330" s="72">
        <v>0</v>
      </c>
      <c r="CD330" s="72">
        <v>0</v>
      </c>
      <c r="CE330" s="72">
        <v>0</v>
      </c>
      <c r="CF330" s="72">
        <v>0</v>
      </c>
      <c r="CG330" s="72">
        <v>0</v>
      </c>
      <c r="CH330" s="72">
        <v>0</v>
      </c>
      <c r="CI330" s="72">
        <v>0</v>
      </c>
      <c r="CJ330" s="72">
        <v>0</v>
      </c>
      <c r="CK330" s="72">
        <v>0</v>
      </c>
      <c r="CL330" s="72">
        <v>0</v>
      </c>
      <c r="CM330" s="72">
        <v>0</v>
      </c>
      <c r="CN330" s="72">
        <v>0</v>
      </c>
      <c r="CO330" s="72">
        <v>0</v>
      </c>
      <c r="CP330" s="72">
        <v>0</v>
      </c>
      <c r="CQ330" s="72">
        <v>0</v>
      </c>
      <c r="CR330" s="72">
        <v>0</v>
      </c>
      <c r="CS330" s="72">
        <v>0</v>
      </c>
      <c r="CT330" s="72">
        <v>0</v>
      </c>
      <c r="CU330" s="72">
        <v>0</v>
      </c>
      <c r="CV330" s="72">
        <v>0</v>
      </c>
      <c r="CW330" s="72">
        <v>0</v>
      </c>
      <c r="CX330" s="72">
        <v>0</v>
      </c>
      <c r="CY330" s="72">
        <v>0</v>
      </c>
      <c r="CZ330" s="72">
        <v>0</v>
      </c>
      <c r="DA330" s="72">
        <v>0</v>
      </c>
      <c r="DB330" s="72">
        <v>0</v>
      </c>
      <c r="DC330" s="72">
        <v>0</v>
      </c>
      <c r="DD330" s="72">
        <v>0</v>
      </c>
      <c r="DE330" s="72">
        <v>0</v>
      </c>
      <c r="DF330" s="72">
        <v>0</v>
      </c>
      <c r="DG330" s="72">
        <v>0</v>
      </c>
      <c r="DH330" s="72">
        <v>0</v>
      </c>
      <c r="DI330" s="72">
        <v>0</v>
      </c>
      <c r="DJ330" s="72">
        <v>0</v>
      </c>
      <c r="DK330" s="72">
        <v>0</v>
      </c>
      <c r="DL330" s="72">
        <v>0</v>
      </c>
    </row>
    <row r="331" spans="1:116" x14ac:dyDescent="0.35">
      <c r="A331" s="7"/>
      <c r="B331" s="8" t="s">
        <v>579</v>
      </c>
      <c r="C331" s="8" t="s">
        <v>580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4</v>
      </c>
      <c r="J331" s="10"/>
      <c r="K331" s="10" t="s">
        <v>42</v>
      </c>
      <c r="L331" s="8"/>
      <c r="M331" s="12"/>
      <c r="N331" s="12">
        <f t="shared" si="7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>
        <v>4</v>
      </c>
      <c r="AA331" s="11">
        <v>4</v>
      </c>
      <c r="AB331" s="11">
        <v>4</v>
      </c>
      <c r="AC331" s="11">
        <v>4</v>
      </c>
      <c r="AD331" s="11">
        <v>4</v>
      </c>
      <c r="AE331" s="11">
        <v>4</v>
      </c>
      <c r="AF331" s="11">
        <v>4</v>
      </c>
      <c r="AG331" s="11">
        <v>4</v>
      </c>
      <c r="AH331" s="11">
        <v>4</v>
      </c>
      <c r="AI331" s="11">
        <v>4</v>
      </c>
      <c r="AJ331" s="11">
        <v>4</v>
      </c>
      <c r="AK331" s="11">
        <v>4</v>
      </c>
      <c r="AL331" s="11">
        <v>4</v>
      </c>
      <c r="AM331" s="11">
        <v>4</v>
      </c>
      <c r="AN331" s="72">
        <v>4</v>
      </c>
      <c r="AO331" s="72">
        <v>4</v>
      </c>
      <c r="AP331" s="72">
        <v>4</v>
      </c>
      <c r="AQ331" s="72">
        <v>4</v>
      </c>
      <c r="AR331" s="72">
        <v>4</v>
      </c>
      <c r="AS331" s="72">
        <v>4</v>
      </c>
      <c r="AT331" s="72">
        <v>4</v>
      </c>
      <c r="AU331" s="72">
        <v>4</v>
      </c>
      <c r="AV331" s="72">
        <v>4</v>
      </c>
      <c r="AW331" s="72">
        <v>4</v>
      </c>
      <c r="AX331" s="72">
        <v>4</v>
      </c>
      <c r="AY331" s="72">
        <v>4</v>
      </c>
      <c r="AZ331" s="72">
        <v>4</v>
      </c>
      <c r="BA331" s="72">
        <v>4</v>
      </c>
      <c r="BB331" s="72">
        <v>4</v>
      </c>
      <c r="BC331" s="72">
        <v>4</v>
      </c>
      <c r="BD331" s="72">
        <v>4</v>
      </c>
      <c r="BE331" s="72">
        <v>4</v>
      </c>
      <c r="BF331" s="72">
        <v>4</v>
      </c>
      <c r="BG331" s="72">
        <v>4</v>
      </c>
      <c r="BH331" s="72">
        <v>4</v>
      </c>
      <c r="BI331" s="72">
        <v>4</v>
      </c>
      <c r="BJ331" s="72">
        <v>4</v>
      </c>
      <c r="BK331" s="72">
        <v>4</v>
      </c>
      <c r="BL331" s="72">
        <v>4</v>
      </c>
      <c r="BM331" s="72">
        <v>4</v>
      </c>
      <c r="BN331" s="72">
        <v>4</v>
      </c>
      <c r="BO331" s="72">
        <v>4</v>
      </c>
      <c r="BP331" s="72">
        <v>4</v>
      </c>
      <c r="BQ331" s="72">
        <v>4</v>
      </c>
      <c r="BR331" s="72">
        <v>4</v>
      </c>
      <c r="BS331" s="72">
        <v>4</v>
      </c>
      <c r="BT331" s="72">
        <v>4</v>
      </c>
      <c r="BU331" s="72">
        <v>4</v>
      </c>
      <c r="BV331" s="72">
        <v>4</v>
      </c>
      <c r="BW331" s="72">
        <v>4</v>
      </c>
      <c r="BX331" s="72">
        <v>4</v>
      </c>
      <c r="BY331" s="72">
        <v>4</v>
      </c>
      <c r="BZ331" s="72">
        <v>4</v>
      </c>
      <c r="CA331" s="72">
        <v>4</v>
      </c>
      <c r="CB331" s="72">
        <v>4</v>
      </c>
      <c r="CC331" s="72">
        <v>4</v>
      </c>
      <c r="CD331" s="72">
        <v>4</v>
      </c>
      <c r="CE331" s="72">
        <v>4</v>
      </c>
      <c r="CF331" s="72">
        <v>4</v>
      </c>
      <c r="CG331" s="72">
        <v>4</v>
      </c>
      <c r="CH331" s="72">
        <v>4</v>
      </c>
      <c r="CI331" s="72">
        <v>4</v>
      </c>
      <c r="CJ331" s="72">
        <v>4</v>
      </c>
      <c r="CK331" s="72">
        <v>4</v>
      </c>
      <c r="CL331" s="72">
        <v>4</v>
      </c>
      <c r="CM331" s="72">
        <v>4</v>
      </c>
      <c r="CN331" s="72">
        <v>4</v>
      </c>
      <c r="CO331" s="72">
        <v>4</v>
      </c>
      <c r="CP331" s="72">
        <v>4</v>
      </c>
      <c r="CQ331" s="72">
        <v>4</v>
      </c>
      <c r="CR331" s="72">
        <v>4</v>
      </c>
      <c r="CS331" s="72">
        <v>4</v>
      </c>
      <c r="CT331" s="72">
        <v>4</v>
      </c>
      <c r="CU331" s="72">
        <v>4</v>
      </c>
      <c r="CV331" s="72">
        <v>4</v>
      </c>
      <c r="CW331" s="72">
        <v>4</v>
      </c>
      <c r="CX331" s="72">
        <v>4</v>
      </c>
      <c r="CY331" s="72">
        <v>4</v>
      </c>
      <c r="CZ331" s="72">
        <v>4</v>
      </c>
      <c r="DA331" s="72">
        <v>4</v>
      </c>
      <c r="DB331" s="72">
        <v>4</v>
      </c>
      <c r="DC331" s="72">
        <v>4</v>
      </c>
      <c r="DD331" s="72">
        <v>4</v>
      </c>
      <c r="DE331" s="72">
        <v>4</v>
      </c>
      <c r="DF331" s="72">
        <v>4</v>
      </c>
      <c r="DG331" s="72">
        <v>4</v>
      </c>
      <c r="DH331" s="72">
        <v>4</v>
      </c>
      <c r="DI331" s="72">
        <v>4</v>
      </c>
      <c r="DJ331" s="72">
        <v>4</v>
      </c>
      <c r="DK331" s="72">
        <v>4</v>
      </c>
      <c r="DL331" s="72">
        <v>4</v>
      </c>
    </row>
    <row r="332" spans="1:116" x14ac:dyDescent="0.35">
      <c r="A332" s="7"/>
      <c r="B332" s="8" t="s">
        <v>581</v>
      </c>
      <c r="C332" s="8" t="s">
        <v>582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</row>
    <row r="333" spans="1:116" x14ac:dyDescent="0.35">
      <c r="A333" s="7"/>
      <c r="B333" s="8" t="s">
        <v>584</v>
      </c>
      <c r="C333" s="8" t="s">
        <v>585</v>
      </c>
      <c r="D333" s="10" t="s">
        <v>578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/>
      <c r="J333" s="10">
        <v>4</v>
      </c>
      <c r="K333" s="10" t="s">
        <v>42</v>
      </c>
      <c r="L333" s="8" t="s">
        <v>583</v>
      </c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</row>
    <row r="334" spans="1:116" x14ac:dyDescent="0.35">
      <c r="A334" s="7"/>
      <c r="B334" s="8" t="s">
        <v>586</v>
      </c>
      <c r="C334" s="7" t="s">
        <v>587</v>
      </c>
      <c r="D334" s="10" t="s">
        <v>588</v>
      </c>
      <c r="E334" s="8" t="s">
        <v>1206</v>
      </c>
      <c r="F334" s="10">
        <v>1002</v>
      </c>
      <c r="G334" s="10" t="s">
        <v>40</v>
      </c>
      <c r="H334" s="10" t="s">
        <v>41</v>
      </c>
      <c r="I334" s="11">
        <v>4</v>
      </c>
      <c r="J334" s="10"/>
      <c r="K334" s="10" t="s">
        <v>42</v>
      </c>
      <c r="L334" s="8"/>
      <c r="M334" s="12">
        <v>30</v>
      </c>
      <c r="N334" s="12">
        <f t="shared" si="7"/>
        <v>120</v>
      </c>
      <c r="O334" s="11">
        <v>4</v>
      </c>
      <c r="P334" s="11">
        <v>4</v>
      </c>
      <c r="Q334" s="11">
        <v>4</v>
      </c>
      <c r="R334" s="11">
        <v>4</v>
      </c>
      <c r="S334" s="11">
        <v>4</v>
      </c>
      <c r="T334" s="11">
        <v>4</v>
      </c>
      <c r="U334" s="11">
        <v>4</v>
      </c>
      <c r="V334" s="11">
        <v>4</v>
      </c>
      <c r="W334" s="11">
        <v>4</v>
      </c>
      <c r="X334" s="11">
        <v>4</v>
      </c>
      <c r="Y334" s="11">
        <v>4</v>
      </c>
      <c r="Z334" s="11">
        <v>4</v>
      </c>
      <c r="AA334" s="11">
        <v>4</v>
      </c>
      <c r="AB334" s="11">
        <v>4</v>
      </c>
      <c r="AC334" s="11">
        <v>4</v>
      </c>
      <c r="AD334" s="11">
        <v>4</v>
      </c>
      <c r="AE334" s="11">
        <v>4</v>
      </c>
      <c r="AF334" s="11">
        <v>4</v>
      </c>
      <c r="AG334" s="11">
        <v>4</v>
      </c>
      <c r="AH334" s="11">
        <v>4</v>
      </c>
      <c r="AI334" s="11">
        <v>4</v>
      </c>
      <c r="AJ334" s="11">
        <v>4</v>
      </c>
      <c r="AK334" s="11">
        <v>4</v>
      </c>
      <c r="AL334" s="11">
        <v>4</v>
      </c>
      <c r="AM334" s="11">
        <v>4</v>
      </c>
      <c r="AN334" s="72">
        <v>4</v>
      </c>
      <c r="AO334" s="72">
        <v>4</v>
      </c>
      <c r="AP334" s="72">
        <v>4</v>
      </c>
      <c r="AQ334" s="72">
        <v>4</v>
      </c>
      <c r="AR334" s="72">
        <v>4</v>
      </c>
      <c r="AS334" s="72">
        <v>4</v>
      </c>
      <c r="AT334" s="72">
        <v>4</v>
      </c>
      <c r="AU334" s="72">
        <v>4</v>
      </c>
      <c r="AV334" s="72">
        <v>4</v>
      </c>
      <c r="AW334" s="72">
        <v>4</v>
      </c>
      <c r="AX334" s="72">
        <v>4</v>
      </c>
      <c r="AY334" s="72">
        <v>4</v>
      </c>
      <c r="AZ334" s="72">
        <v>4</v>
      </c>
      <c r="BA334" s="72">
        <v>4</v>
      </c>
      <c r="BB334" s="72">
        <v>4</v>
      </c>
      <c r="BC334" s="72">
        <v>4</v>
      </c>
      <c r="BD334" s="72">
        <v>4</v>
      </c>
      <c r="BE334" s="72">
        <v>4</v>
      </c>
      <c r="BF334" s="72">
        <v>4</v>
      </c>
      <c r="BG334" s="72">
        <v>4</v>
      </c>
      <c r="BH334" s="72">
        <v>4</v>
      </c>
      <c r="BI334" s="72">
        <v>4</v>
      </c>
      <c r="BJ334" s="72">
        <v>4</v>
      </c>
      <c r="BK334" s="72">
        <v>4</v>
      </c>
      <c r="BL334" s="72">
        <v>4</v>
      </c>
      <c r="BM334" s="72">
        <v>4</v>
      </c>
      <c r="BN334" s="72">
        <v>4</v>
      </c>
      <c r="BO334" s="72">
        <v>4</v>
      </c>
      <c r="BP334" s="72">
        <v>4</v>
      </c>
      <c r="BQ334" s="72">
        <v>4</v>
      </c>
      <c r="BR334" s="72">
        <v>4</v>
      </c>
      <c r="BS334" s="72">
        <v>4</v>
      </c>
      <c r="BT334" s="72">
        <v>4</v>
      </c>
      <c r="BU334" s="72">
        <v>4</v>
      </c>
      <c r="BV334" s="72">
        <v>4</v>
      </c>
      <c r="BW334" s="72">
        <v>4</v>
      </c>
      <c r="BX334" s="72">
        <v>4</v>
      </c>
      <c r="BY334" s="72">
        <v>4</v>
      </c>
      <c r="BZ334" s="72">
        <v>4</v>
      </c>
      <c r="CA334" s="72">
        <v>4</v>
      </c>
      <c r="CB334" s="72">
        <v>4</v>
      </c>
      <c r="CC334" s="72">
        <v>4</v>
      </c>
      <c r="CD334" s="72">
        <v>4</v>
      </c>
      <c r="CE334" s="72">
        <v>4</v>
      </c>
      <c r="CF334" s="72">
        <v>4</v>
      </c>
      <c r="CG334" s="72">
        <v>4</v>
      </c>
      <c r="CH334" s="72">
        <v>4</v>
      </c>
      <c r="CI334" s="72">
        <v>4</v>
      </c>
      <c r="CJ334" s="72">
        <v>4</v>
      </c>
      <c r="CK334" s="72">
        <v>4</v>
      </c>
      <c r="CL334" s="72">
        <v>4</v>
      </c>
      <c r="CM334" s="72">
        <v>4</v>
      </c>
      <c r="CN334" s="72">
        <v>4</v>
      </c>
      <c r="CO334" s="72">
        <v>4</v>
      </c>
      <c r="CP334" s="72">
        <v>4</v>
      </c>
      <c r="CQ334" s="72">
        <v>4</v>
      </c>
      <c r="CR334" s="72">
        <v>4</v>
      </c>
      <c r="CS334" s="72">
        <v>4</v>
      </c>
      <c r="CT334" s="72">
        <v>4</v>
      </c>
      <c r="CU334" s="72">
        <v>4</v>
      </c>
      <c r="CV334" s="72">
        <v>4</v>
      </c>
      <c r="CW334" s="72">
        <v>4</v>
      </c>
      <c r="CX334" s="72">
        <v>4</v>
      </c>
      <c r="CY334" s="72">
        <v>4</v>
      </c>
      <c r="CZ334" s="72">
        <v>4</v>
      </c>
      <c r="DA334" s="72">
        <v>4</v>
      </c>
      <c r="DB334" s="72">
        <v>4</v>
      </c>
      <c r="DC334" s="72">
        <v>4</v>
      </c>
      <c r="DD334" s="72">
        <v>4</v>
      </c>
      <c r="DE334" s="72">
        <v>4</v>
      </c>
      <c r="DF334" s="72">
        <v>4</v>
      </c>
      <c r="DG334" s="72">
        <v>4</v>
      </c>
      <c r="DH334" s="72">
        <v>4</v>
      </c>
      <c r="DI334" s="72">
        <v>4</v>
      </c>
      <c r="DJ334" s="72">
        <v>4</v>
      </c>
      <c r="DK334" s="72">
        <v>4</v>
      </c>
      <c r="DL334" s="72">
        <v>4</v>
      </c>
    </row>
    <row r="335" spans="1:116" x14ac:dyDescent="0.35">
      <c r="A335" s="7"/>
      <c r="B335" s="77" t="s">
        <v>1514</v>
      </c>
      <c r="C335" s="118" t="s">
        <v>1517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135.08437369837105</v>
      </c>
      <c r="N335" s="12">
        <f t="shared" si="7"/>
        <v>135.08437369837105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  <c r="DJ335" s="72">
        <v>1</v>
      </c>
      <c r="DK335" s="72">
        <v>1</v>
      </c>
      <c r="DL335" s="72">
        <v>1</v>
      </c>
    </row>
    <row r="336" spans="1:116" x14ac:dyDescent="0.35">
      <c r="A336" s="7"/>
      <c r="B336" s="77" t="s">
        <v>1515</v>
      </c>
      <c r="C336" s="118" t="s">
        <v>1520</v>
      </c>
      <c r="D336" s="97" t="s">
        <v>1518</v>
      </c>
      <c r="E336" s="92" t="s">
        <v>1519</v>
      </c>
      <c r="F336" s="10"/>
      <c r="G336" s="10" t="s">
        <v>40</v>
      </c>
      <c r="H336" s="10" t="s">
        <v>41</v>
      </c>
      <c r="I336" s="11"/>
      <c r="J336" s="10"/>
      <c r="K336" s="10"/>
      <c r="L336" s="8"/>
      <c r="M336" s="12">
        <v>125.84795848296203</v>
      </c>
      <c r="N336" s="12">
        <f t="shared" si="7"/>
        <v>125.84795848296203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  <c r="DK336" s="72">
        <v>1</v>
      </c>
      <c r="DL336" s="72">
        <v>1</v>
      </c>
    </row>
    <row r="337" spans="1:116" x14ac:dyDescent="0.35">
      <c r="A337" s="7"/>
      <c r="B337" s="8">
        <v>20030658</v>
      </c>
      <c r="C337" s="9" t="s">
        <v>589</v>
      </c>
      <c r="D337" s="10" t="s">
        <v>590</v>
      </c>
      <c r="E337" s="8" t="s">
        <v>1228</v>
      </c>
      <c r="F337" s="10">
        <v>1105</v>
      </c>
      <c r="G337" s="10" t="s">
        <v>40</v>
      </c>
      <c r="H337" s="10" t="s">
        <v>95</v>
      </c>
      <c r="I337" s="11">
        <v>3000</v>
      </c>
      <c r="J337" s="10"/>
      <c r="K337" s="10" t="s">
        <v>591</v>
      </c>
      <c r="L337" s="8" t="s">
        <v>189</v>
      </c>
      <c r="M337" s="12"/>
      <c r="N337" s="12">
        <f t="shared" si="7"/>
        <v>0</v>
      </c>
      <c r="O337" s="11">
        <v>3000</v>
      </c>
      <c r="P337" s="11">
        <v>3000</v>
      </c>
      <c r="Q337" s="11">
        <v>3000</v>
      </c>
      <c r="R337" s="11">
        <v>3000</v>
      </c>
      <c r="S337" s="11">
        <v>3000</v>
      </c>
      <c r="T337" s="11">
        <v>3000</v>
      </c>
      <c r="U337" s="11">
        <v>3000</v>
      </c>
      <c r="V337" s="11">
        <v>3000</v>
      </c>
      <c r="W337" s="11">
        <v>3000</v>
      </c>
      <c r="X337" s="11">
        <v>3000</v>
      </c>
      <c r="Y337" s="11">
        <v>3000</v>
      </c>
      <c r="Z337" s="11">
        <v>3000</v>
      </c>
      <c r="AA337" s="11">
        <v>3000</v>
      </c>
      <c r="AB337" s="11">
        <v>3000</v>
      </c>
      <c r="AC337" s="11">
        <v>3000</v>
      </c>
      <c r="AD337" s="11">
        <v>3000</v>
      </c>
      <c r="AE337" s="11">
        <v>3000</v>
      </c>
      <c r="AF337" s="11">
        <v>3000</v>
      </c>
      <c r="AG337" s="11">
        <v>3000</v>
      </c>
      <c r="AH337" s="11">
        <v>3000</v>
      </c>
      <c r="AI337" s="11">
        <v>3000</v>
      </c>
      <c r="AJ337" s="11">
        <v>3000</v>
      </c>
      <c r="AK337" s="11">
        <v>3000</v>
      </c>
      <c r="AL337" s="11">
        <v>3000</v>
      </c>
      <c r="AM337" s="11">
        <v>3000</v>
      </c>
      <c r="AN337" s="72">
        <v>3000</v>
      </c>
      <c r="AO337" s="72">
        <v>3000</v>
      </c>
      <c r="AP337" s="72">
        <v>3000</v>
      </c>
      <c r="AQ337" s="72">
        <v>3000</v>
      </c>
      <c r="AR337" s="72">
        <v>3000</v>
      </c>
      <c r="AS337" s="72">
        <v>3000</v>
      </c>
      <c r="AT337" s="72">
        <v>3000</v>
      </c>
      <c r="AU337" s="72">
        <v>3000</v>
      </c>
      <c r="AV337" s="72">
        <v>3000</v>
      </c>
      <c r="AW337" s="72">
        <v>3000</v>
      </c>
      <c r="AX337" s="72">
        <v>3000</v>
      </c>
      <c r="AY337" s="72">
        <v>3000</v>
      </c>
      <c r="AZ337" s="72">
        <v>3000</v>
      </c>
      <c r="BA337" s="72">
        <v>3000</v>
      </c>
      <c r="BB337" s="72">
        <v>3000</v>
      </c>
      <c r="BC337" s="72">
        <v>3000</v>
      </c>
      <c r="BD337" s="72">
        <v>3000</v>
      </c>
      <c r="BE337" s="72">
        <v>3000</v>
      </c>
      <c r="BF337" s="72">
        <v>3000</v>
      </c>
      <c r="BG337" s="72">
        <v>3000</v>
      </c>
      <c r="BH337" s="72">
        <v>3000</v>
      </c>
      <c r="BI337" s="72">
        <v>3000</v>
      </c>
      <c r="BJ337" s="72">
        <v>3000</v>
      </c>
      <c r="BK337" s="72">
        <v>3000</v>
      </c>
      <c r="BL337" s="72">
        <v>3000</v>
      </c>
      <c r="BM337" s="72">
        <v>3000</v>
      </c>
      <c r="BN337" s="72">
        <v>3000</v>
      </c>
      <c r="BO337" s="72">
        <v>3000</v>
      </c>
      <c r="BP337" s="72">
        <v>3000</v>
      </c>
      <c r="BQ337" s="72">
        <v>3000</v>
      </c>
      <c r="BR337" s="72">
        <v>3000</v>
      </c>
      <c r="BS337" s="72">
        <v>3000</v>
      </c>
      <c r="BT337" s="72">
        <v>3000</v>
      </c>
      <c r="BU337" s="72">
        <v>3000</v>
      </c>
      <c r="BV337" s="72">
        <v>3000</v>
      </c>
      <c r="BW337" s="72">
        <v>3000</v>
      </c>
      <c r="BX337" s="72">
        <v>3000</v>
      </c>
      <c r="BY337" s="72">
        <v>3000</v>
      </c>
      <c r="BZ337" s="72">
        <v>3000</v>
      </c>
      <c r="CA337" s="72">
        <v>3000</v>
      </c>
      <c r="CB337" s="72">
        <v>3000</v>
      </c>
      <c r="CC337" s="72">
        <v>3000</v>
      </c>
      <c r="CD337" s="72">
        <v>3000</v>
      </c>
      <c r="CE337" s="72">
        <v>3000</v>
      </c>
      <c r="CF337" s="72">
        <v>3000</v>
      </c>
      <c r="CG337" s="72">
        <v>3000</v>
      </c>
      <c r="CH337" s="72">
        <v>3000</v>
      </c>
      <c r="CI337" s="72">
        <v>3000</v>
      </c>
      <c r="CJ337" s="72">
        <v>3000</v>
      </c>
      <c r="CK337" s="72">
        <v>3000</v>
      </c>
      <c r="CL337" s="72">
        <v>3000</v>
      </c>
      <c r="CM337" s="72">
        <v>3000</v>
      </c>
      <c r="CN337" s="72">
        <v>3000</v>
      </c>
      <c r="CO337" s="72">
        <v>3000</v>
      </c>
      <c r="CP337" s="72">
        <v>3000</v>
      </c>
      <c r="CQ337" s="72">
        <v>3000</v>
      </c>
      <c r="CR337" s="72">
        <v>3000</v>
      </c>
      <c r="CS337" s="72">
        <v>3000</v>
      </c>
      <c r="CT337" s="72">
        <v>3000</v>
      </c>
      <c r="CU337" s="72">
        <v>3000</v>
      </c>
      <c r="CV337" s="72">
        <v>3000</v>
      </c>
      <c r="CW337" s="72">
        <v>3000</v>
      </c>
      <c r="CX337" s="72">
        <v>3000</v>
      </c>
      <c r="CY337" s="72">
        <v>3000</v>
      </c>
      <c r="CZ337" s="72">
        <v>3000</v>
      </c>
      <c r="DA337" s="72">
        <v>3000</v>
      </c>
      <c r="DB337" s="72">
        <v>3000</v>
      </c>
      <c r="DC337" s="72">
        <v>3000</v>
      </c>
      <c r="DD337" s="72">
        <f t="shared" ref="DD337:DI337" si="8">3000-107</f>
        <v>2893</v>
      </c>
      <c r="DE337" s="72">
        <f t="shared" si="8"/>
        <v>2893</v>
      </c>
      <c r="DF337" s="72">
        <f t="shared" si="8"/>
        <v>2893</v>
      </c>
      <c r="DG337" s="72">
        <f t="shared" si="8"/>
        <v>2893</v>
      </c>
      <c r="DH337" s="72">
        <f t="shared" si="8"/>
        <v>2893</v>
      </c>
      <c r="DI337" s="72">
        <f t="shared" si="8"/>
        <v>2893</v>
      </c>
      <c r="DJ337" s="72">
        <f>3000-107</f>
        <v>2893</v>
      </c>
      <c r="DK337" s="72">
        <f>3000-107</f>
        <v>2893</v>
      </c>
      <c r="DL337" s="72">
        <f>3000-107</f>
        <v>2893</v>
      </c>
    </row>
    <row r="338" spans="1:116" x14ac:dyDescent="0.35">
      <c r="A338" s="7"/>
      <c r="B338" s="77" t="s">
        <v>1370</v>
      </c>
      <c r="C338" s="9" t="s">
        <v>1372</v>
      </c>
      <c r="D338" s="10" t="s">
        <v>1373</v>
      </c>
      <c r="E338" s="8" t="s">
        <v>1374</v>
      </c>
      <c r="F338" s="10"/>
      <c r="G338" s="10"/>
      <c r="H338" s="10" t="s">
        <v>41</v>
      </c>
      <c r="I338" s="11"/>
      <c r="J338" s="10"/>
      <c r="K338" s="10"/>
      <c r="L338" s="8"/>
      <c r="M338" s="12">
        <v>475</v>
      </c>
      <c r="N338" s="12">
        <f t="shared" si="7"/>
        <v>0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0</v>
      </c>
      <c r="DA338" s="72">
        <v>0</v>
      </c>
      <c r="DB338" s="72">
        <v>0</v>
      </c>
      <c r="DC338" s="72">
        <v>0</v>
      </c>
      <c r="DD338" s="72">
        <v>0</v>
      </c>
      <c r="DE338" s="72">
        <v>0</v>
      </c>
      <c r="DF338" s="72">
        <v>0</v>
      </c>
      <c r="DG338" s="72">
        <v>0</v>
      </c>
      <c r="DH338" s="72">
        <v>0</v>
      </c>
      <c r="DI338" s="72">
        <v>0</v>
      </c>
      <c r="DJ338" s="72">
        <v>0</v>
      </c>
      <c r="DK338" s="72">
        <v>0</v>
      </c>
      <c r="DL338" s="72">
        <v>0</v>
      </c>
    </row>
    <row r="339" spans="1:116" x14ac:dyDescent="0.35">
      <c r="A339" s="7"/>
      <c r="B339" s="21" t="s">
        <v>592</v>
      </c>
      <c r="C339" s="22" t="s">
        <v>593</v>
      </c>
      <c r="D339" s="23" t="s">
        <v>594</v>
      </c>
      <c r="E339" s="21" t="s">
        <v>1221</v>
      </c>
      <c r="F339" s="23">
        <v>1006</v>
      </c>
      <c r="G339" s="10" t="s">
        <v>40</v>
      </c>
      <c r="H339" s="10" t="s">
        <v>41</v>
      </c>
      <c r="I339" s="11">
        <v>2</v>
      </c>
      <c r="J339" s="23"/>
      <c r="K339" s="10"/>
      <c r="L339" s="8"/>
      <c r="M339" s="12"/>
      <c r="N339" s="12">
        <f t="shared" si="7"/>
        <v>0</v>
      </c>
      <c r="O339" s="11">
        <v>2</v>
      </c>
      <c r="P339" s="11">
        <v>2</v>
      </c>
      <c r="Q339" s="11">
        <v>2</v>
      </c>
      <c r="R339" s="11">
        <v>2</v>
      </c>
      <c r="S339" s="11">
        <v>2</v>
      </c>
      <c r="T339" s="11">
        <v>2</v>
      </c>
      <c r="U339" s="11">
        <v>2</v>
      </c>
      <c r="V339" s="11">
        <v>2</v>
      </c>
      <c r="W339" s="11">
        <v>2</v>
      </c>
      <c r="X339" s="11">
        <v>2</v>
      </c>
      <c r="Y339" s="11">
        <v>2</v>
      </c>
      <c r="Z339" s="11">
        <v>2</v>
      </c>
      <c r="AA339" s="11">
        <v>2</v>
      </c>
      <c r="AB339" s="11">
        <v>2</v>
      </c>
      <c r="AC339" s="11">
        <v>2</v>
      </c>
      <c r="AD339" s="11">
        <v>2</v>
      </c>
      <c r="AE339" s="11">
        <v>2</v>
      </c>
      <c r="AF339" s="11">
        <v>2</v>
      </c>
      <c r="AG339" s="11">
        <v>2</v>
      </c>
      <c r="AH339" s="11">
        <v>2</v>
      </c>
      <c r="AI339" s="11">
        <v>2</v>
      </c>
      <c r="AJ339" s="11">
        <v>2</v>
      </c>
      <c r="AK339" s="11">
        <v>2</v>
      </c>
      <c r="AL339" s="11">
        <v>2</v>
      </c>
      <c r="AM339" s="11">
        <v>2</v>
      </c>
      <c r="AN339" s="72">
        <v>2</v>
      </c>
      <c r="AO339" s="72">
        <v>2</v>
      </c>
      <c r="AP339" s="72">
        <v>2</v>
      </c>
      <c r="AQ339" s="72">
        <v>2</v>
      </c>
      <c r="AR339" s="72">
        <v>2</v>
      </c>
      <c r="AS339" s="72">
        <v>2</v>
      </c>
      <c r="AT339" s="72">
        <v>2</v>
      </c>
      <c r="AU339" s="72">
        <v>2</v>
      </c>
      <c r="AV339" s="72">
        <v>2</v>
      </c>
      <c r="AW339" s="72">
        <v>2</v>
      </c>
      <c r="AX339" s="72">
        <v>2</v>
      </c>
      <c r="AY339" s="72">
        <v>2</v>
      </c>
      <c r="AZ339" s="72">
        <v>2</v>
      </c>
      <c r="BA339" s="72">
        <v>2</v>
      </c>
      <c r="BB339" s="72">
        <v>2</v>
      </c>
      <c r="BC339" s="72">
        <v>2</v>
      </c>
      <c r="BD339" s="72">
        <v>2</v>
      </c>
      <c r="BE339" s="72">
        <v>2</v>
      </c>
      <c r="BF339" s="72">
        <v>2</v>
      </c>
      <c r="BG339" s="72">
        <v>2</v>
      </c>
      <c r="BH339" s="72">
        <v>2</v>
      </c>
      <c r="BI339" s="72">
        <v>2</v>
      </c>
      <c r="BJ339" s="72">
        <v>2</v>
      </c>
      <c r="BK339" s="72">
        <v>2</v>
      </c>
      <c r="BL339" s="72">
        <v>2</v>
      </c>
      <c r="BM339" s="72">
        <v>2</v>
      </c>
      <c r="BN339" s="72">
        <v>2</v>
      </c>
      <c r="BO339" s="72">
        <v>2</v>
      </c>
      <c r="BP339" s="72">
        <v>2</v>
      </c>
      <c r="BQ339" s="72">
        <v>2</v>
      </c>
      <c r="BR339" s="72">
        <v>2</v>
      </c>
      <c r="BS339" s="72">
        <v>2</v>
      </c>
      <c r="BT339" s="72">
        <v>2</v>
      </c>
      <c r="BU339" s="72">
        <v>2</v>
      </c>
      <c r="BV339" s="72">
        <v>2</v>
      </c>
      <c r="BW339" s="72">
        <v>2</v>
      </c>
      <c r="BX339" s="72">
        <v>2</v>
      </c>
      <c r="BY339" s="72">
        <v>2</v>
      </c>
      <c r="BZ339" s="72">
        <v>2</v>
      </c>
      <c r="CA339" s="72">
        <v>2</v>
      </c>
      <c r="CB339" s="72">
        <v>2</v>
      </c>
      <c r="CC339" s="72">
        <v>2</v>
      </c>
      <c r="CD339" s="72">
        <v>2</v>
      </c>
      <c r="CE339" s="72">
        <v>2</v>
      </c>
      <c r="CF339" s="72">
        <v>2</v>
      </c>
      <c r="CG339" s="72">
        <v>2</v>
      </c>
      <c r="CH339" s="72">
        <v>2</v>
      </c>
      <c r="CI339" s="72">
        <v>2</v>
      </c>
      <c r="CJ339" s="72">
        <v>2</v>
      </c>
      <c r="CK339" s="72">
        <v>2</v>
      </c>
      <c r="CL339" s="72">
        <v>2</v>
      </c>
      <c r="CM339" s="72">
        <v>2</v>
      </c>
      <c r="CN339" s="72">
        <v>2</v>
      </c>
      <c r="CO339" s="72">
        <v>2</v>
      </c>
      <c r="CP339" s="72">
        <v>2</v>
      </c>
      <c r="CQ339" s="72">
        <v>2</v>
      </c>
      <c r="CR339" s="72">
        <v>2</v>
      </c>
      <c r="CS339" s="72">
        <v>2</v>
      </c>
      <c r="CT339" s="72">
        <v>2</v>
      </c>
      <c r="CU339" s="72">
        <v>2</v>
      </c>
      <c r="CV339" s="72">
        <v>2</v>
      </c>
      <c r="CW339" s="72">
        <v>2</v>
      </c>
      <c r="CX339" s="72">
        <v>2</v>
      </c>
      <c r="CY339" s="72">
        <v>2</v>
      </c>
      <c r="CZ339" s="72">
        <v>2</v>
      </c>
      <c r="DA339" s="72">
        <v>2</v>
      </c>
      <c r="DB339" s="72">
        <v>2</v>
      </c>
      <c r="DC339" s="72">
        <v>2</v>
      </c>
      <c r="DD339" s="72">
        <v>2</v>
      </c>
      <c r="DE339" s="72">
        <v>2</v>
      </c>
      <c r="DF339" s="72">
        <v>2</v>
      </c>
      <c r="DG339" s="72">
        <v>2</v>
      </c>
      <c r="DH339" s="72">
        <v>2</v>
      </c>
      <c r="DI339" s="72">
        <v>2</v>
      </c>
      <c r="DJ339" s="72">
        <v>2</v>
      </c>
      <c r="DK339" s="72">
        <v>2</v>
      </c>
      <c r="DL339" s="72">
        <v>2</v>
      </c>
    </row>
    <row r="340" spans="1:116" x14ac:dyDescent="0.35">
      <c r="A340" s="7"/>
      <c r="B340" s="8" t="s">
        <v>595</v>
      </c>
      <c r="C340" s="78" t="s">
        <v>1354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20</v>
      </c>
      <c r="J340" s="10"/>
      <c r="K340" s="10" t="s">
        <v>42</v>
      </c>
      <c r="L340" s="8"/>
      <c r="M340" s="12">
        <v>25.89</v>
      </c>
      <c r="N340" s="12">
        <f t="shared" si="7"/>
        <v>517.79999999999995</v>
      </c>
      <c r="O340" s="11">
        <v>20</v>
      </c>
      <c r="P340" s="11">
        <v>20</v>
      </c>
      <c r="Q340" s="11">
        <v>20</v>
      </c>
      <c r="R340" s="11">
        <v>20</v>
      </c>
      <c r="S340" s="11">
        <v>20</v>
      </c>
      <c r="T340" s="11">
        <v>20</v>
      </c>
      <c r="U340" s="11">
        <v>20</v>
      </c>
      <c r="V340" s="11">
        <v>20</v>
      </c>
      <c r="W340" s="11">
        <v>20</v>
      </c>
      <c r="X340" s="11">
        <v>20</v>
      </c>
      <c r="Y340" s="11">
        <v>20</v>
      </c>
      <c r="Z340" s="11">
        <v>20</v>
      </c>
      <c r="AA340" s="11">
        <v>20</v>
      </c>
      <c r="AB340" s="11">
        <v>20</v>
      </c>
      <c r="AC340" s="11">
        <v>20</v>
      </c>
      <c r="AD340" s="11">
        <v>20</v>
      </c>
      <c r="AE340" s="11">
        <v>20</v>
      </c>
      <c r="AF340" s="11">
        <v>20</v>
      </c>
      <c r="AG340" s="11">
        <v>20</v>
      </c>
      <c r="AH340" s="11">
        <v>20</v>
      </c>
      <c r="AI340" s="11">
        <v>20</v>
      </c>
      <c r="AJ340" s="11">
        <v>20</v>
      </c>
      <c r="AK340" s="11">
        <v>20</v>
      </c>
      <c r="AL340" s="11">
        <v>20</v>
      </c>
      <c r="AM340" s="11">
        <v>20</v>
      </c>
      <c r="AN340" s="72">
        <v>20</v>
      </c>
      <c r="AO340" s="72">
        <v>20</v>
      </c>
      <c r="AP340" s="72">
        <v>20</v>
      </c>
      <c r="AQ340" s="72">
        <v>20</v>
      </c>
      <c r="AR340" s="72">
        <v>20</v>
      </c>
      <c r="AS340" s="72">
        <v>20</v>
      </c>
      <c r="AT340" s="72">
        <v>20</v>
      </c>
      <c r="AU340" s="72">
        <v>20</v>
      </c>
      <c r="AV340" s="72">
        <v>20</v>
      </c>
      <c r="AW340" s="72">
        <v>20</v>
      </c>
      <c r="AX340" s="72">
        <v>20</v>
      </c>
      <c r="AY340" s="72">
        <v>20</v>
      </c>
      <c r="AZ340" s="72">
        <v>20</v>
      </c>
      <c r="BA340" s="72">
        <v>20</v>
      </c>
      <c r="BB340" s="72">
        <v>20</v>
      </c>
      <c r="BC340" s="72">
        <v>20</v>
      </c>
      <c r="BD340" s="72">
        <v>20</v>
      </c>
      <c r="BE340" s="72">
        <v>20</v>
      </c>
      <c r="BF340" s="72">
        <v>20</v>
      </c>
      <c r="BG340" s="72">
        <v>20</v>
      </c>
      <c r="BH340" s="72">
        <v>20</v>
      </c>
      <c r="BI340" s="72">
        <v>20</v>
      </c>
      <c r="BJ340" s="72">
        <v>20</v>
      </c>
      <c r="BK340" s="72">
        <v>20</v>
      </c>
      <c r="BL340" s="72">
        <v>20</v>
      </c>
      <c r="BM340" s="72">
        <v>20</v>
      </c>
      <c r="BN340" s="72">
        <v>20</v>
      </c>
      <c r="BO340" s="72">
        <v>20</v>
      </c>
      <c r="BP340" s="72">
        <v>20</v>
      </c>
      <c r="BQ340" s="72">
        <v>20</v>
      </c>
      <c r="BR340" s="72">
        <v>20</v>
      </c>
      <c r="BS340" s="72">
        <v>20</v>
      </c>
      <c r="BT340" s="72">
        <v>20</v>
      </c>
      <c r="BU340" s="72">
        <v>20</v>
      </c>
      <c r="BV340" s="72">
        <v>20</v>
      </c>
      <c r="BW340" s="72">
        <v>20</v>
      </c>
      <c r="BX340" s="72">
        <v>20</v>
      </c>
      <c r="BY340" s="72">
        <v>20</v>
      </c>
      <c r="BZ340" s="72">
        <v>20</v>
      </c>
      <c r="CA340" s="72">
        <v>20</v>
      </c>
      <c r="CB340" s="72">
        <v>20</v>
      </c>
      <c r="CC340" s="72">
        <v>20</v>
      </c>
      <c r="CD340" s="72">
        <v>20</v>
      </c>
      <c r="CE340" s="72">
        <v>20</v>
      </c>
      <c r="CF340" s="72">
        <v>20</v>
      </c>
      <c r="CG340" s="72">
        <v>20</v>
      </c>
      <c r="CH340" s="72">
        <v>20</v>
      </c>
      <c r="CI340" s="72">
        <v>20</v>
      </c>
      <c r="CJ340" s="72">
        <v>20</v>
      </c>
      <c r="CK340" s="72">
        <v>20</v>
      </c>
      <c r="CL340" s="72">
        <v>20</v>
      </c>
      <c r="CM340" s="72">
        <v>20</v>
      </c>
      <c r="CN340" s="72">
        <v>20</v>
      </c>
      <c r="CO340" s="72">
        <v>20</v>
      </c>
      <c r="CP340" s="72">
        <v>20</v>
      </c>
      <c r="CQ340" s="72">
        <v>20</v>
      </c>
      <c r="CR340" s="72">
        <v>20</v>
      </c>
      <c r="CS340" s="72">
        <v>20</v>
      </c>
      <c r="CT340" s="72">
        <v>20</v>
      </c>
      <c r="CU340" s="72">
        <v>20</v>
      </c>
      <c r="CV340" s="72">
        <v>20</v>
      </c>
      <c r="CW340" s="72">
        <v>20</v>
      </c>
      <c r="CX340" s="72">
        <v>20</v>
      </c>
      <c r="CY340" s="72">
        <v>20</v>
      </c>
      <c r="CZ340" s="72">
        <v>20</v>
      </c>
      <c r="DA340" s="72">
        <v>20</v>
      </c>
      <c r="DB340" s="72">
        <v>20</v>
      </c>
      <c r="DC340" s="72">
        <v>20</v>
      </c>
      <c r="DD340" s="72">
        <v>20</v>
      </c>
      <c r="DE340" s="72">
        <v>20</v>
      </c>
      <c r="DF340" s="72">
        <v>20</v>
      </c>
      <c r="DG340" s="72">
        <v>20</v>
      </c>
      <c r="DH340" s="72">
        <v>20</v>
      </c>
      <c r="DI340" s="72">
        <v>20</v>
      </c>
      <c r="DJ340" s="72">
        <v>20</v>
      </c>
      <c r="DK340" s="72">
        <v>20</v>
      </c>
      <c r="DL340" s="72">
        <v>20</v>
      </c>
    </row>
    <row r="341" spans="1:116" x14ac:dyDescent="0.35">
      <c r="A341" s="7"/>
      <c r="B341" s="8" t="s">
        <v>596</v>
      </c>
      <c r="C341" s="78" t="s">
        <v>1355</v>
      </c>
      <c r="D341" s="10" t="s">
        <v>594</v>
      </c>
      <c r="E341" s="21" t="s">
        <v>1221</v>
      </c>
      <c r="F341" s="10">
        <v>1006</v>
      </c>
      <c r="G341" s="10" t="s">
        <v>40</v>
      </c>
      <c r="H341" s="10" t="s">
        <v>41</v>
      </c>
      <c r="I341" s="11">
        <v>1</v>
      </c>
      <c r="J341" s="10"/>
      <c r="K341" s="10" t="s">
        <v>42</v>
      </c>
      <c r="L341" s="8"/>
      <c r="M341" s="12">
        <v>39.15</v>
      </c>
      <c r="N341" s="12">
        <f t="shared" si="7"/>
        <v>0</v>
      </c>
      <c r="O341" s="11">
        <v>1</v>
      </c>
      <c r="P341" s="11">
        <v>1</v>
      </c>
      <c r="Q341" s="11">
        <v>1</v>
      </c>
      <c r="R341" s="11">
        <v>1</v>
      </c>
      <c r="S341" s="11">
        <v>1</v>
      </c>
      <c r="T341" s="11">
        <v>1</v>
      </c>
      <c r="U341" s="11">
        <v>1</v>
      </c>
      <c r="V341" s="11">
        <v>1</v>
      </c>
      <c r="W341" s="11">
        <v>1</v>
      </c>
      <c r="X341" s="11">
        <v>1</v>
      </c>
      <c r="Y341" s="11">
        <v>1</v>
      </c>
      <c r="Z341" s="11">
        <v>1</v>
      </c>
      <c r="AA341" s="11">
        <v>1</v>
      </c>
      <c r="AB341" s="11">
        <v>1</v>
      </c>
      <c r="AC341" s="11">
        <v>1</v>
      </c>
      <c r="AD341" s="11">
        <v>1</v>
      </c>
      <c r="AE341" s="11">
        <v>1</v>
      </c>
      <c r="AF341" s="11">
        <v>1</v>
      </c>
      <c r="AG341" s="11">
        <v>1</v>
      </c>
      <c r="AH341" s="11">
        <v>1</v>
      </c>
      <c r="AI341" s="11">
        <v>1</v>
      </c>
      <c r="AJ341" s="11">
        <v>1</v>
      </c>
      <c r="AK341" s="11">
        <v>1</v>
      </c>
      <c r="AL341" s="11">
        <v>1</v>
      </c>
      <c r="AM341" s="11">
        <v>1</v>
      </c>
      <c r="AN341" s="72">
        <v>1</v>
      </c>
      <c r="AO341" s="72">
        <v>1</v>
      </c>
      <c r="AP341" s="72">
        <v>1</v>
      </c>
      <c r="AQ341" s="72">
        <v>1</v>
      </c>
      <c r="AR341" s="72">
        <v>1</v>
      </c>
      <c r="AS341" s="72">
        <v>1</v>
      </c>
      <c r="AT341" s="72">
        <v>1</v>
      </c>
      <c r="AU341" s="72">
        <v>1</v>
      </c>
      <c r="AV341" s="72">
        <v>1</v>
      </c>
      <c r="AW341" s="72">
        <v>1</v>
      </c>
      <c r="AX341" s="72">
        <v>1</v>
      </c>
      <c r="AY341" s="72">
        <v>1</v>
      </c>
      <c r="AZ341" s="72">
        <v>1</v>
      </c>
      <c r="BA341" s="72">
        <v>1</v>
      </c>
      <c r="BB341" s="72">
        <v>1</v>
      </c>
      <c r="BC341" s="72">
        <v>1</v>
      </c>
      <c r="BD341" s="72">
        <v>1</v>
      </c>
      <c r="BE341" s="72">
        <v>1</v>
      </c>
      <c r="BF341" s="72">
        <v>1</v>
      </c>
      <c r="BG341" s="72">
        <v>1</v>
      </c>
      <c r="BH341" s="72">
        <v>1</v>
      </c>
      <c r="BI341" s="72">
        <v>1</v>
      </c>
      <c r="BJ341" s="72">
        <v>1</v>
      </c>
      <c r="BK341" s="72">
        <v>1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</row>
    <row r="342" spans="1:116" x14ac:dyDescent="0.35">
      <c r="A342" s="7"/>
      <c r="B342" s="77" t="s">
        <v>1266</v>
      </c>
      <c r="C342" s="78" t="s">
        <v>1356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>
        <v>80.739999999999995</v>
      </c>
      <c r="N342" s="12">
        <f t="shared" si="7"/>
        <v>161.47999999999999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>
        <v>2</v>
      </c>
      <c r="AX342" s="72">
        <v>2</v>
      </c>
      <c r="AY342" s="72">
        <v>2</v>
      </c>
      <c r="AZ342" s="72">
        <v>2</v>
      </c>
      <c r="BA342" s="72">
        <v>2</v>
      </c>
      <c r="BB342" s="72">
        <v>2</v>
      </c>
      <c r="BC342" s="72">
        <v>2</v>
      </c>
      <c r="BD342" s="72">
        <v>2</v>
      </c>
      <c r="BE342" s="72">
        <v>2</v>
      </c>
      <c r="BF342" s="72">
        <v>2</v>
      </c>
      <c r="BG342" s="72">
        <v>2</v>
      </c>
      <c r="BH342" s="72">
        <v>2</v>
      </c>
      <c r="BI342" s="72">
        <v>2</v>
      </c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  <c r="DI342" s="72">
        <v>2</v>
      </c>
      <c r="DJ342" s="72">
        <v>2</v>
      </c>
      <c r="DK342" s="72">
        <v>2</v>
      </c>
      <c r="DL342" s="72">
        <v>2</v>
      </c>
    </row>
    <row r="343" spans="1:116" x14ac:dyDescent="0.35">
      <c r="A343" s="7"/>
      <c r="B343" s="77" t="s">
        <v>1350</v>
      </c>
      <c r="C343" s="78" t="s">
        <v>1357</v>
      </c>
      <c r="D343" s="10" t="s">
        <v>594</v>
      </c>
      <c r="E343" s="21" t="s">
        <v>1221</v>
      </c>
      <c r="F343" s="10"/>
      <c r="G343" s="10"/>
      <c r="H343" s="10" t="s">
        <v>41</v>
      </c>
      <c r="I343" s="11"/>
      <c r="J343" s="10"/>
      <c r="K343" s="10"/>
      <c r="L343" s="8"/>
      <c r="M343" s="12"/>
      <c r="N343" s="12">
        <f t="shared" si="7"/>
        <v>0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>
        <v>2</v>
      </c>
      <c r="BK343" s="72">
        <v>2</v>
      </c>
      <c r="BL343" s="72">
        <v>2</v>
      </c>
      <c r="BM343" s="72">
        <v>2</v>
      </c>
      <c r="BN343" s="72">
        <v>2</v>
      </c>
      <c r="BO343" s="72">
        <v>2</v>
      </c>
      <c r="BP343" s="72">
        <v>2</v>
      </c>
      <c r="BQ343" s="72">
        <v>2</v>
      </c>
      <c r="BR343" s="72">
        <v>2</v>
      </c>
      <c r="BS343" s="72">
        <v>2</v>
      </c>
      <c r="BT343" s="72">
        <v>2</v>
      </c>
      <c r="BU343" s="72">
        <v>2</v>
      </c>
      <c r="BV343" s="72">
        <v>2</v>
      </c>
      <c r="BW343" s="72">
        <v>2</v>
      </c>
      <c r="BX343" s="72">
        <v>2</v>
      </c>
      <c r="BY343" s="72">
        <v>2</v>
      </c>
      <c r="BZ343" s="72">
        <v>2</v>
      </c>
      <c r="CA343" s="72">
        <v>2</v>
      </c>
      <c r="CB343" s="72">
        <v>2</v>
      </c>
      <c r="CC343" s="72">
        <v>2</v>
      </c>
      <c r="CD343" s="72">
        <v>2</v>
      </c>
      <c r="CE343" s="72">
        <v>2</v>
      </c>
      <c r="CF343" s="72">
        <v>2</v>
      </c>
      <c r="CG343" s="72">
        <v>2</v>
      </c>
      <c r="CH343" s="72">
        <v>2</v>
      </c>
      <c r="CI343" s="72">
        <v>2</v>
      </c>
      <c r="CJ343" s="72">
        <v>2</v>
      </c>
      <c r="CK343" s="72">
        <v>2</v>
      </c>
      <c r="CL343" s="72">
        <v>2</v>
      </c>
      <c r="CM343" s="72">
        <v>2</v>
      </c>
      <c r="CN343" s="72">
        <v>2</v>
      </c>
      <c r="CO343" s="72">
        <v>2</v>
      </c>
      <c r="CP343" s="72">
        <v>2</v>
      </c>
      <c r="CQ343" s="72">
        <v>2</v>
      </c>
      <c r="CR343" s="72">
        <v>2</v>
      </c>
      <c r="CS343" s="72">
        <v>2</v>
      </c>
      <c r="CT343" s="72">
        <v>2</v>
      </c>
      <c r="CU343" s="72">
        <v>2</v>
      </c>
      <c r="CV343" s="72">
        <v>2</v>
      </c>
      <c r="CW343" s="72">
        <v>2</v>
      </c>
      <c r="CX343" s="72">
        <v>2</v>
      </c>
      <c r="CY343" s="72">
        <v>2</v>
      </c>
      <c r="CZ343" s="72">
        <v>2</v>
      </c>
      <c r="DA343" s="72">
        <v>2</v>
      </c>
      <c r="DB343" s="72">
        <v>2</v>
      </c>
      <c r="DC343" s="72">
        <v>2</v>
      </c>
      <c r="DD343" s="72">
        <v>2</v>
      </c>
      <c r="DE343" s="72">
        <v>2</v>
      </c>
      <c r="DF343" s="72">
        <v>2</v>
      </c>
      <c r="DG343" s="72">
        <v>2</v>
      </c>
      <c r="DH343" s="72">
        <v>2</v>
      </c>
      <c r="DI343" s="72">
        <v>2</v>
      </c>
      <c r="DJ343" s="72">
        <v>2</v>
      </c>
      <c r="DK343" s="72">
        <v>2</v>
      </c>
      <c r="DL343" s="72">
        <v>2</v>
      </c>
    </row>
    <row r="344" spans="1:116" x14ac:dyDescent="0.35">
      <c r="A344" s="7"/>
      <c r="B344" s="21" t="s">
        <v>597</v>
      </c>
      <c r="C344" s="22" t="s">
        <v>598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4</v>
      </c>
      <c r="J344" s="23"/>
      <c r="K344" s="10"/>
      <c r="L344" s="8"/>
      <c r="M344" s="12">
        <v>205</v>
      </c>
      <c r="N344" s="12">
        <f t="shared" si="7"/>
        <v>1230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4</v>
      </c>
      <c r="AF344" s="11">
        <v>4</v>
      </c>
      <c r="AG344" s="11">
        <v>4</v>
      </c>
      <c r="AH344" s="11">
        <v>4</v>
      </c>
      <c r="AI344" s="11">
        <v>4</v>
      </c>
      <c r="AJ344" s="11">
        <v>4</v>
      </c>
      <c r="AK344" s="11">
        <v>4</v>
      </c>
      <c r="AL344" s="11">
        <v>4</v>
      </c>
      <c r="AM344" s="11">
        <v>4</v>
      </c>
      <c r="AN344" s="72">
        <v>4</v>
      </c>
      <c r="AO344" s="72">
        <v>4</v>
      </c>
      <c r="AP344" s="72">
        <v>4</v>
      </c>
      <c r="AQ344" s="72">
        <v>4</v>
      </c>
      <c r="AR344" s="72">
        <v>4</v>
      </c>
      <c r="AS344" s="72">
        <v>4</v>
      </c>
      <c r="AT344" s="72">
        <v>4</v>
      </c>
      <c r="AU344" s="72">
        <v>4</v>
      </c>
      <c r="AV344" s="72">
        <v>4</v>
      </c>
      <c r="AW344" s="72">
        <v>4</v>
      </c>
      <c r="AX344" s="72">
        <v>4</v>
      </c>
      <c r="AY344" s="72">
        <v>4</v>
      </c>
      <c r="AZ344" s="72">
        <v>4</v>
      </c>
      <c r="BA344" s="72">
        <v>4</v>
      </c>
      <c r="BB344" s="72">
        <v>4</v>
      </c>
      <c r="BC344" s="72">
        <v>4</v>
      </c>
      <c r="BD344" s="72">
        <v>4</v>
      </c>
      <c r="BE344" s="72">
        <v>4</v>
      </c>
      <c r="BF344" s="72">
        <v>4</v>
      </c>
      <c r="BG344" s="72">
        <v>4</v>
      </c>
      <c r="BH344" s="72">
        <v>4</v>
      </c>
      <c r="BI344" s="72">
        <v>4</v>
      </c>
      <c r="BJ344" s="72">
        <v>6</v>
      </c>
      <c r="BK344" s="72">
        <v>6</v>
      </c>
      <c r="BL344" s="72">
        <v>6</v>
      </c>
      <c r="BM344" s="72">
        <v>6</v>
      </c>
      <c r="BN344" s="72">
        <v>6</v>
      </c>
      <c r="BO344" s="72">
        <v>6</v>
      </c>
      <c r="BP344" s="72">
        <v>6</v>
      </c>
      <c r="BQ344" s="72">
        <v>6</v>
      </c>
      <c r="BR344" s="72">
        <v>6</v>
      </c>
      <c r="BS344" s="72">
        <v>6</v>
      </c>
      <c r="BT344" s="72">
        <v>6</v>
      </c>
      <c r="BU344" s="72">
        <v>6</v>
      </c>
      <c r="BV344" s="72">
        <v>6</v>
      </c>
      <c r="BW344" s="72">
        <v>6</v>
      </c>
      <c r="BX344" s="72">
        <v>6</v>
      </c>
      <c r="BY344" s="72">
        <v>6</v>
      </c>
      <c r="BZ344" s="72">
        <v>6</v>
      </c>
      <c r="CA344" s="72">
        <v>6</v>
      </c>
      <c r="CB344" s="72">
        <v>6</v>
      </c>
      <c r="CC344" s="72">
        <v>6</v>
      </c>
      <c r="CD344" s="72">
        <v>6</v>
      </c>
      <c r="CE344" s="72">
        <v>6</v>
      </c>
      <c r="CF344" s="72">
        <v>6</v>
      </c>
      <c r="CG344" s="72">
        <v>6</v>
      </c>
      <c r="CH344" s="72">
        <v>6</v>
      </c>
      <c r="CI344" s="72">
        <v>6</v>
      </c>
      <c r="CJ344" s="72">
        <v>6</v>
      </c>
      <c r="CK344" s="72">
        <v>6</v>
      </c>
      <c r="CL344" s="72">
        <v>6</v>
      </c>
      <c r="CM344" s="72">
        <v>6</v>
      </c>
      <c r="CN344" s="72">
        <v>6</v>
      </c>
      <c r="CO344" s="72">
        <v>6</v>
      </c>
      <c r="CP344" s="72">
        <v>6</v>
      </c>
      <c r="CQ344" s="72">
        <v>6</v>
      </c>
      <c r="CR344" s="72">
        <v>6</v>
      </c>
      <c r="CS344" s="72">
        <v>6</v>
      </c>
      <c r="CT344" s="72">
        <v>6</v>
      </c>
      <c r="CU344" s="72">
        <v>6</v>
      </c>
      <c r="CV344" s="72">
        <v>6</v>
      </c>
      <c r="CW344" s="72">
        <v>6</v>
      </c>
      <c r="CX344" s="72">
        <v>6</v>
      </c>
      <c r="CY344" s="72">
        <v>6</v>
      </c>
      <c r="CZ344" s="72">
        <v>6</v>
      </c>
      <c r="DA344" s="72">
        <v>6</v>
      </c>
      <c r="DB344" s="72">
        <v>6</v>
      </c>
      <c r="DC344" s="72">
        <v>6</v>
      </c>
      <c r="DD344" s="72">
        <v>6</v>
      </c>
      <c r="DE344" s="72">
        <v>6</v>
      </c>
      <c r="DF344" s="72">
        <v>6</v>
      </c>
      <c r="DG344" s="72">
        <v>6</v>
      </c>
      <c r="DH344" s="72">
        <v>6</v>
      </c>
      <c r="DI344" s="72">
        <v>6</v>
      </c>
      <c r="DJ344" s="72">
        <v>6</v>
      </c>
      <c r="DK344" s="72">
        <v>6</v>
      </c>
      <c r="DL344" s="72">
        <v>6</v>
      </c>
    </row>
    <row r="345" spans="1:116" x14ac:dyDescent="0.35">
      <c r="A345" s="7"/>
      <c r="B345" s="21" t="s">
        <v>599</v>
      </c>
      <c r="C345" s="95" t="s">
        <v>1347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6</v>
      </c>
      <c r="J345" s="23"/>
      <c r="K345" s="10"/>
      <c r="L345" s="8"/>
      <c r="M345" s="12"/>
      <c r="N345" s="12">
        <f t="shared" si="7"/>
        <v>0</v>
      </c>
      <c r="O345" s="11">
        <v>6</v>
      </c>
      <c r="P345" s="11">
        <v>6</v>
      </c>
      <c r="Q345" s="11">
        <v>6</v>
      </c>
      <c r="R345" s="11">
        <v>6</v>
      </c>
      <c r="S345" s="11">
        <v>6</v>
      </c>
      <c r="T345" s="11">
        <v>6</v>
      </c>
      <c r="U345" s="11">
        <v>6</v>
      </c>
      <c r="V345" s="11">
        <v>6</v>
      </c>
      <c r="W345" s="11">
        <v>6</v>
      </c>
      <c r="X345" s="11">
        <v>6</v>
      </c>
      <c r="Y345" s="11">
        <v>6</v>
      </c>
      <c r="Z345" s="11">
        <v>6</v>
      </c>
      <c r="AA345" s="11">
        <v>6</v>
      </c>
      <c r="AB345" s="11">
        <v>6</v>
      </c>
      <c r="AC345" s="11">
        <v>6</v>
      </c>
      <c r="AD345" s="11">
        <v>6</v>
      </c>
      <c r="AE345" s="11">
        <v>6</v>
      </c>
      <c r="AF345" s="11">
        <v>6</v>
      </c>
      <c r="AG345" s="11">
        <v>6</v>
      </c>
      <c r="AH345" s="11">
        <v>6</v>
      </c>
      <c r="AI345" s="11">
        <v>6</v>
      </c>
      <c r="AJ345" s="11">
        <v>6</v>
      </c>
      <c r="AK345" s="11">
        <v>6</v>
      </c>
      <c r="AL345" s="11">
        <v>6</v>
      </c>
      <c r="AM345" s="11">
        <v>6</v>
      </c>
      <c r="AN345" s="72">
        <v>6</v>
      </c>
      <c r="AO345" s="72">
        <v>6</v>
      </c>
      <c r="AP345" s="72">
        <v>6</v>
      </c>
      <c r="AQ345" s="72">
        <v>6</v>
      </c>
      <c r="AR345" s="72">
        <v>6</v>
      </c>
      <c r="AS345" s="72">
        <v>6</v>
      </c>
      <c r="AT345" s="72">
        <v>6</v>
      </c>
      <c r="AU345" s="72">
        <v>6</v>
      </c>
      <c r="AV345" s="72">
        <v>6</v>
      </c>
      <c r="AW345" s="72">
        <v>6</v>
      </c>
      <c r="AX345" s="72">
        <v>6</v>
      </c>
      <c r="AY345" s="72">
        <v>6</v>
      </c>
      <c r="AZ345" s="72">
        <v>6</v>
      </c>
      <c r="BA345" s="72">
        <v>6</v>
      </c>
      <c r="BB345" s="72">
        <v>6</v>
      </c>
      <c r="BC345" s="72">
        <v>6</v>
      </c>
      <c r="BD345" s="72">
        <v>6</v>
      </c>
      <c r="BE345" s="72">
        <v>6</v>
      </c>
      <c r="BF345" s="72">
        <v>6</v>
      </c>
      <c r="BG345" s="72">
        <v>6</v>
      </c>
      <c r="BH345" s="72">
        <v>6</v>
      </c>
      <c r="BI345" s="72">
        <v>6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2</v>
      </c>
      <c r="BU345" s="72">
        <v>2</v>
      </c>
      <c r="BV345" s="72">
        <v>2</v>
      </c>
      <c r="BW345" s="72">
        <v>2</v>
      </c>
      <c r="BX345" s="72">
        <v>2</v>
      </c>
      <c r="BY345" s="72">
        <v>2</v>
      </c>
      <c r="BZ345" s="72">
        <v>2</v>
      </c>
      <c r="CA345" s="72">
        <v>2</v>
      </c>
      <c r="CB345" s="72">
        <v>2</v>
      </c>
      <c r="CC345" s="72">
        <v>2</v>
      </c>
      <c r="CD345" s="72">
        <v>2</v>
      </c>
      <c r="CE345" s="72">
        <v>2</v>
      </c>
      <c r="CF345" s="72">
        <v>2</v>
      </c>
      <c r="CG345" s="72">
        <v>2</v>
      </c>
      <c r="CH345" s="72">
        <v>2</v>
      </c>
      <c r="CI345" s="72">
        <v>2</v>
      </c>
      <c r="CJ345" s="72">
        <v>2</v>
      </c>
      <c r="CK345" s="72">
        <v>2</v>
      </c>
      <c r="CL345" s="72">
        <v>2</v>
      </c>
      <c r="CM345" s="72">
        <v>2</v>
      </c>
      <c r="CN345" s="72">
        <v>2</v>
      </c>
      <c r="CO345" s="72">
        <v>2</v>
      </c>
      <c r="CP345" s="72">
        <v>2</v>
      </c>
      <c r="CQ345" s="72">
        <v>2</v>
      </c>
      <c r="CR345" s="72">
        <v>2</v>
      </c>
      <c r="CS345" s="72">
        <v>2</v>
      </c>
      <c r="CT345" s="72">
        <v>2</v>
      </c>
      <c r="CU345" s="72">
        <v>2</v>
      </c>
      <c r="CV345" s="72">
        <v>2</v>
      </c>
      <c r="CW345" s="72">
        <v>2</v>
      </c>
      <c r="CX345" s="72">
        <v>2</v>
      </c>
      <c r="CY345" s="72">
        <v>2</v>
      </c>
      <c r="CZ345" s="72">
        <v>2</v>
      </c>
      <c r="DA345" s="72">
        <v>2</v>
      </c>
      <c r="DB345" s="72">
        <v>2</v>
      </c>
      <c r="DC345" s="72">
        <v>2</v>
      </c>
      <c r="DD345" s="72">
        <v>2</v>
      </c>
      <c r="DE345" s="72">
        <v>2</v>
      </c>
      <c r="DF345" s="72">
        <v>2</v>
      </c>
      <c r="DG345" s="72">
        <v>2</v>
      </c>
      <c r="DH345" s="72">
        <v>2</v>
      </c>
      <c r="DI345" s="72">
        <v>2</v>
      </c>
      <c r="DJ345" s="72">
        <v>2</v>
      </c>
      <c r="DK345" s="72">
        <v>2</v>
      </c>
      <c r="DL345" s="72">
        <v>2</v>
      </c>
    </row>
    <row r="346" spans="1:116" x14ac:dyDescent="0.35">
      <c r="A346" s="7"/>
      <c r="B346" s="21" t="s">
        <v>600</v>
      </c>
      <c r="C346" s="22" t="s">
        <v>601</v>
      </c>
      <c r="D346" s="10" t="s">
        <v>594</v>
      </c>
      <c r="E346" s="8" t="s">
        <v>1205</v>
      </c>
      <c r="F346" s="23">
        <v>1006</v>
      </c>
      <c r="G346" s="10" t="s">
        <v>40</v>
      </c>
      <c r="H346" s="10" t="s">
        <v>41</v>
      </c>
      <c r="I346" s="11">
        <v>1</v>
      </c>
      <c r="J346" s="23"/>
      <c r="K346" s="10" t="s">
        <v>53</v>
      </c>
      <c r="L346" s="8" t="s">
        <v>602</v>
      </c>
      <c r="M346" s="12">
        <v>205</v>
      </c>
      <c r="N346" s="12">
        <f t="shared" si="7"/>
        <v>0</v>
      </c>
      <c r="O346" s="11"/>
      <c r="P346" s="11"/>
      <c r="Q346" s="11">
        <v>4</v>
      </c>
      <c r="R346" s="11">
        <v>4</v>
      </c>
      <c r="S346" s="11">
        <v>4</v>
      </c>
      <c r="T346" s="11">
        <v>4</v>
      </c>
      <c r="U346" s="11">
        <v>4</v>
      </c>
      <c r="V346" s="11">
        <v>4</v>
      </c>
      <c r="W346" s="11">
        <v>4</v>
      </c>
      <c r="X346" s="11">
        <v>4</v>
      </c>
      <c r="Y346" s="11">
        <v>4</v>
      </c>
      <c r="Z346" s="11">
        <v>4</v>
      </c>
      <c r="AA346" s="11">
        <v>4</v>
      </c>
      <c r="AB346" s="11">
        <v>4</v>
      </c>
      <c r="AC346" s="11">
        <v>4</v>
      </c>
      <c r="AD346" s="11">
        <v>4</v>
      </c>
      <c r="AE346" s="11">
        <v>5</v>
      </c>
      <c r="AF346" s="11">
        <v>5</v>
      </c>
      <c r="AG346" s="11">
        <v>5</v>
      </c>
      <c r="AH346" s="11">
        <v>1</v>
      </c>
      <c r="AI346" s="11">
        <v>1</v>
      </c>
      <c r="AJ346" s="11">
        <v>1</v>
      </c>
      <c r="AK346" s="11">
        <v>1</v>
      </c>
      <c r="AL346" s="11">
        <v>1</v>
      </c>
      <c r="AM346" s="11">
        <v>1</v>
      </c>
      <c r="AN346" s="72">
        <v>1</v>
      </c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0</v>
      </c>
      <c r="DJ346" s="72">
        <v>0</v>
      </c>
      <c r="DK346" s="72">
        <v>0</v>
      </c>
      <c r="DL346" s="72">
        <v>0</v>
      </c>
    </row>
    <row r="347" spans="1:116" x14ac:dyDescent="0.35">
      <c r="A347" s="7"/>
      <c r="B347" s="79" t="s">
        <v>1169</v>
      </c>
      <c r="C347" s="22" t="s">
        <v>1178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/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2</v>
      </c>
      <c r="AP347" s="72">
        <v>2</v>
      </c>
      <c r="AQ347" s="72">
        <v>2</v>
      </c>
      <c r="AR347" s="72">
        <v>2</v>
      </c>
      <c r="AS347" s="72">
        <v>2</v>
      </c>
      <c r="AT347" s="72">
        <v>2</v>
      </c>
      <c r="AU347" s="72">
        <v>2</v>
      </c>
      <c r="AV347" s="72">
        <v>2</v>
      </c>
      <c r="AW347" s="72">
        <v>2</v>
      </c>
      <c r="AX347" s="72">
        <v>2</v>
      </c>
      <c r="AY347" s="72">
        <v>2</v>
      </c>
      <c r="AZ347" s="72">
        <v>2</v>
      </c>
      <c r="BA347" s="72">
        <v>2</v>
      </c>
      <c r="BB347" s="72">
        <v>2</v>
      </c>
      <c r="BC347" s="72">
        <v>2</v>
      </c>
      <c r="BD347" s="72">
        <v>2</v>
      </c>
      <c r="BE347" s="72">
        <v>2</v>
      </c>
      <c r="BF347" s="72">
        <v>2</v>
      </c>
      <c r="BG347" s="72">
        <v>2</v>
      </c>
      <c r="BH347" s="72">
        <v>2</v>
      </c>
      <c r="BI347" s="72">
        <v>2</v>
      </c>
      <c r="BJ347" s="72">
        <v>2</v>
      </c>
      <c r="BK347" s="72">
        <v>2</v>
      </c>
      <c r="BL347" s="72">
        <v>2</v>
      </c>
      <c r="BM347" s="72">
        <v>2</v>
      </c>
      <c r="BN347" s="72">
        <v>2</v>
      </c>
      <c r="BO347" s="72">
        <v>2</v>
      </c>
      <c r="BP347" s="72">
        <v>2</v>
      </c>
      <c r="BQ347" s="72">
        <v>2</v>
      </c>
      <c r="BR347" s="72">
        <v>2</v>
      </c>
      <c r="BS347" s="72">
        <v>2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</row>
    <row r="348" spans="1:116" x14ac:dyDescent="0.35">
      <c r="A348" s="7"/>
      <c r="B348" s="79" t="s">
        <v>1170</v>
      </c>
      <c r="C348" s="22" t="s">
        <v>1179</v>
      </c>
      <c r="D348" s="10" t="s">
        <v>594</v>
      </c>
      <c r="E348" s="8" t="s">
        <v>1205</v>
      </c>
      <c r="F348" s="23"/>
      <c r="G348" s="10" t="s">
        <v>40</v>
      </c>
      <c r="H348" s="10" t="s">
        <v>41</v>
      </c>
      <c r="I348" s="11"/>
      <c r="J348" s="23"/>
      <c r="K348" s="10"/>
      <c r="L348" s="8"/>
      <c r="M348" s="12">
        <v>122.16</v>
      </c>
      <c r="N348" s="12">
        <f t="shared" si="7"/>
        <v>244.32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>
        <v>5</v>
      </c>
      <c r="AP348" s="72">
        <v>5</v>
      </c>
      <c r="AQ348" s="72">
        <v>5</v>
      </c>
      <c r="AR348" s="72">
        <v>5</v>
      </c>
      <c r="AS348" s="72">
        <v>5</v>
      </c>
      <c r="AT348" s="72">
        <v>5</v>
      </c>
      <c r="AU348" s="72">
        <v>5</v>
      </c>
      <c r="AV348" s="72">
        <v>5</v>
      </c>
      <c r="AW348" s="72">
        <v>5</v>
      </c>
      <c r="AX348" s="72">
        <v>5</v>
      </c>
      <c r="AY348" s="72">
        <v>5</v>
      </c>
      <c r="AZ348" s="72">
        <v>5</v>
      </c>
      <c r="BA348" s="72">
        <v>5</v>
      </c>
      <c r="BB348" s="72">
        <v>5</v>
      </c>
      <c r="BC348" s="72">
        <v>5</v>
      </c>
      <c r="BD348" s="72">
        <v>5</v>
      </c>
      <c r="BE348" s="72">
        <v>5</v>
      </c>
      <c r="BF348" s="72">
        <v>5</v>
      </c>
      <c r="BG348" s="72">
        <v>5</v>
      </c>
      <c r="BH348" s="72">
        <v>5</v>
      </c>
      <c r="BI348" s="72">
        <v>5</v>
      </c>
      <c r="BJ348" s="72">
        <v>5</v>
      </c>
      <c r="BK348" s="72">
        <v>5</v>
      </c>
      <c r="BL348" s="72">
        <v>5</v>
      </c>
      <c r="BM348" s="72">
        <v>5</v>
      </c>
      <c r="BN348" s="72">
        <v>5</v>
      </c>
      <c r="BO348" s="72">
        <v>5</v>
      </c>
      <c r="BP348" s="72">
        <v>5</v>
      </c>
      <c r="BQ348" s="72">
        <v>5</v>
      </c>
      <c r="BR348" s="72">
        <v>5</v>
      </c>
      <c r="BS348" s="72">
        <v>5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</row>
    <row r="349" spans="1:116" x14ac:dyDescent="0.35">
      <c r="A349" s="7"/>
      <c r="B349" s="79" t="s">
        <v>1351</v>
      </c>
      <c r="C349" s="96" t="s">
        <v>1358</v>
      </c>
      <c r="D349" s="10" t="s">
        <v>594</v>
      </c>
      <c r="E349" s="8" t="s">
        <v>1205</v>
      </c>
      <c r="F349" s="23"/>
      <c r="G349" s="10"/>
      <c r="H349" s="10" t="s">
        <v>41</v>
      </c>
      <c r="I349" s="11"/>
      <c r="J349" s="23"/>
      <c r="K349" s="10"/>
      <c r="L349" s="8"/>
      <c r="M349" s="12"/>
      <c r="N349" s="12">
        <f t="shared" si="7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>
        <v>7</v>
      </c>
      <c r="BK349" s="72">
        <v>7</v>
      </c>
      <c r="BL349" s="72">
        <v>7</v>
      </c>
      <c r="BM349" s="72">
        <v>7</v>
      </c>
      <c r="BN349" s="72">
        <v>7</v>
      </c>
      <c r="BO349" s="72">
        <v>7</v>
      </c>
      <c r="BP349" s="72">
        <v>7</v>
      </c>
      <c r="BQ349" s="72">
        <v>7</v>
      </c>
      <c r="BR349" s="72">
        <v>7</v>
      </c>
      <c r="BS349" s="72">
        <v>7</v>
      </c>
      <c r="BT349" s="72">
        <v>7</v>
      </c>
      <c r="BU349" s="72">
        <v>7</v>
      </c>
      <c r="BV349" s="72">
        <v>7</v>
      </c>
      <c r="BW349" s="72">
        <v>7</v>
      </c>
      <c r="BX349" s="72">
        <v>7</v>
      </c>
      <c r="BY349" s="72">
        <v>7</v>
      </c>
      <c r="BZ349" s="72">
        <v>7</v>
      </c>
      <c r="CA349" s="72">
        <v>7</v>
      </c>
      <c r="CB349" s="72">
        <v>7</v>
      </c>
      <c r="CC349" s="72">
        <v>7</v>
      </c>
      <c r="CD349" s="72">
        <v>7</v>
      </c>
      <c r="CE349" s="72">
        <v>7</v>
      </c>
      <c r="CF349" s="72">
        <v>7</v>
      </c>
      <c r="CG349" s="72">
        <v>7</v>
      </c>
      <c r="CH349" s="72">
        <v>7</v>
      </c>
      <c r="CI349" s="72">
        <v>7</v>
      </c>
      <c r="CJ349" s="72">
        <v>7</v>
      </c>
      <c r="CK349" s="72">
        <v>7</v>
      </c>
      <c r="CL349" s="72">
        <v>7</v>
      </c>
      <c r="CM349" s="72">
        <v>7</v>
      </c>
      <c r="CN349" s="72">
        <v>7</v>
      </c>
      <c r="CO349" s="72">
        <v>7</v>
      </c>
      <c r="CP349" s="72">
        <v>7</v>
      </c>
      <c r="CQ349" s="72">
        <v>7</v>
      </c>
      <c r="CR349" s="72">
        <v>7</v>
      </c>
      <c r="CS349" s="72">
        <v>7</v>
      </c>
      <c r="CT349" s="72">
        <v>7</v>
      </c>
      <c r="CU349" s="72">
        <v>7</v>
      </c>
      <c r="CV349" s="72">
        <v>7</v>
      </c>
      <c r="CW349" s="72">
        <v>7</v>
      </c>
      <c r="CX349" s="72">
        <v>7</v>
      </c>
      <c r="CY349" s="72">
        <v>7</v>
      </c>
      <c r="CZ349" s="72">
        <v>7</v>
      </c>
      <c r="DA349" s="72">
        <v>7</v>
      </c>
      <c r="DB349" s="72">
        <v>7</v>
      </c>
      <c r="DC349" s="72">
        <v>7</v>
      </c>
      <c r="DD349" s="72">
        <v>7</v>
      </c>
      <c r="DE349" s="72">
        <v>7</v>
      </c>
      <c r="DF349" s="72">
        <v>7</v>
      </c>
      <c r="DG349" s="72">
        <v>7</v>
      </c>
      <c r="DH349" s="72">
        <v>7</v>
      </c>
      <c r="DI349" s="72">
        <v>7</v>
      </c>
      <c r="DJ349" s="72">
        <v>7</v>
      </c>
      <c r="DK349" s="72">
        <v>7</v>
      </c>
      <c r="DL349" s="72">
        <v>7</v>
      </c>
    </row>
    <row r="350" spans="1:116" x14ac:dyDescent="0.35">
      <c r="A350" s="7"/>
      <c r="B350" s="8" t="s">
        <v>603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/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/>
      <c r="U350" s="11"/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/>
      <c r="AB350" s="11"/>
      <c r="AC350" s="11"/>
      <c r="AD350" s="11"/>
      <c r="AE350" s="11"/>
      <c r="AF350" s="11"/>
      <c r="AG350" s="11"/>
      <c r="AH350" s="11"/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0</v>
      </c>
      <c r="AV350" s="72">
        <v>0</v>
      </c>
      <c r="AW350" s="72">
        <v>0</v>
      </c>
      <c r="AX350" s="72">
        <v>0</v>
      </c>
      <c r="AY350" s="72">
        <v>0</v>
      </c>
      <c r="AZ350" s="72">
        <v>0</v>
      </c>
      <c r="BA350" s="72">
        <v>0</v>
      </c>
      <c r="BB350" s="72">
        <v>0</v>
      </c>
      <c r="BC350" s="72">
        <v>0</v>
      </c>
      <c r="BD350" s="72">
        <v>0</v>
      </c>
      <c r="BE350" s="72">
        <v>0</v>
      </c>
      <c r="BF350" s="72">
        <v>0</v>
      </c>
      <c r="BG350" s="72">
        <v>0</v>
      </c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</row>
    <row r="351" spans="1:116" x14ac:dyDescent="0.35">
      <c r="A351" s="7"/>
      <c r="B351" s="77" t="s">
        <v>1500</v>
      </c>
      <c r="C351" s="9" t="s">
        <v>604</v>
      </c>
      <c r="D351" s="10" t="s">
        <v>594</v>
      </c>
      <c r="E351" s="8" t="s">
        <v>1060</v>
      </c>
      <c r="F351" s="10">
        <v>1002</v>
      </c>
      <c r="G351" s="10" t="s">
        <v>40</v>
      </c>
      <c r="H351" s="10" t="s">
        <v>41</v>
      </c>
      <c r="I351" s="11"/>
      <c r="J351" s="10"/>
      <c r="K351" s="10"/>
      <c r="L351" s="8"/>
      <c r="M351" s="12">
        <v>5680.5839999999998</v>
      </c>
      <c r="N351" s="12">
        <f t="shared" si="7"/>
        <v>0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>
        <v>1</v>
      </c>
      <c r="CS351" s="72">
        <v>0</v>
      </c>
      <c r="CT351" s="72">
        <v>0</v>
      </c>
      <c r="CU351" s="72">
        <v>0</v>
      </c>
      <c r="CV351" s="72">
        <v>0</v>
      </c>
      <c r="CW351" s="72">
        <v>0</v>
      </c>
      <c r="CX351" s="72">
        <v>0</v>
      </c>
      <c r="CY351" s="72">
        <v>0</v>
      </c>
      <c r="CZ351" s="72">
        <v>0</v>
      </c>
      <c r="DA351" s="72">
        <v>0</v>
      </c>
      <c r="DB351" s="72">
        <v>0</v>
      </c>
      <c r="DC351" s="72">
        <v>0</v>
      </c>
      <c r="DD351" s="72">
        <v>0</v>
      </c>
      <c r="DE351" s="72">
        <v>0</v>
      </c>
      <c r="DF351" s="72">
        <v>0</v>
      </c>
      <c r="DG351" s="72">
        <v>0</v>
      </c>
      <c r="DH351" s="72">
        <v>0</v>
      </c>
      <c r="DI351" s="72">
        <v>0</v>
      </c>
      <c r="DJ351" s="72">
        <v>0</v>
      </c>
      <c r="DK351" s="72">
        <v>0</v>
      </c>
      <c r="DL351" s="72">
        <v>0</v>
      </c>
    </row>
    <row r="352" spans="1:116" x14ac:dyDescent="0.35">
      <c r="A352" s="7"/>
      <c r="B352" s="8" t="s">
        <v>1267</v>
      </c>
      <c r="C352" s="9" t="s">
        <v>1276</v>
      </c>
      <c r="D352" s="10" t="s">
        <v>594</v>
      </c>
      <c r="E352" s="8" t="s">
        <v>1206</v>
      </c>
      <c r="F352" s="10"/>
      <c r="G352" s="10"/>
      <c r="H352" s="10" t="s">
        <v>41</v>
      </c>
      <c r="I352" s="11"/>
      <c r="J352" s="10"/>
      <c r="K352" s="10"/>
      <c r="L352" s="8"/>
      <c r="M352" s="12">
        <v>190.36</v>
      </c>
      <c r="N352" s="12">
        <f t="shared" si="7"/>
        <v>17893.84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>
        <v>204</v>
      </c>
      <c r="AX352" s="72">
        <v>204</v>
      </c>
      <c r="AY352" s="72">
        <v>204</v>
      </c>
      <c r="AZ352" s="72">
        <v>203</v>
      </c>
      <c r="BA352" s="72">
        <v>203</v>
      </c>
      <c r="BB352" s="72">
        <v>204</v>
      </c>
      <c r="BC352" s="72">
        <v>204</v>
      </c>
      <c r="BD352" s="72">
        <v>204</v>
      </c>
      <c r="BE352" s="72">
        <v>204</v>
      </c>
      <c r="BF352" s="72">
        <v>184</v>
      </c>
      <c r="BG352" s="72">
        <v>184</v>
      </c>
      <c r="BH352" s="72">
        <v>184</v>
      </c>
      <c r="BI352" s="72">
        <v>184</v>
      </c>
      <c r="BJ352" s="72">
        <v>184</v>
      </c>
      <c r="BK352" s="72">
        <v>184</v>
      </c>
      <c r="BL352" s="72">
        <v>184</v>
      </c>
      <c r="BM352" s="72">
        <v>184</v>
      </c>
      <c r="BN352" s="72">
        <v>163</v>
      </c>
      <c r="BO352" s="72">
        <v>163</v>
      </c>
      <c r="BP352" s="72">
        <v>162</v>
      </c>
      <c r="BQ352" s="72">
        <v>162</v>
      </c>
      <c r="BR352" s="72">
        <v>161</v>
      </c>
      <c r="BS352" s="72">
        <v>161</v>
      </c>
      <c r="BT352" s="72">
        <v>161</v>
      </c>
      <c r="BU352" s="72">
        <v>161</v>
      </c>
      <c r="BV352" s="72">
        <v>161</v>
      </c>
      <c r="BW352" s="72">
        <v>161</v>
      </c>
      <c r="BX352" s="72">
        <v>161</v>
      </c>
      <c r="BY352" s="72">
        <v>161</v>
      </c>
      <c r="BZ352" s="72">
        <v>161</v>
      </c>
      <c r="CA352" s="72">
        <v>161</v>
      </c>
      <c r="CB352" s="72">
        <v>161</v>
      </c>
      <c r="CC352" s="72">
        <v>161</v>
      </c>
      <c r="CD352" s="72">
        <v>161</v>
      </c>
      <c r="CE352" s="72">
        <v>161</v>
      </c>
      <c r="CF352" s="72">
        <v>161</v>
      </c>
      <c r="CG352" s="72">
        <v>161</v>
      </c>
      <c r="CH352" s="72">
        <v>161</v>
      </c>
      <c r="CI352" s="72">
        <v>161</v>
      </c>
      <c r="CJ352" s="72">
        <v>161</v>
      </c>
      <c r="CK352" s="72">
        <v>161</v>
      </c>
      <c r="CL352" s="72">
        <v>161</v>
      </c>
      <c r="CM352" s="72">
        <v>161</v>
      </c>
      <c r="CN352" s="72">
        <v>161</v>
      </c>
      <c r="CO352" s="72">
        <v>160</v>
      </c>
      <c r="CP352" s="72">
        <v>160</v>
      </c>
      <c r="CQ352" s="72">
        <v>160</v>
      </c>
      <c r="CR352" s="72">
        <v>150</v>
      </c>
      <c r="CS352" s="72">
        <v>145</v>
      </c>
      <c r="CT352" s="72">
        <v>145</v>
      </c>
      <c r="CU352" s="72">
        <v>109</v>
      </c>
      <c r="CV352" s="72">
        <v>109</v>
      </c>
      <c r="CW352" s="72">
        <v>109</v>
      </c>
      <c r="CX352" s="72">
        <v>109</v>
      </c>
      <c r="CY352" s="72">
        <v>109</v>
      </c>
      <c r="CZ352" s="72">
        <v>109</v>
      </c>
      <c r="DA352" s="72">
        <v>109</v>
      </c>
      <c r="DB352" s="72">
        <v>109</v>
      </c>
      <c r="DC352" s="72">
        <v>109</v>
      </c>
      <c r="DD352" s="72">
        <v>109</v>
      </c>
      <c r="DE352" s="72">
        <v>109</v>
      </c>
      <c r="DF352" s="72">
        <v>104</v>
      </c>
      <c r="DG352" s="72">
        <v>104</v>
      </c>
      <c r="DH352" s="72">
        <v>94</v>
      </c>
      <c r="DI352" s="72">
        <v>94</v>
      </c>
      <c r="DJ352" s="72">
        <v>94</v>
      </c>
      <c r="DK352" s="72">
        <v>94</v>
      </c>
      <c r="DL352" s="72">
        <v>94</v>
      </c>
    </row>
    <row r="353" spans="1:116" x14ac:dyDescent="0.35">
      <c r="A353" s="7"/>
      <c r="B353" s="8" t="s">
        <v>605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>
        <v>47</v>
      </c>
      <c r="J353" s="10"/>
      <c r="K353" s="10"/>
      <c r="L353" s="8"/>
      <c r="M353" s="12">
        <v>324.52999999999997</v>
      </c>
      <c r="N353" s="12">
        <f t="shared" si="7"/>
        <v>324.52999999999997</v>
      </c>
      <c r="O353" s="11">
        <v>259</v>
      </c>
      <c r="P353" s="11">
        <v>259</v>
      </c>
      <c r="Q353" s="11">
        <v>259</v>
      </c>
      <c r="R353" s="11">
        <v>259</v>
      </c>
      <c r="S353" s="11">
        <v>259</v>
      </c>
      <c r="T353" s="11">
        <v>259</v>
      </c>
      <c r="U353" s="11">
        <v>52</v>
      </c>
      <c r="V353" s="11">
        <v>52</v>
      </c>
      <c r="W353" s="11">
        <v>52</v>
      </c>
      <c r="X353" s="11">
        <v>52</v>
      </c>
      <c r="Y353" s="11">
        <v>52</v>
      </c>
      <c r="Z353" s="11">
        <v>47</v>
      </c>
      <c r="AA353" s="11">
        <v>47</v>
      </c>
      <c r="AB353" s="11">
        <v>47</v>
      </c>
      <c r="AC353" s="11">
        <v>47</v>
      </c>
      <c r="AD353" s="11">
        <v>47</v>
      </c>
      <c r="AE353" s="11">
        <v>47</v>
      </c>
      <c r="AF353" s="11">
        <v>46</v>
      </c>
      <c r="AG353" s="11">
        <v>47</v>
      </c>
      <c r="AH353" s="11">
        <v>47</v>
      </c>
      <c r="AI353" s="11">
        <v>47</v>
      </c>
      <c r="AJ353" s="11">
        <v>47</v>
      </c>
      <c r="AK353" s="11">
        <v>47</v>
      </c>
      <c r="AL353" s="11">
        <v>47</v>
      </c>
      <c r="AM353" s="11">
        <v>47</v>
      </c>
      <c r="AN353" s="72">
        <v>46</v>
      </c>
      <c r="AO353" s="72">
        <v>47</v>
      </c>
      <c r="AP353" s="72">
        <v>47</v>
      </c>
      <c r="AQ353" s="72">
        <v>47</v>
      </c>
      <c r="AR353" s="72">
        <v>47</v>
      </c>
      <c r="AS353" s="72">
        <v>46</v>
      </c>
      <c r="AT353" s="72">
        <v>46</v>
      </c>
      <c r="AU353" s="72">
        <v>5</v>
      </c>
      <c r="AV353" s="72">
        <v>5</v>
      </c>
      <c r="AW353" s="72">
        <v>5</v>
      </c>
      <c r="AX353" s="72">
        <v>5</v>
      </c>
      <c r="AY353" s="72">
        <v>5</v>
      </c>
      <c r="AZ353" s="72">
        <v>5</v>
      </c>
      <c r="BA353" s="72">
        <v>5</v>
      </c>
      <c r="BB353" s="72">
        <v>5</v>
      </c>
      <c r="BC353" s="72">
        <v>5</v>
      </c>
      <c r="BD353" s="72">
        <v>5</v>
      </c>
      <c r="BE353" s="72">
        <v>5</v>
      </c>
      <c r="BF353" s="72">
        <v>5</v>
      </c>
      <c r="BG353" s="72">
        <v>5</v>
      </c>
      <c r="BH353" s="72">
        <v>5</v>
      </c>
      <c r="BI353" s="72">
        <v>5</v>
      </c>
      <c r="BJ353" s="72">
        <v>5</v>
      </c>
      <c r="BK353" s="72">
        <v>5</v>
      </c>
      <c r="BL353" s="72">
        <v>5</v>
      </c>
      <c r="BM353" s="72">
        <v>4</v>
      </c>
      <c r="BN353" s="72">
        <v>5</v>
      </c>
      <c r="BO353" s="72">
        <v>5</v>
      </c>
      <c r="BP353" s="72">
        <v>5</v>
      </c>
      <c r="BQ353" s="72">
        <v>6</v>
      </c>
      <c r="BR353" s="72">
        <v>1</v>
      </c>
      <c r="BS353" s="72">
        <v>1</v>
      </c>
      <c r="BT353" s="72">
        <v>1</v>
      </c>
      <c r="BU353" s="72">
        <v>1</v>
      </c>
      <c r="BV353" s="72">
        <v>1</v>
      </c>
      <c r="BW353" s="72">
        <v>1</v>
      </c>
      <c r="BX353" s="72">
        <v>1</v>
      </c>
      <c r="BY353" s="72">
        <v>1</v>
      </c>
      <c r="BZ353" s="72">
        <v>1</v>
      </c>
      <c r="CA353" s="72">
        <v>1</v>
      </c>
      <c r="CB353" s="72">
        <v>1</v>
      </c>
      <c r="CC353" s="72">
        <v>1</v>
      </c>
      <c r="CD353" s="72">
        <v>1</v>
      </c>
      <c r="CE353" s="72">
        <v>1</v>
      </c>
      <c r="CF353" s="72">
        <v>1</v>
      </c>
      <c r="CG353" s="72">
        <v>1</v>
      </c>
      <c r="CH353" s="72">
        <v>1</v>
      </c>
      <c r="CI353" s="72">
        <v>1</v>
      </c>
      <c r="CJ353" s="72">
        <v>1</v>
      </c>
      <c r="CK353" s="72">
        <v>1</v>
      </c>
      <c r="CL353" s="72">
        <v>1</v>
      </c>
      <c r="CM353" s="72">
        <v>1</v>
      </c>
      <c r="CN353" s="72">
        <v>1</v>
      </c>
      <c r="CO353" s="72">
        <v>1</v>
      </c>
      <c r="CP353" s="72">
        <v>1</v>
      </c>
      <c r="CQ353" s="72">
        <v>1</v>
      </c>
      <c r="CR353" s="72">
        <v>1</v>
      </c>
      <c r="CS353" s="72">
        <v>1</v>
      </c>
      <c r="CT353" s="72">
        <v>1</v>
      </c>
      <c r="CU353" s="72">
        <v>1</v>
      </c>
      <c r="CV353" s="72">
        <v>1</v>
      </c>
      <c r="CW353" s="72">
        <v>1</v>
      </c>
      <c r="CX353" s="72">
        <v>1</v>
      </c>
      <c r="CY353" s="72">
        <v>1</v>
      </c>
      <c r="CZ353" s="72">
        <v>1</v>
      </c>
      <c r="DA353" s="72">
        <v>1</v>
      </c>
      <c r="DB353" s="72">
        <v>1</v>
      </c>
      <c r="DC353" s="72">
        <v>1</v>
      </c>
      <c r="DD353" s="72">
        <v>1</v>
      </c>
      <c r="DE353" s="72">
        <v>1</v>
      </c>
      <c r="DF353" s="72">
        <v>1</v>
      </c>
      <c r="DG353" s="72">
        <v>1</v>
      </c>
      <c r="DH353" s="72">
        <v>1</v>
      </c>
      <c r="DI353" s="72">
        <v>1</v>
      </c>
      <c r="DJ353" s="72">
        <v>1</v>
      </c>
      <c r="DK353" s="72">
        <v>1</v>
      </c>
      <c r="DL353" s="72">
        <v>1</v>
      </c>
    </row>
    <row r="354" spans="1:116" x14ac:dyDescent="0.35">
      <c r="A354" s="7"/>
      <c r="B354" s="8" t="s">
        <v>1243</v>
      </c>
      <c r="C354" s="9" t="s">
        <v>606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/>
      <c r="J354" s="10"/>
      <c r="K354" s="10"/>
      <c r="L354" s="8"/>
      <c r="M354" s="12"/>
      <c r="N354" s="12">
        <f t="shared" si="7"/>
        <v>0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/>
      <c r="AP354" s="72"/>
      <c r="AQ354" s="72"/>
      <c r="AR354" s="72"/>
      <c r="AS354" s="72">
        <v>225</v>
      </c>
      <c r="AT354" s="72">
        <v>245</v>
      </c>
      <c r="AU354" s="72">
        <v>0</v>
      </c>
      <c r="AV354" s="72">
        <v>0</v>
      </c>
      <c r="AW354" s="72">
        <v>0</v>
      </c>
      <c r="AX354" s="72">
        <v>0</v>
      </c>
      <c r="AY354" s="72">
        <v>0</v>
      </c>
      <c r="AZ354" s="72">
        <v>0</v>
      </c>
      <c r="BA354" s="72">
        <v>0</v>
      </c>
      <c r="BB354" s="72">
        <v>0</v>
      </c>
      <c r="BC354" s="72">
        <v>0</v>
      </c>
      <c r="BD354" s="72">
        <v>0</v>
      </c>
      <c r="BE354" s="72">
        <v>0</v>
      </c>
      <c r="BF354" s="72">
        <v>0</v>
      </c>
      <c r="BG354" s="72">
        <v>0</v>
      </c>
      <c r="BH354" s="72">
        <v>0</v>
      </c>
      <c r="BI354" s="72">
        <v>0</v>
      </c>
      <c r="BJ354" s="72">
        <v>0</v>
      </c>
      <c r="BK354" s="72">
        <v>0</v>
      </c>
      <c r="BL354" s="72">
        <v>0</v>
      </c>
      <c r="BM354" s="72">
        <v>0</v>
      </c>
      <c r="BN354" s="72">
        <v>0</v>
      </c>
      <c r="BO354" s="72">
        <v>0</v>
      </c>
      <c r="BP354" s="72">
        <v>0</v>
      </c>
      <c r="BQ354" s="72">
        <v>0</v>
      </c>
      <c r="BR354" s="72">
        <v>0</v>
      </c>
      <c r="BS354" s="72">
        <v>0</v>
      </c>
      <c r="BT354" s="72">
        <v>0</v>
      </c>
      <c r="BU354" s="72">
        <v>0</v>
      </c>
      <c r="BV354" s="72">
        <v>0</v>
      </c>
      <c r="BW354" s="72">
        <v>0</v>
      </c>
      <c r="BX354" s="72">
        <v>0</v>
      </c>
      <c r="BY354" s="72">
        <v>0</v>
      </c>
      <c r="BZ354" s="72">
        <v>0</v>
      </c>
      <c r="CA354" s="72">
        <v>0</v>
      </c>
      <c r="CB354" s="72">
        <v>0</v>
      </c>
      <c r="CC354" s="72">
        <v>0</v>
      </c>
      <c r="CD354" s="72">
        <v>0</v>
      </c>
      <c r="CE354" s="72">
        <v>0</v>
      </c>
      <c r="CF354" s="72">
        <v>0</v>
      </c>
      <c r="CG354" s="72">
        <v>0</v>
      </c>
      <c r="CH354" s="72">
        <v>0</v>
      </c>
      <c r="CI354" s="72">
        <v>0</v>
      </c>
      <c r="CJ354" s="72">
        <v>20</v>
      </c>
      <c r="CK354" s="72">
        <v>20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  <c r="DG354" s="72">
        <v>0</v>
      </c>
      <c r="DH354" s="72">
        <v>0</v>
      </c>
      <c r="DI354" s="72">
        <v>0</v>
      </c>
      <c r="DJ354" s="72">
        <v>0</v>
      </c>
      <c r="DK354" s="72">
        <v>0</v>
      </c>
      <c r="DL354" s="72">
        <v>0</v>
      </c>
    </row>
    <row r="355" spans="1:116" x14ac:dyDescent="0.35">
      <c r="A355" s="7"/>
      <c r="B355" s="8" t="s">
        <v>607</v>
      </c>
      <c r="C355" s="9" t="s">
        <v>608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>
        <v>559.26</v>
      </c>
      <c r="N355" s="12">
        <f t="shared" si="7"/>
        <v>559.26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  <c r="DK355" s="72">
        <v>1</v>
      </c>
      <c r="DL355" s="72">
        <v>1</v>
      </c>
    </row>
    <row r="356" spans="1:116" x14ac:dyDescent="0.35">
      <c r="A356" s="7"/>
      <c r="B356" s="8" t="s">
        <v>609</v>
      </c>
      <c r="C356" s="9" t="s">
        <v>610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1</v>
      </c>
      <c r="J356" s="10"/>
      <c r="K356" s="10"/>
      <c r="L356" s="8"/>
      <c r="M356" s="12"/>
      <c r="N356" s="12">
        <f t="shared" si="7"/>
        <v>0</v>
      </c>
      <c r="O356" s="11">
        <v>1</v>
      </c>
      <c r="P356" s="11">
        <v>1</v>
      </c>
      <c r="Q356" s="11">
        <v>1</v>
      </c>
      <c r="R356" s="11">
        <v>1</v>
      </c>
      <c r="S356" s="11">
        <v>1</v>
      </c>
      <c r="T356" s="11">
        <v>1</v>
      </c>
      <c r="U356" s="11">
        <v>1</v>
      </c>
      <c r="V356" s="11">
        <v>1</v>
      </c>
      <c r="W356" s="11">
        <v>1</v>
      </c>
      <c r="X356" s="11">
        <v>1</v>
      </c>
      <c r="Y356" s="11">
        <v>1</v>
      </c>
      <c r="Z356" s="11">
        <v>1</v>
      </c>
      <c r="AA356" s="11">
        <v>1</v>
      </c>
      <c r="AB356" s="11">
        <v>1</v>
      </c>
      <c r="AC356" s="11">
        <v>1</v>
      </c>
      <c r="AD356" s="11">
        <v>1</v>
      </c>
      <c r="AE356" s="11">
        <v>1</v>
      </c>
      <c r="AF356" s="11">
        <v>1</v>
      </c>
      <c r="AG356" s="11">
        <v>1</v>
      </c>
      <c r="AH356" s="11">
        <v>1</v>
      </c>
      <c r="AI356" s="11">
        <v>1</v>
      </c>
      <c r="AJ356" s="11">
        <v>1</v>
      </c>
      <c r="AK356" s="11">
        <v>1</v>
      </c>
      <c r="AL356" s="11">
        <v>1</v>
      </c>
      <c r="AM356" s="11">
        <v>1</v>
      </c>
      <c r="AN356" s="72">
        <v>1</v>
      </c>
      <c r="AO356" s="72">
        <v>1</v>
      </c>
      <c r="AP356" s="72">
        <v>1</v>
      </c>
      <c r="AQ356" s="72">
        <v>1</v>
      </c>
      <c r="AR356" s="72">
        <v>1</v>
      </c>
      <c r="AS356" s="72">
        <v>1</v>
      </c>
      <c r="AT356" s="72">
        <v>1</v>
      </c>
      <c r="AU356" s="72">
        <v>1</v>
      </c>
      <c r="AV356" s="72">
        <v>1</v>
      </c>
      <c r="AW356" s="72">
        <v>1</v>
      </c>
      <c r="AX356" s="72">
        <v>1</v>
      </c>
      <c r="AY356" s="72">
        <v>1</v>
      </c>
      <c r="AZ356" s="72">
        <v>1</v>
      </c>
      <c r="BA356" s="72">
        <v>1</v>
      </c>
      <c r="BB356" s="72">
        <v>1</v>
      </c>
      <c r="BC356" s="72">
        <v>1</v>
      </c>
      <c r="BD356" s="72">
        <v>1</v>
      </c>
      <c r="BE356" s="72">
        <v>1</v>
      </c>
      <c r="BF356" s="72">
        <v>1</v>
      </c>
      <c r="BG356" s="72">
        <v>1</v>
      </c>
      <c r="BH356" s="72">
        <v>1</v>
      </c>
      <c r="BI356" s="72">
        <v>1</v>
      </c>
      <c r="BJ356" s="72">
        <v>1</v>
      </c>
      <c r="BK356" s="72">
        <v>1</v>
      </c>
      <c r="BL356" s="72">
        <v>1</v>
      </c>
      <c r="BM356" s="72">
        <v>1</v>
      </c>
      <c r="BN356" s="72">
        <v>1</v>
      </c>
      <c r="BO356" s="72">
        <v>1</v>
      </c>
      <c r="BP356" s="72">
        <v>1</v>
      </c>
      <c r="BQ356" s="72">
        <v>1</v>
      </c>
      <c r="BR356" s="72">
        <v>1</v>
      </c>
      <c r="BS356" s="72">
        <v>1</v>
      </c>
      <c r="BT356" s="72">
        <v>1</v>
      </c>
      <c r="BU356" s="72">
        <v>1</v>
      </c>
      <c r="BV356" s="72">
        <v>1</v>
      </c>
      <c r="BW356" s="72">
        <v>1</v>
      </c>
      <c r="BX356" s="72">
        <v>1</v>
      </c>
      <c r="BY356" s="72">
        <v>1</v>
      </c>
      <c r="BZ356" s="72">
        <v>1</v>
      </c>
      <c r="CA356" s="72">
        <v>1</v>
      </c>
      <c r="CB356" s="72">
        <v>1</v>
      </c>
      <c r="CC356" s="72">
        <v>1</v>
      </c>
      <c r="CD356" s="72">
        <v>1</v>
      </c>
      <c r="CE356" s="72">
        <v>1</v>
      </c>
      <c r="CF356" s="72">
        <v>1</v>
      </c>
      <c r="CG356" s="72">
        <v>1</v>
      </c>
      <c r="CH356" s="72">
        <v>1</v>
      </c>
      <c r="CI356" s="72">
        <v>1</v>
      </c>
      <c r="CJ356" s="72">
        <v>1</v>
      </c>
      <c r="CK356" s="72">
        <v>1</v>
      </c>
      <c r="CL356" s="72">
        <v>1</v>
      </c>
      <c r="CM356" s="72">
        <v>1</v>
      </c>
      <c r="CN356" s="72">
        <v>1</v>
      </c>
      <c r="CO356" s="72">
        <v>1</v>
      </c>
      <c r="CP356" s="72">
        <v>1</v>
      </c>
      <c r="CQ356" s="72">
        <v>1</v>
      </c>
      <c r="CR356" s="72">
        <v>1</v>
      </c>
      <c r="CS356" s="72">
        <v>1</v>
      </c>
      <c r="CT356" s="72">
        <v>1</v>
      </c>
      <c r="CU356" s="72">
        <v>1</v>
      </c>
      <c r="CV356" s="72">
        <v>1</v>
      </c>
      <c r="CW356" s="72">
        <v>1</v>
      </c>
      <c r="CX356" s="72">
        <v>1</v>
      </c>
      <c r="CY356" s="72">
        <v>1</v>
      </c>
      <c r="CZ356" s="72">
        <v>1</v>
      </c>
      <c r="DA356" s="72">
        <v>1</v>
      </c>
      <c r="DB356" s="72">
        <v>1</v>
      </c>
      <c r="DC356" s="72">
        <v>1</v>
      </c>
      <c r="DD356" s="72">
        <v>1</v>
      </c>
      <c r="DE356" s="72">
        <v>1</v>
      </c>
      <c r="DF356" s="72">
        <v>1</v>
      </c>
      <c r="DG356" s="72">
        <v>1</v>
      </c>
      <c r="DH356" s="72">
        <v>1</v>
      </c>
      <c r="DI356" s="72">
        <v>1</v>
      </c>
      <c r="DJ356" s="72">
        <v>1</v>
      </c>
      <c r="DK356" s="72">
        <v>1</v>
      </c>
      <c r="DL356" s="72">
        <v>1</v>
      </c>
    </row>
    <row r="357" spans="1:116" x14ac:dyDescent="0.35">
      <c r="A357" s="7"/>
      <c r="B357" s="8" t="s">
        <v>611</v>
      </c>
      <c r="C357" s="9" t="s">
        <v>612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2</v>
      </c>
      <c r="J357" s="10"/>
      <c r="K357" s="10"/>
      <c r="L357" s="8"/>
      <c r="M357" s="12">
        <v>249</v>
      </c>
      <c r="N357" s="12">
        <f t="shared" si="7"/>
        <v>0</v>
      </c>
      <c r="O357" s="11">
        <v>2</v>
      </c>
      <c r="P357" s="11">
        <v>2</v>
      </c>
      <c r="Q357" s="11">
        <v>2</v>
      </c>
      <c r="R357" s="11">
        <v>2</v>
      </c>
      <c r="S357" s="11">
        <v>2</v>
      </c>
      <c r="T357" s="11">
        <v>2</v>
      </c>
      <c r="U357" s="11">
        <v>2</v>
      </c>
      <c r="V357" s="11">
        <v>2</v>
      </c>
      <c r="W357" s="11">
        <v>2</v>
      </c>
      <c r="X357" s="11">
        <v>2</v>
      </c>
      <c r="Y357" s="11">
        <v>2</v>
      </c>
      <c r="Z357" s="11">
        <v>2</v>
      </c>
      <c r="AA357" s="11">
        <v>2</v>
      </c>
      <c r="AB357" s="11">
        <v>2</v>
      </c>
      <c r="AC357" s="11">
        <v>2</v>
      </c>
      <c r="AD357" s="11">
        <v>2</v>
      </c>
      <c r="AE357" s="11">
        <v>2</v>
      </c>
      <c r="AF357" s="11">
        <v>2</v>
      </c>
      <c r="AG357" s="11">
        <v>2</v>
      </c>
      <c r="AH357" s="11">
        <v>2</v>
      </c>
      <c r="AI357" s="11">
        <v>2</v>
      </c>
      <c r="AJ357" s="11">
        <v>2</v>
      </c>
      <c r="AK357" s="11">
        <v>2</v>
      </c>
      <c r="AL357" s="11">
        <v>2</v>
      </c>
      <c r="AM357" s="11">
        <v>2</v>
      </c>
      <c r="AN357" s="72">
        <v>2</v>
      </c>
      <c r="AO357" s="72">
        <v>2</v>
      </c>
      <c r="AP357" s="72">
        <v>2</v>
      </c>
      <c r="AQ357" s="72">
        <v>2</v>
      </c>
      <c r="AR357" s="72">
        <v>2</v>
      </c>
      <c r="AS357" s="72">
        <v>2</v>
      </c>
      <c r="AT357" s="72">
        <v>2</v>
      </c>
      <c r="AU357" s="72">
        <v>2</v>
      </c>
      <c r="AV357" s="72">
        <v>2</v>
      </c>
      <c r="AW357" s="72">
        <v>2</v>
      </c>
      <c r="AX357" s="72">
        <v>2</v>
      </c>
      <c r="AY357" s="72">
        <v>2</v>
      </c>
      <c r="AZ357" s="72">
        <v>2</v>
      </c>
      <c r="BA357" s="72">
        <v>2</v>
      </c>
      <c r="BB357" s="72">
        <v>2</v>
      </c>
      <c r="BC357" s="72">
        <v>2</v>
      </c>
      <c r="BD357" s="72">
        <v>2</v>
      </c>
      <c r="BE357" s="72">
        <v>2</v>
      </c>
      <c r="BF357" s="72">
        <v>2</v>
      </c>
      <c r="BG357" s="72">
        <v>2</v>
      </c>
      <c r="BH357" s="72">
        <v>2</v>
      </c>
      <c r="BI357" s="72">
        <v>2</v>
      </c>
      <c r="BJ357" s="72">
        <v>0</v>
      </c>
      <c r="BK357" s="72">
        <v>0</v>
      </c>
      <c r="BL357" s="72">
        <v>0</v>
      </c>
      <c r="BM357" s="72">
        <v>0</v>
      </c>
      <c r="BN357" s="72">
        <v>0</v>
      </c>
      <c r="BO357" s="72">
        <v>0</v>
      </c>
      <c r="BP357" s="72">
        <v>0</v>
      </c>
      <c r="BQ357" s="72">
        <v>0</v>
      </c>
      <c r="BR357" s="72">
        <v>0</v>
      </c>
      <c r="BS357" s="72">
        <v>0</v>
      </c>
      <c r="BT357" s="72">
        <v>0</v>
      </c>
      <c r="BU357" s="72">
        <v>0</v>
      </c>
      <c r="BV357" s="72">
        <v>0</v>
      </c>
      <c r="BW357" s="72">
        <v>0</v>
      </c>
      <c r="BX357" s="72">
        <v>0</v>
      </c>
      <c r="BY357" s="72">
        <v>0</v>
      </c>
      <c r="BZ357" s="72">
        <v>0</v>
      </c>
      <c r="CA357" s="72">
        <v>0</v>
      </c>
      <c r="CB357" s="72">
        <v>0</v>
      </c>
      <c r="CC357" s="72">
        <v>0</v>
      </c>
      <c r="CD357" s="72">
        <v>0</v>
      </c>
      <c r="CE357" s="72">
        <v>0</v>
      </c>
      <c r="CF357" s="72">
        <v>0</v>
      </c>
      <c r="CG357" s="72">
        <v>0</v>
      </c>
      <c r="CH357" s="72">
        <v>0</v>
      </c>
      <c r="CI357" s="72">
        <v>0</v>
      </c>
      <c r="CJ357" s="72">
        <v>0</v>
      </c>
      <c r="CK357" s="72">
        <v>0</v>
      </c>
      <c r="CL357" s="72">
        <v>0</v>
      </c>
      <c r="CM357" s="72">
        <v>0</v>
      </c>
      <c r="CN357" s="72">
        <v>0</v>
      </c>
      <c r="CO357" s="72">
        <v>0</v>
      </c>
      <c r="CP357" s="72">
        <v>0</v>
      </c>
      <c r="CQ357" s="72">
        <v>0</v>
      </c>
      <c r="CR357" s="72">
        <v>0</v>
      </c>
      <c r="CS357" s="72">
        <v>0</v>
      </c>
      <c r="CT357" s="72">
        <v>0</v>
      </c>
      <c r="CU357" s="72">
        <v>0</v>
      </c>
      <c r="CV357" s="72">
        <v>0</v>
      </c>
      <c r="CW357" s="72">
        <v>0</v>
      </c>
      <c r="CX357" s="72">
        <v>0</v>
      </c>
      <c r="CY357" s="72">
        <v>0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  <c r="DL357" s="72">
        <v>0</v>
      </c>
    </row>
    <row r="358" spans="1:116" x14ac:dyDescent="0.35">
      <c r="A358" s="7"/>
      <c r="B358" s="8" t="s">
        <v>613</v>
      </c>
      <c r="C358" s="9" t="s">
        <v>614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100</v>
      </c>
      <c r="J358" s="10"/>
      <c r="K358" s="10"/>
      <c r="L358" s="8"/>
      <c r="M358" s="12">
        <v>264.27</v>
      </c>
      <c r="N358" s="12">
        <f t="shared" si="7"/>
        <v>2114.16</v>
      </c>
      <c r="O358" s="11">
        <v>25</v>
      </c>
      <c r="P358" s="11">
        <v>25</v>
      </c>
      <c r="Q358" s="11">
        <v>25</v>
      </c>
      <c r="R358" s="11">
        <v>25</v>
      </c>
      <c r="S358" s="11">
        <v>25</v>
      </c>
      <c r="T358" s="11">
        <v>0</v>
      </c>
      <c r="U358" s="11">
        <v>0</v>
      </c>
      <c r="V358" s="11">
        <v>0</v>
      </c>
      <c r="W358" s="11">
        <v>0</v>
      </c>
      <c r="X358" s="11">
        <v>0</v>
      </c>
      <c r="Y358" s="11">
        <v>0</v>
      </c>
      <c r="Z358" s="11">
        <v>0</v>
      </c>
      <c r="AA358" s="11">
        <v>0</v>
      </c>
      <c r="AB358" s="11">
        <v>150</v>
      </c>
      <c r="AC358" s="11">
        <v>148</v>
      </c>
      <c r="AD358" s="11">
        <v>148</v>
      </c>
      <c r="AE358" s="11">
        <v>118</v>
      </c>
      <c r="AF358" s="11">
        <v>117</v>
      </c>
      <c r="AG358" s="11">
        <v>118</v>
      </c>
      <c r="AH358" s="11">
        <v>118</v>
      </c>
      <c r="AI358" s="11">
        <v>118</v>
      </c>
      <c r="AJ358" s="11">
        <v>100</v>
      </c>
      <c r="AK358" s="11">
        <v>100</v>
      </c>
      <c r="AL358" s="11">
        <v>100</v>
      </c>
      <c r="AM358" s="11">
        <v>100</v>
      </c>
      <c r="AN358" s="72">
        <v>97</v>
      </c>
      <c r="AO358" s="72">
        <v>197</v>
      </c>
      <c r="AP358" s="72">
        <v>193</v>
      </c>
      <c r="AQ358" s="72">
        <v>183</v>
      </c>
      <c r="AR358" s="72">
        <v>183</v>
      </c>
      <c r="AS358" s="72">
        <v>183</v>
      </c>
      <c r="AT358" s="72">
        <v>183</v>
      </c>
      <c r="AU358" s="72">
        <v>183</v>
      </c>
      <c r="AV358" s="72">
        <v>183</v>
      </c>
      <c r="AW358" s="72">
        <v>157</v>
      </c>
      <c r="AX358" s="72">
        <v>157</v>
      </c>
      <c r="AY358" s="72">
        <v>157</v>
      </c>
      <c r="AZ358" s="72">
        <v>157</v>
      </c>
      <c r="BA358" s="72">
        <v>157</v>
      </c>
      <c r="BB358" s="72">
        <v>157</v>
      </c>
      <c r="BC358" s="72">
        <v>157</v>
      </c>
      <c r="BD358" s="72">
        <v>155</v>
      </c>
      <c r="BE358" s="72">
        <v>139</v>
      </c>
      <c r="BF358" s="72">
        <v>132</v>
      </c>
      <c r="BG358" s="72">
        <v>132</v>
      </c>
      <c r="BH358" s="72">
        <v>112</v>
      </c>
      <c r="BI358" s="72">
        <v>112</v>
      </c>
      <c r="BJ358" s="72">
        <v>112</v>
      </c>
      <c r="BK358" s="72">
        <v>112</v>
      </c>
      <c r="BL358" s="72">
        <v>112</v>
      </c>
      <c r="BM358" s="72">
        <v>112</v>
      </c>
      <c r="BN358" s="72">
        <v>112</v>
      </c>
      <c r="BO358" s="72">
        <v>102</v>
      </c>
      <c r="BP358" s="72">
        <v>102</v>
      </c>
      <c r="BQ358" s="72">
        <v>98</v>
      </c>
      <c r="BR358" s="72">
        <v>93</v>
      </c>
      <c r="BS358" s="72">
        <v>77</v>
      </c>
      <c r="BT358" s="72">
        <v>77</v>
      </c>
      <c r="BU358" s="72">
        <v>77</v>
      </c>
      <c r="BV358" s="72">
        <v>77</v>
      </c>
      <c r="BW358" s="72">
        <v>77</v>
      </c>
      <c r="BX358" s="72">
        <v>77</v>
      </c>
      <c r="BY358" s="72">
        <v>77</v>
      </c>
      <c r="BZ358" s="72">
        <v>77</v>
      </c>
      <c r="CA358" s="72">
        <v>77</v>
      </c>
      <c r="CB358" s="72">
        <v>77</v>
      </c>
      <c r="CC358" s="72">
        <v>77</v>
      </c>
      <c r="CD358" s="72">
        <v>77</v>
      </c>
      <c r="CE358" s="72">
        <v>56</v>
      </c>
      <c r="CF358" s="72">
        <v>56</v>
      </c>
      <c r="CG358" s="72">
        <v>56</v>
      </c>
      <c r="CH358" s="72">
        <v>56</v>
      </c>
      <c r="CI358" s="72">
        <v>56</v>
      </c>
      <c r="CJ358" s="72">
        <v>32</v>
      </c>
      <c r="CK358" s="72">
        <v>32</v>
      </c>
      <c r="CL358" s="72">
        <v>28</v>
      </c>
      <c r="CM358" s="72">
        <v>28</v>
      </c>
      <c r="CN358" s="72">
        <v>28</v>
      </c>
      <c r="CO358" s="72">
        <v>26</v>
      </c>
      <c r="CP358" s="72">
        <v>26</v>
      </c>
      <c r="CQ358" s="72">
        <v>26</v>
      </c>
      <c r="CR358" s="72">
        <v>26</v>
      </c>
      <c r="CS358" s="72">
        <v>26</v>
      </c>
      <c r="CT358" s="72">
        <v>26</v>
      </c>
      <c r="CU358" s="72">
        <v>26</v>
      </c>
      <c r="CV358" s="72">
        <v>27</v>
      </c>
      <c r="CW358" s="72">
        <v>27</v>
      </c>
      <c r="CX358" s="72">
        <v>27</v>
      </c>
      <c r="CY358" s="72">
        <v>27</v>
      </c>
      <c r="CZ358" s="72">
        <v>27</v>
      </c>
      <c r="DA358" s="72">
        <v>27</v>
      </c>
      <c r="DB358" s="72">
        <v>26</v>
      </c>
      <c r="DC358" s="72">
        <v>26</v>
      </c>
      <c r="DD358" s="72">
        <v>25</v>
      </c>
      <c r="DE358" s="72">
        <v>23</v>
      </c>
      <c r="DF358" s="72">
        <v>23</v>
      </c>
      <c r="DG358" s="72">
        <v>23</v>
      </c>
      <c r="DH358" s="72">
        <v>23</v>
      </c>
      <c r="DI358" s="72">
        <v>8</v>
      </c>
      <c r="DJ358" s="72">
        <v>8</v>
      </c>
      <c r="DK358" s="72">
        <v>8</v>
      </c>
      <c r="DL358" s="72">
        <v>8</v>
      </c>
    </row>
    <row r="359" spans="1:116" x14ac:dyDescent="0.35">
      <c r="A359" s="7"/>
      <c r="B359" s="8" t="s">
        <v>615</v>
      </c>
      <c r="C359" s="9" t="s">
        <v>616</v>
      </c>
      <c r="D359" s="10" t="s">
        <v>594</v>
      </c>
      <c r="E359" s="8" t="s">
        <v>1206</v>
      </c>
      <c r="F359" s="10">
        <v>1002</v>
      </c>
      <c r="G359" s="10" t="s">
        <v>40</v>
      </c>
      <c r="H359" s="10" t="s">
        <v>41</v>
      </c>
      <c r="I359" s="11">
        <v>4</v>
      </c>
      <c r="J359" s="10">
        <v>3</v>
      </c>
      <c r="K359" s="10" t="s">
        <v>53</v>
      </c>
      <c r="L359" s="14" t="s">
        <v>617</v>
      </c>
      <c r="M359" s="12">
        <v>392.16</v>
      </c>
      <c r="N359" s="12">
        <f t="shared" si="7"/>
        <v>34117.920000000006</v>
      </c>
      <c r="O359" s="11">
        <v>39</v>
      </c>
      <c r="P359" s="11">
        <v>39</v>
      </c>
      <c r="Q359" s="11">
        <v>69</v>
      </c>
      <c r="R359" s="11">
        <v>68</v>
      </c>
      <c r="S359" s="11">
        <v>68</v>
      </c>
      <c r="T359" s="11">
        <v>62</v>
      </c>
      <c r="U359" s="11">
        <v>30</v>
      </c>
      <c r="V359" s="11">
        <v>33</v>
      </c>
      <c r="W359" s="11">
        <v>1</v>
      </c>
      <c r="X359" s="11">
        <v>1</v>
      </c>
      <c r="Y359" s="11">
        <v>1</v>
      </c>
      <c r="Z359" s="11">
        <v>6</v>
      </c>
      <c r="AA359" s="11">
        <v>6</v>
      </c>
      <c r="AB359" s="11">
        <v>6</v>
      </c>
      <c r="AC359" s="11">
        <v>6</v>
      </c>
      <c r="AD359" s="11">
        <v>6</v>
      </c>
      <c r="AE359" s="11">
        <v>3</v>
      </c>
      <c r="AF359" s="11">
        <v>2</v>
      </c>
      <c r="AG359" s="11">
        <v>3</v>
      </c>
      <c r="AH359" s="11">
        <v>3</v>
      </c>
      <c r="AI359" s="11">
        <v>4</v>
      </c>
      <c r="AJ359" s="11">
        <v>4</v>
      </c>
      <c r="AK359" s="11">
        <v>4</v>
      </c>
      <c r="AL359" s="11">
        <v>3</v>
      </c>
      <c r="AM359" s="11">
        <v>3</v>
      </c>
      <c r="AN359" s="72">
        <v>2</v>
      </c>
      <c r="AO359" s="72">
        <v>3</v>
      </c>
      <c r="AP359" s="72">
        <v>3</v>
      </c>
      <c r="AQ359" s="72">
        <v>3</v>
      </c>
      <c r="AR359" s="72">
        <v>21</v>
      </c>
      <c r="AS359" s="72">
        <v>4</v>
      </c>
      <c r="AT359" s="72">
        <v>1</v>
      </c>
      <c r="AU359" s="72">
        <v>1</v>
      </c>
      <c r="AV359" s="72">
        <v>1</v>
      </c>
      <c r="AW359" s="72">
        <v>61</v>
      </c>
      <c r="AX359" s="72">
        <v>61</v>
      </c>
      <c r="AY359" s="72">
        <v>29</v>
      </c>
      <c r="AZ359" s="72">
        <v>29</v>
      </c>
      <c r="BA359" s="72">
        <v>28</v>
      </c>
      <c r="BB359" s="72">
        <v>28</v>
      </c>
      <c r="BC359" s="72">
        <v>28</v>
      </c>
      <c r="BD359" s="72">
        <v>28</v>
      </c>
      <c r="BE359" s="72">
        <v>28</v>
      </c>
      <c r="BF359" s="72">
        <v>28</v>
      </c>
      <c r="BG359" s="72">
        <v>28</v>
      </c>
      <c r="BH359" s="72">
        <v>28</v>
      </c>
      <c r="BI359" s="72">
        <v>28</v>
      </c>
      <c r="BJ359" s="72">
        <v>28</v>
      </c>
      <c r="BK359" s="72">
        <v>28</v>
      </c>
      <c r="BL359" s="72">
        <v>28</v>
      </c>
      <c r="BM359" s="72">
        <v>27</v>
      </c>
      <c r="BN359" s="72">
        <v>28</v>
      </c>
      <c r="BO359" s="72">
        <v>58</v>
      </c>
      <c r="BP359" s="72">
        <v>21</v>
      </c>
      <c r="BQ359" s="72">
        <v>21</v>
      </c>
      <c r="BR359" s="72">
        <v>6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34</v>
      </c>
      <c r="CK359" s="72">
        <v>24</v>
      </c>
      <c r="CL359" s="72">
        <v>57</v>
      </c>
      <c r="CM359" s="72">
        <v>44</v>
      </c>
      <c r="CN359" s="72">
        <v>44</v>
      </c>
      <c r="CO359" s="72">
        <v>43</v>
      </c>
      <c r="CP359" s="72">
        <v>43</v>
      </c>
      <c r="CQ359" s="72">
        <v>43</v>
      </c>
      <c r="CR359" s="72">
        <v>88</v>
      </c>
      <c r="CS359" s="72">
        <v>48</v>
      </c>
      <c r="CT359" s="72">
        <v>48</v>
      </c>
      <c r="CU359" s="72">
        <v>31</v>
      </c>
      <c r="CV359" s="72">
        <v>31</v>
      </c>
      <c r="CW359" s="72">
        <v>29</v>
      </c>
      <c r="CX359" s="72">
        <v>29</v>
      </c>
      <c r="CY359" s="72">
        <v>134</v>
      </c>
      <c r="CZ359" s="72">
        <v>134</v>
      </c>
      <c r="DA359" s="72">
        <v>130</v>
      </c>
      <c r="DB359" s="72">
        <v>130</v>
      </c>
      <c r="DC359" s="72">
        <v>129</v>
      </c>
      <c r="DD359" s="72">
        <v>129</v>
      </c>
      <c r="DE359" s="72">
        <v>129</v>
      </c>
      <c r="DF359" s="72">
        <v>107</v>
      </c>
      <c r="DG359" s="72">
        <v>107</v>
      </c>
      <c r="DH359" s="72">
        <v>75</v>
      </c>
      <c r="DI359" s="72">
        <v>75</v>
      </c>
      <c r="DJ359" s="72">
        <v>75</v>
      </c>
      <c r="DK359" s="72">
        <v>75</v>
      </c>
      <c r="DL359" s="72">
        <v>87</v>
      </c>
    </row>
    <row r="360" spans="1:116" x14ac:dyDescent="0.35">
      <c r="A360" s="7"/>
      <c r="B360" s="77" t="s">
        <v>1268</v>
      </c>
      <c r="C360" s="9" t="s">
        <v>1277</v>
      </c>
      <c r="D360" s="10" t="s">
        <v>594</v>
      </c>
      <c r="E360" s="8" t="s">
        <v>1206</v>
      </c>
      <c r="F360" s="10"/>
      <c r="G360" s="10"/>
      <c r="H360" s="10" t="s">
        <v>41</v>
      </c>
      <c r="I360" s="11"/>
      <c r="J360" s="10"/>
      <c r="K360" s="10"/>
      <c r="L360" s="14"/>
      <c r="M360" s="12"/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>
        <v>4</v>
      </c>
      <c r="AX360" s="72">
        <v>4</v>
      </c>
      <c r="AY360" s="72">
        <v>4</v>
      </c>
      <c r="AZ360" s="72">
        <v>4</v>
      </c>
      <c r="BA360" s="72">
        <v>4</v>
      </c>
      <c r="BB360" s="72">
        <v>4</v>
      </c>
      <c r="BC360" s="72">
        <v>4</v>
      </c>
      <c r="BD360" s="72">
        <v>4</v>
      </c>
      <c r="BE360" s="72">
        <v>4</v>
      </c>
      <c r="BF360" s="72">
        <v>4</v>
      </c>
      <c r="BG360" s="72">
        <v>4</v>
      </c>
      <c r="BH360" s="72">
        <v>4</v>
      </c>
      <c r="BI360" s="72">
        <v>4</v>
      </c>
      <c r="BJ360" s="72">
        <v>4</v>
      </c>
      <c r="BK360" s="72">
        <v>4</v>
      </c>
      <c r="BL360" s="72">
        <v>4</v>
      </c>
      <c r="BM360" s="72">
        <v>4</v>
      </c>
      <c r="BN360" s="72">
        <v>4</v>
      </c>
      <c r="BO360" s="72">
        <v>4</v>
      </c>
      <c r="BP360" s="72">
        <v>4</v>
      </c>
      <c r="BQ360" s="72">
        <v>4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</row>
    <row r="361" spans="1:116" x14ac:dyDescent="0.35">
      <c r="A361" s="7"/>
      <c r="B361" s="8" t="s">
        <v>618</v>
      </c>
      <c r="C361" s="9" t="s">
        <v>619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27</v>
      </c>
      <c r="J361" s="10"/>
      <c r="K361" s="10"/>
      <c r="L361" s="14" t="s">
        <v>620</v>
      </c>
      <c r="M361" s="12">
        <v>350</v>
      </c>
      <c r="N361" s="12">
        <f t="shared" si="7"/>
        <v>0</v>
      </c>
      <c r="O361" s="11">
        <v>62</v>
      </c>
      <c r="P361" s="11">
        <v>62</v>
      </c>
      <c r="Q361" s="11">
        <v>62</v>
      </c>
      <c r="R361" s="11">
        <v>62</v>
      </c>
      <c r="S361" s="11">
        <v>62</v>
      </c>
      <c r="T361" s="11">
        <v>62</v>
      </c>
      <c r="U361" s="11">
        <v>0</v>
      </c>
      <c r="V361" s="11">
        <v>1</v>
      </c>
      <c r="W361" s="11">
        <v>4</v>
      </c>
      <c r="X361" s="11">
        <v>4</v>
      </c>
      <c r="Y361" s="11">
        <v>4</v>
      </c>
      <c r="Z361" s="11">
        <v>4</v>
      </c>
      <c r="AA361" s="11">
        <v>4</v>
      </c>
      <c r="AB361" s="11">
        <v>42</v>
      </c>
      <c r="AC361" s="11">
        <v>42</v>
      </c>
      <c r="AD361" s="11">
        <v>52</v>
      </c>
      <c r="AE361" s="11">
        <v>27</v>
      </c>
      <c r="AF361" s="11">
        <v>27</v>
      </c>
      <c r="AG361" s="11">
        <v>27</v>
      </c>
      <c r="AH361" s="11">
        <v>27</v>
      </c>
      <c r="AI361" s="11">
        <v>27</v>
      </c>
      <c r="AJ361" s="11">
        <v>27</v>
      </c>
      <c r="AK361" s="11">
        <v>27</v>
      </c>
      <c r="AL361" s="11">
        <v>27</v>
      </c>
      <c r="AM361" s="11">
        <v>27</v>
      </c>
      <c r="AN361" s="72">
        <v>27</v>
      </c>
      <c r="AO361" s="72">
        <v>27</v>
      </c>
      <c r="AP361" s="72">
        <v>27</v>
      </c>
      <c r="AQ361" s="72">
        <v>27</v>
      </c>
      <c r="AR361" s="72">
        <v>27</v>
      </c>
      <c r="AS361" s="72">
        <v>27</v>
      </c>
      <c r="AT361" s="72">
        <v>27</v>
      </c>
      <c r="AU361" s="72">
        <v>27</v>
      </c>
      <c r="AV361" s="72">
        <v>27</v>
      </c>
      <c r="AW361" s="72">
        <v>64</v>
      </c>
      <c r="AX361" s="72">
        <v>64</v>
      </c>
      <c r="AY361" s="72">
        <v>64</v>
      </c>
      <c r="AZ361" s="72">
        <v>64</v>
      </c>
      <c r="BA361" s="72">
        <v>64</v>
      </c>
      <c r="BB361" s="72">
        <v>61</v>
      </c>
      <c r="BC361" s="72">
        <v>61</v>
      </c>
      <c r="BD361" s="72">
        <v>61</v>
      </c>
      <c r="BE361" s="72">
        <v>58</v>
      </c>
      <c r="BF361" s="72">
        <v>58</v>
      </c>
      <c r="BG361" s="72">
        <v>58</v>
      </c>
      <c r="BH361" s="72">
        <v>46</v>
      </c>
      <c r="BI361" s="72">
        <v>46</v>
      </c>
      <c r="BJ361" s="72">
        <v>46</v>
      </c>
      <c r="BK361" s="72">
        <v>48</v>
      </c>
      <c r="BL361" s="72">
        <v>48</v>
      </c>
      <c r="BM361" s="72">
        <v>40</v>
      </c>
      <c r="BN361" s="72">
        <v>38</v>
      </c>
      <c r="BO361" s="72">
        <v>40</v>
      </c>
      <c r="BP361" s="72">
        <v>40</v>
      </c>
      <c r="BQ361" s="72">
        <v>2</v>
      </c>
      <c r="BR361" s="72">
        <v>2</v>
      </c>
      <c r="BS361" s="72">
        <v>2</v>
      </c>
      <c r="BT361" s="72">
        <v>2</v>
      </c>
      <c r="BU361" s="72">
        <v>2</v>
      </c>
      <c r="BV361" s="72">
        <v>2</v>
      </c>
      <c r="BW361" s="72">
        <v>2</v>
      </c>
      <c r="BX361" s="72">
        <v>2</v>
      </c>
      <c r="BY361" s="72">
        <v>2</v>
      </c>
      <c r="BZ361" s="72">
        <v>2</v>
      </c>
      <c r="CA361" s="72">
        <v>2</v>
      </c>
      <c r="CB361" s="72">
        <v>2</v>
      </c>
      <c r="CC361" s="72">
        <v>2</v>
      </c>
      <c r="CD361" s="72">
        <v>2</v>
      </c>
      <c r="CE361" s="72">
        <v>2</v>
      </c>
      <c r="CF361" s="72">
        <v>2</v>
      </c>
      <c r="CG361" s="72">
        <v>2</v>
      </c>
      <c r="CH361" s="72">
        <v>2</v>
      </c>
      <c r="CI361" s="72">
        <v>2</v>
      </c>
      <c r="CJ361" s="72">
        <v>2</v>
      </c>
      <c r="CK361" s="72">
        <v>2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  <c r="DL361" s="72">
        <v>0</v>
      </c>
    </row>
    <row r="362" spans="1:116" x14ac:dyDescent="0.35">
      <c r="A362" s="7"/>
      <c r="B362" s="8" t="s">
        <v>621</v>
      </c>
      <c r="C362" s="9" t="s">
        <v>622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1</v>
      </c>
      <c r="J362" s="10"/>
      <c r="K362" s="10" t="s">
        <v>42</v>
      </c>
      <c r="L362" s="8"/>
      <c r="M362" s="12"/>
      <c r="N362" s="12">
        <f t="shared" si="7"/>
        <v>0</v>
      </c>
      <c r="O362" s="11">
        <v>1</v>
      </c>
      <c r="P362" s="11">
        <v>1</v>
      </c>
      <c r="Q362" s="11">
        <v>1</v>
      </c>
      <c r="R362" s="11">
        <v>1</v>
      </c>
      <c r="S362" s="11">
        <v>1</v>
      </c>
      <c r="T362" s="11">
        <v>1</v>
      </c>
      <c r="U362" s="11">
        <v>1</v>
      </c>
      <c r="V362" s="11">
        <v>1</v>
      </c>
      <c r="W362" s="11">
        <v>1</v>
      </c>
      <c r="X362" s="11">
        <v>1</v>
      </c>
      <c r="Y362" s="11">
        <v>1</v>
      </c>
      <c r="Z362" s="11">
        <v>1</v>
      </c>
      <c r="AA362" s="11">
        <v>1</v>
      </c>
      <c r="AB362" s="11">
        <v>1</v>
      </c>
      <c r="AC362" s="11">
        <v>1</v>
      </c>
      <c r="AD362" s="11">
        <v>1</v>
      </c>
      <c r="AE362" s="11">
        <v>1</v>
      </c>
      <c r="AF362" s="11">
        <v>1</v>
      </c>
      <c r="AG362" s="11">
        <v>1</v>
      </c>
      <c r="AH362" s="11">
        <v>1</v>
      </c>
      <c r="AI362" s="11">
        <v>1</v>
      </c>
      <c r="AJ362" s="11">
        <v>1</v>
      </c>
      <c r="AK362" s="11">
        <v>1</v>
      </c>
      <c r="AL362" s="11">
        <v>1</v>
      </c>
      <c r="AM362" s="11">
        <v>1</v>
      </c>
      <c r="AN362" s="72">
        <v>1</v>
      </c>
      <c r="AO362" s="72">
        <v>1</v>
      </c>
      <c r="AP362" s="72">
        <v>1</v>
      </c>
      <c r="AQ362" s="72">
        <v>1</v>
      </c>
      <c r="AR362" s="72">
        <v>1</v>
      </c>
      <c r="AS362" s="72">
        <v>1</v>
      </c>
      <c r="AT362" s="72">
        <v>1</v>
      </c>
      <c r="AU362" s="72">
        <v>1</v>
      </c>
      <c r="AV362" s="72">
        <v>1</v>
      </c>
      <c r="AW362" s="72">
        <v>1</v>
      </c>
      <c r="AX362" s="72">
        <v>1</v>
      </c>
      <c r="AY362" s="72">
        <v>1</v>
      </c>
      <c r="AZ362" s="72">
        <v>1</v>
      </c>
      <c r="BA362" s="72">
        <v>1</v>
      </c>
      <c r="BB362" s="72">
        <v>1</v>
      </c>
      <c r="BC362" s="72">
        <v>1</v>
      </c>
      <c r="BD362" s="72">
        <v>1</v>
      </c>
      <c r="BE362" s="72">
        <v>1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</row>
    <row r="363" spans="1:116" x14ac:dyDescent="0.35">
      <c r="A363" s="7"/>
      <c r="B363" s="8" t="s">
        <v>623</v>
      </c>
      <c r="C363" s="9" t="s">
        <v>624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724.8</v>
      </c>
      <c r="N363" s="12">
        <f t="shared" si="7"/>
        <v>0</v>
      </c>
      <c r="O363" s="11">
        <v>4</v>
      </c>
      <c r="P363" s="11">
        <v>4</v>
      </c>
      <c r="Q363" s="11">
        <v>4</v>
      </c>
      <c r="R363" s="11">
        <v>4</v>
      </c>
      <c r="S363" s="11">
        <v>4</v>
      </c>
      <c r="T363" s="11">
        <v>4</v>
      </c>
      <c r="U363" s="11">
        <v>4</v>
      </c>
      <c r="V363" s="11">
        <v>4</v>
      </c>
      <c r="W363" s="11">
        <v>4</v>
      </c>
      <c r="X363" s="11">
        <v>4</v>
      </c>
      <c r="Y363" s="11">
        <v>4</v>
      </c>
      <c r="Z363" s="11">
        <v>4</v>
      </c>
      <c r="AA363" s="11">
        <v>4</v>
      </c>
      <c r="AB363" s="11">
        <v>4</v>
      </c>
      <c r="AC363" s="11">
        <v>4</v>
      </c>
      <c r="AD363" s="11">
        <v>4</v>
      </c>
      <c r="AE363" s="11">
        <v>4</v>
      </c>
      <c r="AF363" s="11">
        <v>4</v>
      </c>
      <c r="AG363" s="11">
        <v>4</v>
      </c>
      <c r="AH363" s="11">
        <v>4</v>
      </c>
      <c r="AI363" s="11">
        <v>4</v>
      </c>
      <c r="AJ363" s="11">
        <v>4</v>
      </c>
      <c r="AK363" s="11">
        <v>4</v>
      </c>
      <c r="AL363" s="11">
        <v>4</v>
      </c>
      <c r="AM363" s="11">
        <v>4</v>
      </c>
      <c r="AN363" s="72">
        <v>4</v>
      </c>
      <c r="AO363" s="72">
        <v>4</v>
      </c>
      <c r="AP363" s="72">
        <v>4</v>
      </c>
      <c r="AQ363" s="72">
        <v>4</v>
      </c>
      <c r="AR363" s="72">
        <v>4</v>
      </c>
      <c r="AS363" s="72">
        <v>4</v>
      </c>
      <c r="AT363" s="72">
        <v>4</v>
      </c>
      <c r="AU363" s="72">
        <v>4</v>
      </c>
      <c r="AV363" s="72">
        <v>4</v>
      </c>
      <c r="AW363" s="72">
        <v>4</v>
      </c>
      <c r="AX363" s="72">
        <v>4</v>
      </c>
      <c r="AY363" s="72">
        <v>4</v>
      </c>
      <c r="AZ363" s="72">
        <v>4</v>
      </c>
      <c r="BA363" s="72">
        <v>4</v>
      </c>
      <c r="BB363" s="72">
        <v>4</v>
      </c>
      <c r="BC363" s="72">
        <v>4</v>
      </c>
      <c r="BD363" s="72">
        <v>4</v>
      </c>
      <c r="BE363" s="72">
        <v>4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</row>
    <row r="364" spans="1:116" x14ac:dyDescent="0.35">
      <c r="A364" s="7"/>
      <c r="B364" s="8" t="s">
        <v>625</v>
      </c>
      <c r="C364" s="9" t="s">
        <v>626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4</v>
      </c>
      <c r="J364" s="10"/>
      <c r="K364" s="10"/>
      <c r="L364" s="8"/>
      <c r="M364" s="12">
        <v>525</v>
      </c>
      <c r="N364" s="12">
        <f t="shared" si="7"/>
        <v>525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6</v>
      </c>
      <c r="AD364" s="11">
        <v>6</v>
      </c>
      <c r="AE364" s="11">
        <v>6</v>
      </c>
      <c r="AF364" s="11">
        <v>6</v>
      </c>
      <c r="AG364" s="11">
        <v>6</v>
      </c>
      <c r="AH364" s="11">
        <v>6</v>
      </c>
      <c r="AI364" s="11">
        <v>6</v>
      </c>
      <c r="AJ364" s="11">
        <v>4</v>
      </c>
      <c r="AK364" s="11">
        <v>4</v>
      </c>
      <c r="AL364" s="11">
        <v>4</v>
      </c>
      <c r="AM364" s="11">
        <v>4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</row>
    <row r="365" spans="1:116" x14ac:dyDescent="0.35">
      <c r="A365" s="7"/>
      <c r="B365" s="8" t="s">
        <v>627</v>
      </c>
      <c r="C365" s="9" t="s">
        <v>628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18</v>
      </c>
      <c r="J365" s="10"/>
      <c r="K365" s="10"/>
      <c r="L365" s="8" t="s">
        <v>629</v>
      </c>
      <c r="M365" s="12">
        <v>433.49</v>
      </c>
      <c r="N365" s="12">
        <f t="shared" si="7"/>
        <v>31211.279999999999</v>
      </c>
      <c r="O365" s="11">
        <v>33</v>
      </c>
      <c r="P365" s="11">
        <v>33</v>
      </c>
      <c r="Q365" s="11">
        <v>38</v>
      </c>
      <c r="R365" s="11">
        <v>38</v>
      </c>
      <c r="S365" s="11">
        <v>38</v>
      </c>
      <c r="T365" s="11">
        <v>35</v>
      </c>
      <c r="U365" s="11">
        <v>24</v>
      </c>
      <c r="V365" s="11">
        <v>29</v>
      </c>
      <c r="W365" s="11">
        <v>29</v>
      </c>
      <c r="X365" s="11">
        <v>22</v>
      </c>
      <c r="Y365" s="11">
        <v>7</v>
      </c>
      <c r="Z365" s="11">
        <v>12</v>
      </c>
      <c r="AA365" s="11">
        <v>12</v>
      </c>
      <c r="AB365" s="11">
        <v>22</v>
      </c>
      <c r="AC365" s="11">
        <v>22</v>
      </c>
      <c r="AD365" s="11">
        <v>10</v>
      </c>
      <c r="AE365" s="11">
        <v>10</v>
      </c>
      <c r="AF365" s="11">
        <v>22</v>
      </c>
      <c r="AG365" s="11">
        <v>22</v>
      </c>
      <c r="AH365" s="11">
        <v>17</v>
      </c>
      <c r="AI365" s="11">
        <v>17</v>
      </c>
      <c r="AJ365" s="11">
        <v>18</v>
      </c>
      <c r="AK365" s="11">
        <v>18</v>
      </c>
      <c r="AL365" s="11">
        <v>18</v>
      </c>
      <c r="AM365" s="11">
        <v>18</v>
      </c>
      <c r="AN365" s="72">
        <v>17</v>
      </c>
      <c r="AO365" s="72">
        <v>100</v>
      </c>
      <c r="AP365" s="72">
        <v>100</v>
      </c>
      <c r="AQ365" s="72">
        <v>99</v>
      </c>
      <c r="AR365" s="72">
        <v>94</v>
      </c>
      <c r="AS365" s="72">
        <v>93</v>
      </c>
      <c r="AT365" s="72">
        <v>93</v>
      </c>
      <c r="AU365" s="72">
        <v>93</v>
      </c>
      <c r="AV365" s="72">
        <v>93</v>
      </c>
      <c r="AW365" s="72">
        <v>51</v>
      </c>
      <c r="AX365" s="72">
        <v>51</v>
      </c>
      <c r="AY365" s="72">
        <v>51</v>
      </c>
      <c r="AZ365" s="72">
        <v>50</v>
      </c>
      <c r="BA365" s="72">
        <v>47</v>
      </c>
      <c r="BB365" s="72">
        <v>43</v>
      </c>
      <c r="BC365" s="72">
        <v>42</v>
      </c>
      <c r="BD365" s="72">
        <v>33</v>
      </c>
      <c r="BE365" s="72">
        <v>24</v>
      </c>
      <c r="BF365" s="72">
        <v>17</v>
      </c>
      <c r="BG365" s="72">
        <v>17</v>
      </c>
      <c r="BH365" s="72">
        <v>13</v>
      </c>
      <c r="BI365" s="72">
        <v>13</v>
      </c>
      <c r="BJ365" s="72">
        <v>6</v>
      </c>
      <c r="BK365" s="72">
        <v>13</v>
      </c>
      <c r="BL365" s="72">
        <v>13</v>
      </c>
      <c r="BM365" s="72">
        <v>12</v>
      </c>
      <c r="BN365" s="72">
        <v>9</v>
      </c>
      <c r="BO365" s="72">
        <v>28</v>
      </c>
      <c r="BP365" s="72">
        <v>20</v>
      </c>
      <c r="BQ365" s="72">
        <v>8</v>
      </c>
      <c r="BR365" s="72">
        <v>8</v>
      </c>
      <c r="BS365" s="72">
        <v>8</v>
      </c>
      <c r="BT365" s="72">
        <v>8</v>
      </c>
      <c r="BU365" s="72">
        <v>8</v>
      </c>
      <c r="BV365" s="72">
        <v>8</v>
      </c>
      <c r="BW365" s="72">
        <v>8</v>
      </c>
      <c r="BX365" s="72">
        <v>8</v>
      </c>
      <c r="BY365" s="72">
        <v>7</v>
      </c>
      <c r="BZ365" s="72">
        <v>2</v>
      </c>
      <c r="CA365" s="72">
        <v>1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32</v>
      </c>
      <c r="CK365" s="72">
        <v>32</v>
      </c>
      <c r="CL365" s="72">
        <v>23</v>
      </c>
      <c r="CM365" s="72">
        <v>23</v>
      </c>
      <c r="CN365" s="72">
        <v>22</v>
      </c>
      <c r="CO365" s="72">
        <v>21</v>
      </c>
      <c r="CP365" s="72">
        <v>17</v>
      </c>
      <c r="CQ365" s="72">
        <v>17</v>
      </c>
      <c r="CR365" s="72">
        <v>35</v>
      </c>
      <c r="CS365" s="72">
        <v>32</v>
      </c>
      <c r="CT365" s="72">
        <v>32</v>
      </c>
      <c r="CU365" s="72">
        <v>32</v>
      </c>
      <c r="CV365" s="72">
        <v>51</v>
      </c>
      <c r="CW365" s="72">
        <v>49</v>
      </c>
      <c r="CX365" s="72">
        <v>48</v>
      </c>
      <c r="CY365" s="72">
        <v>88</v>
      </c>
      <c r="CZ365" s="72">
        <v>88</v>
      </c>
      <c r="DA365" s="72">
        <v>88</v>
      </c>
      <c r="DB365" s="72">
        <v>88</v>
      </c>
      <c r="DC365" s="72">
        <v>88</v>
      </c>
      <c r="DD365" s="72">
        <v>82</v>
      </c>
      <c r="DE365" s="72">
        <v>80</v>
      </c>
      <c r="DF365" s="72">
        <v>78</v>
      </c>
      <c r="DG365" s="72">
        <v>78</v>
      </c>
      <c r="DH365" s="72">
        <v>74</v>
      </c>
      <c r="DI365" s="72">
        <v>73</v>
      </c>
      <c r="DJ365" s="72">
        <v>73</v>
      </c>
      <c r="DK365" s="72">
        <v>72</v>
      </c>
      <c r="DL365" s="72">
        <v>72</v>
      </c>
    </row>
    <row r="366" spans="1:116" x14ac:dyDescent="0.35">
      <c r="A366" s="7"/>
      <c r="B366" s="8" t="s">
        <v>630</v>
      </c>
      <c r="C366" s="9" t="s">
        <v>631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1</v>
      </c>
      <c r="J366" s="10"/>
      <c r="K366" s="10"/>
      <c r="L366" s="8" t="s">
        <v>632</v>
      </c>
      <c r="M366" s="12"/>
      <c r="N366" s="12">
        <f t="shared" si="7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>
        <v>1</v>
      </c>
      <c r="AI366" s="11">
        <v>1</v>
      </c>
      <c r="AJ366" s="11">
        <v>1</v>
      </c>
      <c r="AK366" s="11">
        <v>1</v>
      </c>
      <c r="AL366" s="11">
        <v>1</v>
      </c>
      <c r="AM366" s="11">
        <v>1</v>
      </c>
      <c r="AN366" s="72">
        <v>1</v>
      </c>
      <c r="AO366" s="72">
        <v>1</v>
      </c>
      <c r="AP366" s="72">
        <v>1</v>
      </c>
      <c r="AQ366" s="72">
        <v>1</v>
      </c>
      <c r="AR366" s="72">
        <v>1</v>
      </c>
      <c r="AS366" s="72">
        <v>1</v>
      </c>
      <c r="AT366" s="72">
        <v>1</v>
      </c>
      <c r="AU366" s="72">
        <v>1</v>
      </c>
      <c r="AV366" s="72">
        <v>1</v>
      </c>
      <c r="AW366" s="72">
        <v>1</v>
      </c>
      <c r="AX366" s="72">
        <v>1</v>
      </c>
      <c r="AY366" s="72">
        <v>1</v>
      </c>
      <c r="AZ366" s="72">
        <v>0</v>
      </c>
      <c r="BA366" s="72">
        <v>0</v>
      </c>
      <c r="BB366" s="72">
        <v>0</v>
      </c>
      <c r="BC366" s="72">
        <v>0</v>
      </c>
      <c r="BD366" s="72">
        <v>0</v>
      </c>
      <c r="BE366" s="72">
        <v>0</v>
      </c>
      <c r="BF366" s="72">
        <v>0</v>
      </c>
      <c r="BG366" s="72">
        <v>0</v>
      </c>
      <c r="BH366" s="72">
        <v>0</v>
      </c>
      <c r="BI366" s="72">
        <v>0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1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</row>
    <row r="367" spans="1:116" x14ac:dyDescent="0.35">
      <c r="A367" s="7"/>
      <c r="B367" s="8" t="s">
        <v>633</v>
      </c>
      <c r="C367" s="9" t="s">
        <v>634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5</v>
      </c>
      <c r="J367" s="10"/>
      <c r="K367" s="10"/>
      <c r="L367" s="8"/>
      <c r="M367" s="12">
        <v>813.96</v>
      </c>
      <c r="N367" s="12">
        <f t="shared" si="7"/>
        <v>0</v>
      </c>
      <c r="O367" s="11">
        <v>5</v>
      </c>
      <c r="P367" s="11">
        <v>5</v>
      </c>
      <c r="Q367" s="11">
        <v>5</v>
      </c>
      <c r="R367" s="11">
        <v>5</v>
      </c>
      <c r="S367" s="11">
        <v>5</v>
      </c>
      <c r="T367" s="11">
        <v>5</v>
      </c>
      <c r="U367" s="11">
        <v>5</v>
      </c>
      <c r="V367" s="11">
        <v>0</v>
      </c>
      <c r="W367" s="11">
        <v>0</v>
      </c>
      <c r="X367" s="11">
        <v>0</v>
      </c>
      <c r="Y367" s="11">
        <v>0</v>
      </c>
      <c r="Z367" s="11">
        <v>5</v>
      </c>
      <c r="AA367" s="11">
        <v>5</v>
      </c>
      <c r="AB367" s="11">
        <v>5</v>
      </c>
      <c r="AC367" s="11">
        <v>5</v>
      </c>
      <c r="AD367" s="11">
        <v>5</v>
      </c>
      <c r="AE367" s="11">
        <v>5</v>
      </c>
      <c r="AF367" s="11">
        <v>5</v>
      </c>
      <c r="AG367" s="11">
        <v>5</v>
      </c>
      <c r="AH367" s="11">
        <v>5</v>
      </c>
      <c r="AI367" s="11">
        <v>5</v>
      </c>
      <c r="AJ367" s="11">
        <v>5</v>
      </c>
      <c r="AK367" s="11">
        <v>5</v>
      </c>
      <c r="AL367" s="11">
        <v>5</v>
      </c>
      <c r="AM367" s="11">
        <v>5</v>
      </c>
      <c r="AN367" s="72">
        <v>5</v>
      </c>
      <c r="AO367" s="72">
        <v>5</v>
      </c>
      <c r="AP367" s="72">
        <v>5</v>
      </c>
      <c r="AQ367" s="72">
        <v>5</v>
      </c>
      <c r="AR367" s="72">
        <v>5</v>
      </c>
      <c r="AS367" s="72">
        <v>5</v>
      </c>
      <c r="AT367" s="72">
        <v>5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5</v>
      </c>
      <c r="BN367" s="72">
        <v>3</v>
      </c>
      <c r="BO367" s="72">
        <v>3</v>
      </c>
      <c r="BP367" s="72">
        <v>3</v>
      </c>
      <c r="BQ367" s="72">
        <v>3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</row>
    <row r="368" spans="1:116" x14ac:dyDescent="0.35">
      <c r="A368" s="7"/>
      <c r="B368" s="21" t="s">
        <v>635</v>
      </c>
      <c r="C368" s="22" t="s">
        <v>636</v>
      </c>
      <c r="D368" s="10" t="s">
        <v>594</v>
      </c>
      <c r="E368" s="8" t="s">
        <v>1205</v>
      </c>
      <c r="F368" s="23">
        <v>1006</v>
      </c>
      <c r="G368" s="10" t="s">
        <v>40</v>
      </c>
      <c r="H368" s="10" t="s">
        <v>41</v>
      </c>
      <c r="I368" s="11">
        <v>0</v>
      </c>
      <c r="J368" s="23"/>
      <c r="K368" s="10"/>
      <c r="L368" s="8"/>
      <c r="M368" s="12"/>
      <c r="N368" s="12">
        <f t="shared" si="7"/>
        <v>0</v>
      </c>
      <c r="O368" s="11">
        <v>32</v>
      </c>
      <c r="P368" s="11">
        <v>32</v>
      </c>
      <c r="Q368" s="11">
        <v>32</v>
      </c>
      <c r="R368" s="11">
        <v>32</v>
      </c>
      <c r="S368" s="11">
        <v>32</v>
      </c>
      <c r="T368" s="11">
        <v>32</v>
      </c>
      <c r="U368" s="11">
        <v>32</v>
      </c>
      <c r="V368" s="11">
        <v>32</v>
      </c>
      <c r="W368" s="11">
        <v>32</v>
      </c>
      <c r="X368" s="11">
        <v>32</v>
      </c>
      <c r="Y368" s="11">
        <v>0</v>
      </c>
      <c r="Z368" s="11">
        <v>0</v>
      </c>
      <c r="AA368" s="11">
        <v>0</v>
      </c>
      <c r="AB368" s="11">
        <v>0</v>
      </c>
      <c r="AC368" s="11">
        <v>0</v>
      </c>
      <c r="AD368" s="11">
        <v>0</v>
      </c>
      <c r="AE368" s="11">
        <v>0</v>
      </c>
      <c r="AF368" s="11">
        <v>0</v>
      </c>
      <c r="AG368" s="11">
        <v>0</v>
      </c>
      <c r="AH368" s="11">
        <v>0</v>
      </c>
      <c r="AI368" s="11">
        <v>0</v>
      </c>
      <c r="AJ368" s="11">
        <v>0</v>
      </c>
      <c r="AK368" s="11">
        <v>0</v>
      </c>
      <c r="AL368" s="11">
        <v>0</v>
      </c>
      <c r="AM368" s="11">
        <v>0</v>
      </c>
      <c r="AN368" s="72">
        <v>0</v>
      </c>
      <c r="AO368" s="72">
        <v>0</v>
      </c>
      <c r="AP368" s="72">
        <v>0</v>
      </c>
      <c r="AQ368" s="72">
        <v>0</v>
      </c>
      <c r="AR368" s="72">
        <v>0</v>
      </c>
      <c r="AS368" s="72">
        <v>0</v>
      </c>
      <c r="AT368" s="72">
        <v>0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0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0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0</v>
      </c>
      <c r="CK368" s="72">
        <v>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52</v>
      </c>
      <c r="DL368" s="72">
        <v>52</v>
      </c>
    </row>
    <row r="369" spans="1:116" x14ac:dyDescent="0.35">
      <c r="A369" s="7"/>
      <c r="B369" s="8" t="s">
        <v>637</v>
      </c>
      <c r="C369" s="9" t="s">
        <v>638</v>
      </c>
      <c r="D369" s="10" t="s">
        <v>594</v>
      </c>
      <c r="E369" s="8" t="s">
        <v>1205</v>
      </c>
      <c r="F369" s="10">
        <v>1006</v>
      </c>
      <c r="G369" s="10" t="s">
        <v>40</v>
      </c>
      <c r="H369" s="10" t="s">
        <v>41</v>
      </c>
      <c r="I369" s="11">
        <v>2</v>
      </c>
      <c r="J369" s="10"/>
      <c r="K369" s="10" t="s">
        <v>42</v>
      </c>
      <c r="L369" s="8"/>
      <c r="M369" s="12">
        <v>17</v>
      </c>
      <c r="N369" s="12">
        <f t="shared" si="7"/>
        <v>0</v>
      </c>
      <c r="O369" s="11">
        <v>2</v>
      </c>
      <c r="P369" s="11">
        <v>2</v>
      </c>
      <c r="Q369" s="11">
        <v>2</v>
      </c>
      <c r="R369" s="11">
        <v>2</v>
      </c>
      <c r="S369" s="11">
        <v>2</v>
      </c>
      <c r="T369" s="11">
        <v>2</v>
      </c>
      <c r="U369" s="11">
        <v>2</v>
      </c>
      <c r="V369" s="11">
        <v>2</v>
      </c>
      <c r="W369" s="11">
        <v>2</v>
      </c>
      <c r="X369" s="11">
        <v>2</v>
      </c>
      <c r="Y369" s="11">
        <v>2</v>
      </c>
      <c r="Z369" s="11">
        <v>2</v>
      </c>
      <c r="AA369" s="11">
        <v>2</v>
      </c>
      <c r="AB369" s="11">
        <v>2</v>
      </c>
      <c r="AC369" s="11">
        <v>2</v>
      </c>
      <c r="AD369" s="11">
        <v>2</v>
      </c>
      <c r="AE369" s="11">
        <v>2</v>
      </c>
      <c r="AF369" s="11">
        <v>2</v>
      </c>
      <c r="AG369" s="11">
        <v>2</v>
      </c>
      <c r="AH369" s="11">
        <v>2</v>
      </c>
      <c r="AI369" s="11">
        <v>2</v>
      </c>
      <c r="AJ369" s="11">
        <v>2</v>
      </c>
      <c r="AK369" s="11">
        <v>2</v>
      </c>
      <c r="AL369" s="11">
        <v>2</v>
      </c>
      <c r="AM369" s="11">
        <v>2</v>
      </c>
      <c r="AN369" s="72">
        <v>2</v>
      </c>
      <c r="AO369" s="72">
        <v>2</v>
      </c>
      <c r="AP369" s="72">
        <v>2</v>
      </c>
      <c r="AQ369" s="72">
        <v>2</v>
      </c>
      <c r="AR369" s="72">
        <v>2</v>
      </c>
      <c r="AS369" s="72">
        <v>2</v>
      </c>
      <c r="AT369" s="72">
        <v>2</v>
      </c>
      <c r="AU369" s="72">
        <v>2</v>
      </c>
      <c r="AV369" s="72">
        <v>2</v>
      </c>
      <c r="AW369" s="72">
        <v>2</v>
      </c>
      <c r="AX369" s="72">
        <v>2</v>
      </c>
      <c r="AY369" s="72">
        <v>2</v>
      </c>
      <c r="AZ369" s="72">
        <v>2</v>
      </c>
      <c r="BA369" s="72">
        <v>2</v>
      </c>
      <c r="BB369" s="72">
        <v>2</v>
      </c>
      <c r="BC369" s="72">
        <v>2</v>
      </c>
      <c r="BD369" s="72">
        <v>2</v>
      </c>
      <c r="BE369" s="72">
        <v>2</v>
      </c>
      <c r="BF369" s="72">
        <v>2</v>
      </c>
      <c r="BG369" s="72">
        <v>2</v>
      </c>
      <c r="BH369" s="72">
        <v>2</v>
      </c>
      <c r="BI369" s="72">
        <v>2</v>
      </c>
      <c r="BJ369" s="72">
        <v>2</v>
      </c>
      <c r="BK369" s="72">
        <v>2</v>
      </c>
      <c r="BL369" s="72">
        <v>2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</row>
    <row r="370" spans="1:116" x14ac:dyDescent="0.35">
      <c r="A370" s="7"/>
      <c r="B370" s="77" t="s">
        <v>1352</v>
      </c>
      <c r="C370" s="78" t="s">
        <v>1359</v>
      </c>
      <c r="D370" s="10" t="s">
        <v>594</v>
      </c>
      <c r="E370" s="8" t="s">
        <v>1206</v>
      </c>
      <c r="F370" s="10"/>
      <c r="G370" s="10"/>
      <c r="H370" s="10" t="s">
        <v>41</v>
      </c>
      <c r="I370" s="11"/>
      <c r="J370" s="10"/>
      <c r="K370" s="10"/>
      <c r="L370" s="8"/>
      <c r="M370" s="12">
        <v>200</v>
      </c>
      <c r="N370" s="12">
        <f t="shared" si="7"/>
        <v>400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>
        <v>6</v>
      </c>
      <c r="BK370" s="72">
        <v>4</v>
      </c>
      <c r="BL370" s="72">
        <v>4</v>
      </c>
      <c r="BM370" s="72">
        <v>2</v>
      </c>
      <c r="BN370" s="72">
        <v>2</v>
      </c>
      <c r="BO370" s="72">
        <v>2</v>
      </c>
      <c r="BP370" s="72">
        <v>2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2</v>
      </c>
      <c r="CM370" s="72">
        <v>2</v>
      </c>
      <c r="CN370" s="72">
        <v>2</v>
      </c>
      <c r="CO370" s="72">
        <v>2</v>
      </c>
      <c r="CP370" s="72">
        <v>2</v>
      </c>
      <c r="CQ370" s="72">
        <v>2</v>
      </c>
      <c r="CR370" s="72">
        <v>2</v>
      </c>
      <c r="CS370" s="72">
        <v>2</v>
      </c>
      <c r="CT370" s="72">
        <v>2</v>
      </c>
      <c r="CU370" s="72">
        <v>2</v>
      </c>
      <c r="CV370" s="72">
        <v>2</v>
      </c>
      <c r="CW370" s="72">
        <v>2</v>
      </c>
      <c r="CX370" s="72">
        <v>2</v>
      </c>
      <c r="CY370" s="72">
        <v>2</v>
      </c>
      <c r="CZ370" s="72">
        <v>2</v>
      </c>
      <c r="DA370" s="72">
        <v>2</v>
      </c>
      <c r="DB370" s="72">
        <v>2</v>
      </c>
      <c r="DC370" s="72">
        <v>2</v>
      </c>
      <c r="DD370" s="72">
        <v>2</v>
      </c>
      <c r="DE370" s="72">
        <v>2</v>
      </c>
      <c r="DF370" s="72">
        <v>2</v>
      </c>
      <c r="DG370" s="72">
        <v>2</v>
      </c>
      <c r="DH370" s="72">
        <v>2</v>
      </c>
      <c r="DI370" s="72">
        <v>2</v>
      </c>
      <c r="DJ370" s="72">
        <v>2</v>
      </c>
      <c r="DK370" s="72">
        <v>2</v>
      </c>
      <c r="DL370" s="72">
        <v>2</v>
      </c>
    </row>
    <row r="371" spans="1:116" x14ac:dyDescent="0.35">
      <c r="A371" s="7"/>
      <c r="B371" s="77" t="s">
        <v>1171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 t="s">
        <v>153</v>
      </c>
      <c r="L371" s="8"/>
      <c r="M371" s="12">
        <v>207.53</v>
      </c>
      <c r="N371" s="12">
        <f t="shared" si="7"/>
        <v>0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>
        <v>5</v>
      </c>
      <c r="AP371" s="72">
        <v>5</v>
      </c>
      <c r="AQ371" s="72">
        <v>5</v>
      </c>
      <c r="AR371" s="72">
        <v>5</v>
      </c>
      <c r="AS371" s="72">
        <v>5</v>
      </c>
      <c r="AT371" s="72">
        <v>5</v>
      </c>
      <c r="AU371" s="72">
        <v>5</v>
      </c>
      <c r="AV371" s="72">
        <v>5</v>
      </c>
      <c r="AW371" s="72">
        <v>5</v>
      </c>
      <c r="AX371" s="72">
        <v>5</v>
      </c>
      <c r="AY371" s="72">
        <v>5</v>
      </c>
      <c r="AZ371" s="72">
        <v>5</v>
      </c>
      <c r="BA371" s="72">
        <v>5</v>
      </c>
      <c r="BB371" s="72">
        <v>5</v>
      </c>
      <c r="BC371" s="72">
        <v>5</v>
      </c>
      <c r="BD371" s="72">
        <v>5</v>
      </c>
      <c r="BE371" s="72">
        <v>5</v>
      </c>
      <c r="BF371" s="72">
        <v>5</v>
      </c>
      <c r="BG371" s="72">
        <v>5</v>
      </c>
      <c r="BH371" s="72">
        <v>5</v>
      </c>
      <c r="BI371" s="72">
        <v>5</v>
      </c>
      <c r="BJ371" s="72">
        <v>5</v>
      </c>
      <c r="BK371" s="72">
        <v>5</v>
      </c>
      <c r="BL371" s="72">
        <v>5</v>
      </c>
      <c r="BM371" s="72">
        <v>5</v>
      </c>
      <c r="BN371" s="72">
        <v>5</v>
      </c>
      <c r="BO371" s="72">
        <v>5</v>
      </c>
      <c r="BP371" s="72">
        <v>5</v>
      </c>
      <c r="BQ371" s="72">
        <v>5</v>
      </c>
      <c r="BR371" s="72">
        <v>5</v>
      </c>
      <c r="BS371" s="72">
        <v>5</v>
      </c>
      <c r="BT371" s="72">
        <v>5</v>
      </c>
      <c r="BU371" s="72">
        <v>5</v>
      </c>
      <c r="BV371" s="72">
        <v>5</v>
      </c>
      <c r="BW371" s="72">
        <v>5</v>
      </c>
      <c r="BX371" s="72">
        <v>5</v>
      </c>
      <c r="BY371" s="72">
        <v>5</v>
      </c>
      <c r="BZ371" s="72">
        <v>5</v>
      </c>
      <c r="CA371" s="72">
        <v>5</v>
      </c>
      <c r="CB371" s="72">
        <v>5</v>
      </c>
      <c r="CC371" s="72">
        <v>5</v>
      </c>
      <c r="CD371" s="72">
        <v>5</v>
      </c>
      <c r="CE371" s="72">
        <v>5</v>
      </c>
      <c r="CF371" s="72">
        <v>5</v>
      </c>
      <c r="CG371" s="72">
        <v>5</v>
      </c>
      <c r="CH371" s="72">
        <v>5</v>
      </c>
      <c r="CI371" s="72">
        <v>5</v>
      </c>
      <c r="CJ371" s="72">
        <v>5</v>
      </c>
      <c r="CK371" s="72">
        <v>5</v>
      </c>
      <c r="CL371" s="72">
        <v>5</v>
      </c>
      <c r="CM371" s="72">
        <v>5</v>
      </c>
      <c r="CN371" s="72">
        <v>5</v>
      </c>
      <c r="CO371" s="72">
        <v>5</v>
      </c>
      <c r="CP371" s="72">
        <v>5</v>
      </c>
      <c r="CQ371" s="72">
        <v>5</v>
      </c>
      <c r="CR371" s="72">
        <v>5</v>
      </c>
      <c r="CS371" s="72">
        <v>5</v>
      </c>
      <c r="CT371" s="72">
        <v>5</v>
      </c>
      <c r="CU371" s="72">
        <v>5</v>
      </c>
      <c r="CV371" s="72">
        <v>5</v>
      </c>
      <c r="CW371" s="72">
        <v>5</v>
      </c>
      <c r="CX371" s="72">
        <v>5</v>
      </c>
      <c r="CY371" s="72">
        <v>5</v>
      </c>
      <c r="CZ371" s="72">
        <v>5</v>
      </c>
      <c r="DA371" s="72">
        <v>5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  <c r="DL371" s="72">
        <v>0</v>
      </c>
    </row>
    <row r="372" spans="1:116" x14ac:dyDescent="0.35">
      <c r="A372" s="7"/>
      <c r="B372" s="77" t="s">
        <v>1486</v>
      </c>
      <c r="C372" s="78" t="s">
        <v>1180</v>
      </c>
      <c r="D372" s="10" t="s">
        <v>594</v>
      </c>
      <c r="E372" s="8" t="s">
        <v>1206</v>
      </c>
      <c r="F372" s="10">
        <v>1006</v>
      </c>
      <c r="G372" s="10" t="s">
        <v>40</v>
      </c>
      <c r="H372" s="10" t="s">
        <v>41</v>
      </c>
      <c r="I372" s="11"/>
      <c r="J372" s="10"/>
      <c r="K372" s="10"/>
      <c r="L372" s="8"/>
      <c r="M372" s="12">
        <v>131.33000000000001</v>
      </c>
      <c r="N372" s="12">
        <f t="shared" si="7"/>
        <v>34145.800000000003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72"/>
      <c r="CH372" s="72"/>
      <c r="CI372" s="72"/>
      <c r="CJ372" s="72">
        <v>329</v>
      </c>
      <c r="CK372" s="72">
        <v>329</v>
      </c>
      <c r="CL372" s="72">
        <v>329</v>
      </c>
      <c r="CM372" s="72">
        <v>329</v>
      </c>
      <c r="CN372" s="72">
        <v>313</v>
      </c>
      <c r="CO372" s="72">
        <v>313</v>
      </c>
      <c r="CP372" s="72">
        <v>312</v>
      </c>
      <c r="CQ372" s="72">
        <v>312</v>
      </c>
      <c r="CR372" s="72">
        <v>312</v>
      </c>
      <c r="CS372" s="72">
        <v>252</v>
      </c>
      <c r="CT372" s="72">
        <v>252</v>
      </c>
      <c r="CU372" s="72">
        <v>252</v>
      </c>
      <c r="CV372" s="72">
        <v>440</v>
      </c>
      <c r="CW372" s="72">
        <v>440</v>
      </c>
      <c r="CX372" s="72">
        <v>436</v>
      </c>
      <c r="CY372" s="72">
        <v>436</v>
      </c>
      <c r="CZ372" s="72">
        <v>436</v>
      </c>
      <c r="DA372" s="72">
        <v>436</v>
      </c>
      <c r="DB372" s="72">
        <v>426</v>
      </c>
      <c r="DC372" s="72">
        <v>426</v>
      </c>
      <c r="DD372" s="72">
        <v>426</v>
      </c>
      <c r="DE372" s="72">
        <v>426</v>
      </c>
      <c r="DF372" s="72">
        <v>426</v>
      </c>
      <c r="DG372" s="72">
        <v>276</v>
      </c>
      <c r="DH372" s="72">
        <v>276</v>
      </c>
      <c r="DI372" s="72">
        <v>268</v>
      </c>
      <c r="DJ372" s="72">
        <v>268</v>
      </c>
      <c r="DK372" s="72">
        <v>260</v>
      </c>
      <c r="DL372" s="72">
        <v>260</v>
      </c>
    </row>
    <row r="373" spans="1:116" x14ac:dyDescent="0.35">
      <c r="A373" s="7"/>
      <c r="B373" s="8" t="s">
        <v>639</v>
      </c>
      <c r="C373" s="9" t="s">
        <v>640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1</v>
      </c>
      <c r="J373" s="10"/>
      <c r="K373" s="10"/>
      <c r="L373" s="8"/>
      <c r="M373" s="12">
        <v>460</v>
      </c>
      <c r="N373" s="12">
        <f t="shared" si="7"/>
        <v>460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1</v>
      </c>
      <c r="AD373" s="11">
        <v>1</v>
      </c>
      <c r="AE373" s="11">
        <v>1</v>
      </c>
      <c r="AF373" s="11">
        <v>1</v>
      </c>
      <c r="AG373" s="11">
        <v>1</v>
      </c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</row>
    <row r="374" spans="1:116" x14ac:dyDescent="0.35">
      <c r="A374" s="7"/>
      <c r="B374" s="77" t="s">
        <v>1172</v>
      </c>
      <c r="C374" s="9" t="s">
        <v>1181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/>
      <c r="J374" s="10"/>
      <c r="K374" s="10"/>
      <c r="L374" s="8"/>
      <c r="M374" s="12">
        <v>395</v>
      </c>
      <c r="N374" s="12">
        <f t="shared" si="7"/>
        <v>395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>
        <v>32</v>
      </c>
      <c r="AP374" s="72">
        <v>32</v>
      </c>
      <c r="AQ374" s="72">
        <v>32</v>
      </c>
      <c r="AR374" s="72">
        <v>32</v>
      </c>
      <c r="AS374" s="72">
        <v>32</v>
      </c>
      <c r="AT374" s="72">
        <v>32</v>
      </c>
      <c r="AU374" s="72">
        <v>32</v>
      </c>
      <c r="AV374" s="72">
        <v>32</v>
      </c>
      <c r="AW374" s="72">
        <v>32</v>
      </c>
      <c r="AX374" s="72">
        <v>32</v>
      </c>
      <c r="AY374" s="72">
        <v>32</v>
      </c>
      <c r="AZ374" s="72">
        <v>32</v>
      </c>
      <c r="BA374" s="72">
        <v>32</v>
      </c>
      <c r="BB374" s="72">
        <v>32</v>
      </c>
      <c r="BC374" s="72">
        <v>32</v>
      </c>
      <c r="BD374" s="72">
        <v>32</v>
      </c>
      <c r="BE374" s="72">
        <v>32</v>
      </c>
      <c r="BF374" s="72">
        <v>32</v>
      </c>
      <c r="BG374" s="72">
        <v>32</v>
      </c>
      <c r="BH374" s="72">
        <v>29</v>
      </c>
      <c r="BI374" s="72">
        <v>29</v>
      </c>
      <c r="BJ374" s="72">
        <v>29</v>
      </c>
      <c r="BK374" s="72">
        <v>29</v>
      </c>
      <c r="BL374" s="72">
        <v>29</v>
      </c>
      <c r="BM374" s="72">
        <v>29</v>
      </c>
      <c r="BN374" s="72">
        <v>29</v>
      </c>
      <c r="BO374" s="72">
        <v>29</v>
      </c>
      <c r="BP374" s="72">
        <v>26</v>
      </c>
      <c r="BQ374" s="72">
        <v>24</v>
      </c>
      <c r="BR374" s="72">
        <v>24</v>
      </c>
      <c r="BS374" s="72">
        <v>24</v>
      </c>
      <c r="BT374" s="72">
        <v>24</v>
      </c>
      <c r="BU374" s="72">
        <v>24</v>
      </c>
      <c r="BV374" s="72">
        <v>24</v>
      </c>
      <c r="BW374" s="72">
        <v>23</v>
      </c>
      <c r="BX374" s="72">
        <v>23</v>
      </c>
      <c r="BY374" s="72">
        <v>13</v>
      </c>
      <c r="BZ374" s="72">
        <v>13</v>
      </c>
      <c r="CA374" s="72">
        <v>13</v>
      </c>
      <c r="CB374" s="72">
        <v>13</v>
      </c>
      <c r="CC374" s="72">
        <v>13</v>
      </c>
      <c r="CD374" s="72">
        <v>13</v>
      </c>
      <c r="CE374" s="72">
        <v>13</v>
      </c>
      <c r="CF374" s="72">
        <v>12</v>
      </c>
      <c r="CG374" s="72">
        <v>12</v>
      </c>
      <c r="CH374" s="72">
        <v>12</v>
      </c>
      <c r="CI374" s="72">
        <v>12</v>
      </c>
      <c r="CJ374" s="72">
        <v>12</v>
      </c>
      <c r="CK374" s="72">
        <v>12</v>
      </c>
      <c r="CL374" s="72">
        <v>9</v>
      </c>
      <c r="CM374" s="72">
        <v>9</v>
      </c>
      <c r="CN374" s="72">
        <v>9</v>
      </c>
      <c r="CO374" s="72">
        <v>9</v>
      </c>
      <c r="CP374" s="72">
        <v>9</v>
      </c>
      <c r="CQ374" s="72">
        <v>9</v>
      </c>
      <c r="CR374" s="72">
        <v>9</v>
      </c>
      <c r="CS374" s="72">
        <v>9</v>
      </c>
      <c r="CT374" s="72">
        <v>9</v>
      </c>
      <c r="CU374" s="72">
        <v>9</v>
      </c>
      <c r="CV374" s="72">
        <v>9</v>
      </c>
      <c r="CW374" s="72">
        <v>9</v>
      </c>
      <c r="CX374" s="72">
        <v>9</v>
      </c>
      <c r="CY374" s="72">
        <v>9</v>
      </c>
      <c r="CZ374" s="72">
        <v>9</v>
      </c>
      <c r="DA374" s="72">
        <v>9</v>
      </c>
      <c r="DB374" s="72">
        <v>6</v>
      </c>
      <c r="DC374" s="72">
        <v>6</v>
      </c>
      <c r="DD374" s="72">
        <v>6</v>
      </c>
      <c r="DE374" s="72">
        <v>6</v>
      </c>
      <c r="DF374" s="72">
        <v>6</v>
      </c>
      <c r="DG374" s="72">
        <v>6</v>
      </c>
      <c r="DH374" s="72">
        <v>2</v>
      </c>
      <c r="DI374" s="72">
        <v>2</v>
      </c>
      <c r="DJ374" s="72">
        <v>1</v>
      </c>
      <c r="DK374" s="72">
        <v>1</v>
      </c>
      <c r="DL374" s="72">
        <v>1</v>
      </c>
    </row>
    <row r="375" spans="1:116" x14ac:dyDescent="0.35">
      <c r="A375" s="7"/>
      <c r="B375" s="8" t="s">
        <v>641</v>
      </c>
      <c r="C375" s="9" t="s">
        <v>642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0</v>
      </c>
      <c r="J375" s="10"/>
      <c r="K375" s="10"/>
      <c r="L375" s="8"/>
      <c r="M375" s="12"/>
      <c r="N375" s="12">
        <f t="shared" si="7"/>
        <v>0</v>
      </c>
      <c r="O375" s="11">
        <v>3</v>
      </c>
      <c r="P375" s="11">
        <v>3</v>
      </c>
      <c r="Q375" s="11">
        <v>3</v>
      </c>
      <c r="R375" s="11">
        <v>3</v>
      </c>
      <c r="S375" s="11">
        <v>3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0</v>
      </c>
      <c r="AA375" s="11">
        <v>0</v>
      </c>
      <c r="AB375" s="11">
        <v>0</v>
      </c>
      <c r="AC375" s="11">
        <v>0</v>
      </c>
      <c r="AD375" s="11">
        <v>0</v>
      </c>
      <c r="AE375" s="11">
        <v>0</v>
      </c>
      <c r="AF375" s="11">
        <v>0</v>
      </c>
      <c r="AG375" s="11">
        <v>0</v>
      </c>
      <c r="AH375" s="11">
        <v>0</v>
      </c>
      <c r="AI375" s="11">
        <v>0</v>
      </c>
      <c r="AJ375" s="11">
        <v>0</v>
      </c>
      <c r="AK375" s="11">
        <v>0</v>
      </c>
      <c r="AL375" s="11">
        <v>0</v>
      </c>
      <c r="AM375" s="11">
        <v>0</v>
      </c>
      <c r="AN375" s="72">
        <v>0</v>
      </c>
      <c r="AO375" s="72">
        <v>0</v>
      </c>
      <c r="AP375" s="72">
        <v>0</v>
      </c>
      <c r="AQ375" s="72">
        <v>0</v>
      </c>
      <c r="AR375" s="72">
        <v>0</v>
      </c>
      <c r="AS375" s="72">
        <v>0</v>
      </c>
      <c r="AT375" s="72">
        <v>0</v>
      </c>
      <c r="AU375" s="72">
        <v>0</v>
      </c>
      <c r="AV375" s="72">
        <v>0</v>
      </c>
      <c r="AW375" s="72">
        <v>0</v>
      </c>
      <c r="AX375" s="72">
        <v>0</v>
      </c>
      <c r="AY375" s="72">
        <v>0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</row>
    <row r="376" spans="1:116" x14ac:dyDescent="0.35">
      <c r="A376" s="7"/>
      <c r="B376" s="8" t="s">
        <v>643</v>
      </c>
      <c r="C376" s="9" t="s">
        <v>644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>
        <v>1</v>
      </c>
      <c r="J376" s="10"/>
      <c r="K376" s="10" t="s">
        <v>153</v>
      </c>
      <c r="L376" s="8"/>
      <c r="M376" s="12"/>
      <c r="N376" s="12">
        <f t="shared" si="7"/>
        <v>0</v>
      </c>
      <c r="O376" s="11">
        <v>1</v>
      </c>
      <c r="P376" s="11">
        <v>1</v>
      </c>
      <c r="Q376" s="11">
        <v>1</v>
      </c>
      <c r="R376" s="11">
        <v>1</v>
      </c>
      <c r="S376" s="11">
        <v>1</v>
      </c>
      <c r="T376" s="11">
        <v>1</v>
      </c>
      <c r="U376" s="11">
        <v>1</v>
      </c>
      <c r="V376" s="11">
        <v>1</v>
      </c>
      <c r="W376" s="11">
        <v>1</v>
      </c>
      <c r="X376" s="11">
        <v>1</v>
      </c>
      <c r="Y376" s="11">
        <v>1</v>
      </c>
      <c r="Z376" s="11">
        <v>1</v>
      </c>
      <c r="AA376" s="11">
        <v>1</v>
      </c>
      <c r="AB376" s="11">
        <v>1</v>
      </c>
      <c r="AC376" s="11">
        <v>1</v>
      </c>
      <c r="AD376" s="11">
        <v>1</v>
      </c>
      <c r="AE376" s="11">
        <v>1</v>
      </c>
      <c r="AF376" s="11">
        <v>1</v>
      </c>
      <c r="AG376" s="11">
        <v>1</v>
      </c>
      <c r="AH376" s="11">
        <v>1</v>
      </c>
      <c r="AI376" s="11">
        <v>1</v>
      </c>
      <c r="AJ376" s="11">
        <v>1</v>
      </c>
      <c r="AK376" s="11">
        <v>1</v>
      </c>
      <c r="AL376" s="11">
        <v>1</v>
      </c>
      <c r="AM376" s="11">
        <v>1</v>
      </c>
      <c r="AN376" s="72">
        <v>1</v>
      </c>
      <c r="AO376" s="72">
        <v>1</v>
      </c>
      <c r="AP376" s="72">
        <v>1</v>
      </c>
      <c r="AQ376" s="72">
        <v>1</v>
      </c>
      <c r="AR376" s="72">
        <v>1</v>
      </c>
      <c r="AS376" s="72">
        <v>1</v>
      </c>
      <c r="AT376" s="72">
        <v>1</v>
      </c>
      <c r="AU376" s="72">
        <v>1</v>
      </c>
      <c r="AV376" s="72">
        <v>1</v>
      </c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1</v>
      </c>
      <c r="BC376" s="72">
        <v>1</v>
      </c>
      <c r="BD376" s="72">
        <v>1</v>
      </c>
      <c r="BE376" s="72">
        <v>1</v>
      </c>
      <c r="BF376" s="72">
        <v>1</v>
      </c>
      <c r="BG376" s="72">
        <v>1</v>
      </c>
      <c r="BH376" s="72">
        <v>1</v>
      </c>
      <c r="BI376" s="72">
        <v>1</v>
      </c>
      <c r="BJ376" s="72">
        <v>1</v>
      </c>
      <c r="BK376" s="72">
        <v>1</v>
      </c>
      <c r="BL376" s="72">
        <v>1</v>
      </c>
      <c r="BM376" s="72">
        <v>1</v>
      </c>
      <c r="BN376" s="72">
        <v>1</v>
      </c>
      <c r="BO376" s="72">
        <v>1</v>
      </c>
      <c r="BP376" s="72">
        <v>1</v>
      </c>
      <c r="BQ376" s="72">
        <v>1</v>
      </c>
      <c r="BR376" s="72">
        <v>1</v>
      </c>
      <c r="BS376" s="72">
        <v>1</v>
      </c>
      <c r="BT376" s="72">
        <v>1</v>
      </c>
      <c r="BU376" s="72">
        <v>1</v>
      </c>
      <c r="BV376" s="72">
        <v>1</v>
      </c>
      <c r="BW376" s="72">
        <v>1</v>
      </c>
      <c r="BX376" s="72">
        <v>1</v>
      </c>
      <c r="BY376" s="72">
        <v>1</v>
      </c>
      <c r="BZ376" s="72">
        <v>1</v>
      </c>
      <c r="CA376" s="72">
        <v>1</v>
      </c>
      <c r="CB376" s="72">
        <v>1</v>
      </c>
      <c r="CC376" s="72">
        <v>1</v>
      </c>
      <c r="CD376" s="72">
        <v>1</v>
      </c>
      <c r="CE376" s="72">
        <v>1</v>
      </c>
      <c r="CF376" s="72">
        <v>1</v>
      </c>
      <c r="CG376" s="72">
        <v>1</v>
      </c>
      <c r="CH376" s="72">
        <v>1</v>
      </c>
      <c r="CI376" s="72">
        <v>1</v>
      </c>
      <c r="CJ376" s="72">
        <v>1</v>
      </c>
      <c r="CK376" s="72">
        <v>1</v>
      </c>
      <c r="CL376" s="72">
        <v>1</v>
      </c>
      <c r="CM376" s="72">
        <v>1</v>
      </c>
      <c r="CN376" s="72">
        <v>1</v>
      </c>
      <c r="CO376" s="72">
        <v>1</v>
      </c>
      <c r="CP376" s="72">
        <v>1</v>
      </c>
      <c r="CQ376" s="72">
        <v>1</v>
      </c>
      <c r="CR376" s="72">
        <v>1</v>
      </c>
      <c r="CS376" s="72">
        <v>1</v>
      </c>
      <c r="CT376" s="72">
        <v>1</v>
      </c>
      <c r="CU376" s="72">
        <v>1</v>
      </c>
      <c r="CV376" s="72">
        <v>1</v>
      </c>
      <c r="CW376" s="72">
        <v>1</v>
      </c>
      <c r="CX376" s="72">
        <v>1</v>
      </c>
      <c r="CY376" s="72">
        <v>1</v>
      </c>
      <c r="CZ376" s="72">
        <v>1</v>
      </c>
      <c r="DA376" s="72">
        <v>1</v>
      </c>
      <c r="DB376" s="72">
        <v>1</v>
      </c>
      <c r="DC376" s="72">
        <v>1</v>
      </c>
      <c r="DD376" s="72">
        <v>1</v>
      </c>
      <c r="DE376" s="72">
        <v>1</v>
      </c>
      <c r="DF376" s="72">
        <v>1</v>
      </c>
      <c r="DG376" s="72">
        <v>1</v>
      </c>
      <c r="DH376" s="72">
        <v>1</v>
      </c>
      <c r="DI376" s="72">
        <v>1</v>
      </c>
      <c r="DJ376" s="72">
        <v>1</v>
      </c>
      <c r="DK376" s="72">
        <v>1</v>
      </c>
      <c r="DL376" s="72">
        <v>1</v>
      </c>
    </row>
    <row r="377" spans="1:116" x14ac:dyDescent="0.35">
      <c r="A377" s="7"/>
      <c r="B377" s="8" t="s">
        <v>1173</v>
      </c>
      <c r="C377" s="9" t="s">
        <v>1182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/>
      <c r="J377" s="10"/>
      <c r="K377" s="10"/>
      <c r="L377" s="8"/>
      <c r="M377" s="12">
        <v>1094.81</v>
      </c>
      <c r="N377" s="12">
        <f t="shared" si="7"/>
        <v>0</v>
      </c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72"/>
      <c r="AO377" s="72">
        <v>5</v>
      </c>
      <c r="AP377" s="72">
        <v>5</v>
      </c>
      <c r="AQ377" s="72">
        <v>5</v>
      </c>
      <c r="AR377" s="72">
        <v>5</v>
      </c>
      <c r="AS377" s="72">
        <v>5</v>
      </c>
      <c r="AT377" s="72">
        <v>5</v>
      </c>
      <c r="AU377" s="72">
        <v>5</v>
      </c>
      <c r="AV377" s="72">
        <v>5</v>
      </c>
      <c r="AW377" s="72">
        <v>5</v>
      </c>
      <c r="AX377" s="72">
        <v>5</v>
      </c>
      <c r="AY377" s="72">
        <v>5</v>
      </c>
      <c r="AZ377" s="72">
        <v>5</v>
      </c>
      <c r="BA377" s="72">
        <v>5</v>
      </c>
      <c r="BB377" s="72">
        <v>5</v>
      </c>
      <c r="BC377" s="72">
        <v>5</v>
      </c>
      <c r="BD377" s="72">
        <v>5</v>
      </c>
      <c r="BE377" s="72">
        <v>5</v>
      </c>
      <c r="BF377" s="72">
        <v>5</v>
      </c>
      <c r="BG377" s="72">
        <v>5</v>
      </c>
      <c r="BH377" s="72">
        <v>5</v>
      </c>
      <c r="BI377" s="72">
        <v>5</v>
      </c>
      <c r="BJ377" s="72">
        <v>5</v>
      </c>
      <c r="BK377" s="72">
        <v>5</v>
      </c>
      <c r="BL377" s="72">
        <v>5</v>
      </c>
      <c r="BM377" s="72">
        <v>5</v>
      </c>
      <c r="BN377" s="72">
        <v>5</v>
      </c>
      <c r="BO377" s="72">
        <v>5</v>
      </c>
      <c r="BP377" s="72">
        <v>5</v>
      </c>
      <c r="BQ377" s="72">
        <v>5</v>
      </c>
      <c r="BR377" s="72">
        <v>5</v>
      </c>
      <c r="BS377" s="72">
        <v>5</v>
      </c>
      <c r="BT377" s="72">
        <v>5</v>
      </c>
      <c r="BU377" s="72">
        <v>5</v>
      </c>
      <c r="BV377" s="72">
        <v>5</v>
      </c>
      <c r="BW377" s="72">
        <v>5</v>
      </c>
      <c r="BX377" s="72">
        <v>5</v>
      </c>
      <c r="BY377" s="72">
        <v>5</v>
      </c>
      <c r="BZ377" s="72">
        <v>5</v>
      </c>
      <c r="CA377" s="72">
        <v>5</v>
      </c>
      <c r="CB377" s="72">
        <v>5</v>
      </c>
      <c r="CC377" s="72">
        <v>5</v>
      </c>
      <c r="CD377" s="72">
        <v>5</v>
      </c>
      <c r="CE377" s="72">
        <v>5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0</v>
      </c>
      <c r="DL377" s="72">
        <v>0</v>
      </c>
    </row>
    <row r="378" spans="1:116" x14ac:dyDescent="0.35">
      <c r="A378" s="7"/>
      <c r="B378" s="8" t="s">
        <v>645</v>
      </c>
      <c r="C378" s="9" t="s">
        <v>646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1</v>
      </c>
      <c r="J378" s="10"/>
      <c r="K378" s="10" t="s">
        <v>42</v>
      </c>
      <c r="L378" s="8" t="s">
        <v>647</v>
      </c>
      <c r="M378" s="12">
        <v>1775</v>
      </c>
      <c r="N378" s="12">
        <f t="shared" si="7"/>
        <v>1775</v>
      </c>
      <c r="O378" s="11">
        <v>1</v>
      </c>
      <c r="P378" s="11">
        <v>1</v>
      </c>
      <c r="Q378" s="11">
        <v>1</v>
      </c>
      <c r="R378" s="11">
        <v>1</v>
      </c>
      <c r="S378" s="11">
        <v>1</v>
      </c>
      <c r="T378" s="11">
        <v>1</v>
      </c>
      <c r="U378" s="11">
        <v>1</v>
      </c>
      <c r="V378" s="11">
        <v>1</v>
      </c>
      <c r="W378" s="11">
        <v>1</v>
      </c>
      <c r="X378" s="11">
        <v>1</v>
      </c>
      <c r="Y378" s="11">
        <v>1</v>
      </c>
      <c r="Z378" s="11">
        <v>1</v>
      </c>
      <c r="AA378" s="11">
        <v>1</v>
      </c>
      <c r="AB378" s="11">
        <v>1</v>
      </c>
      <c r="AC378" s="11">
        <v>1</v>
      </c>
      <c r="AD378" s="11">
        <v>1</v>
      </c>
      <c r="AE378" s="11">
        <v>1</v>
      </c>
      <c r="AF378" s="11">
        <v>1</v>
      </c>
      <c r="AG378" s="11">
        <v>1</v>
      </c>
      <c r="AH378" s="11">
        <v>1</v>
      </c>
      <c r="AI378" s="11">
        <v>1</v>
      </c>
      <c r="AJ378" s="11">
        <v>1</v>
      </c>
      <c r="AK378" s="11">
        <v>1</v>
      </c>
      <c r="AL378" s="11">
        <v>1</v>
      </c>
      <c r="AM378" s="11">
        <v>1</v>
      </c>
      <c r="AN378" s="72">
        <v>1</v>
      </c>
      <c r="AO378" s="72">
        <v>1</v>
      </c>
      <c r="AP378" s="72">
        <v>1</v>
      </c>
      <c r="AQ378" s="72">
        <v>1</v>
      </c>
      <c r="AR378" s="72">
        <v>1</v>
      </c>
      <c r="AS378" s="72">
        <v>1</v>
      </c>
      <c r="AT378" s="72">
        <v>1</v>
      </c>
      <c r="AU378" s="72">
        <v>1</v>
      </c>
      <c r="AV378" s="72">
        <v>1</v>
      </c>
      <c r="AW378" s="72">
        <v>1</v>
      </c>
      <c r="AX378" s="72">
        <v>1</v>
      </c>
      <c r="AY378" s="72">
        <v>1</v>
      </c>
      <c r="AZ378" s="72">
        <v>1</v>
      </c>
      <c r="BA378" s="72">
        <v>1</v>
      </c>
      <c r="BB378" s="72">
        <v>1</v>
      </c>
      <c r="BC378" s="72">
        <v>1</v>
      </c>
      <c r="BD378" s="72">
        <v>1</v>
      </c>
      <c r="BE378" s="72">
        <v>1</v>
      </c>
      <c r="BF378" s="72">
        <v>1</v>
      </c>
      <c r="BG378" s="72">
        <v>1</v>
      </c>
      <c r="BH378" s="72">
        <v>1</v>
      </c>
      <c r="BI378" s="72">
        <v>1</v>
      </c>
      <c r="BJ378" s="72">
        <v>1</v>
      </c>
      <c r="BK378" s="72">
        <v>1</v>
      </c>
      <c r="BL378" s="72">
        <v>1</v>
      </c>
      <c r="BM378" s="72">
        <v>1</v>
      </c>
      <c r="BN378" s="72">
        <v>1</v>
      </c>
      <c r="BO378" s="72">
        <v>1</v>
      </c>
      <c r="BP378" s="72">
        <v>1</v>
      </c>
      <c r="BQ378" s="72">
        <v>1</v>
      </c>
      <c r="BR378" s="72">
        <v>1</v>
      </c>
      <c r="BS378" s="72">
        <v>1</v>
      </c>
      <c r="BT378" s="72">
        <v>1</v>
      </c>
      <c r="BU378" s="72">
        <v>1</v>
      </c>
      <c r="BV378" s="72">
        <v>1</v>
      </c>
      <c r="BW378" s="72">
        <v>1</v>
      </c>
      <c r="BX378" s="72">
        <v>1</v>
      </c>
      <c r="BY378" s="72">
        <v>1</v>
      </c>
      <c r="BZ378" s="72">
        <v>1</v>
      </c>
      <c r="CA378" s="72">
        <v>1</v>
      </c>
      <c r="CB378" s="72">
        <v>1</v>
      </c>
      <c r="CC378" s="72">
        <v>1</v>
      </c>
      <c r="CD378" s="72">
        <v>1</v>
      </c>
      <c r="CE378" s="72">
        <v>1</v>
      </c>
      <c r="CF378" s="72">
        <v>1</v>
      </c>
      <c r="CG378" s="72">
        <v>1</v>
      </c>
      <c r="CH378" s="72">
        <v>1</v>
      </c>
      <c r="CI378" s="72">
        <v>1</v>
      </c>
      <c r="CJ378" s="72">
        <v>1</v>
      </c>
      <c r="CK378" s="72">
        <v>1</v>
      </c>
      <c r="CL378" s="72">
        <v>1</v>
      </c>
      <c r="CM378" s="72">
        <v>1</v>
      </c>
      <c r="CN378" s="72">
        <v>1</v>
      </c>
      <c r="CO378" s="72">
        <v>1</v>
      </c>
      <c r="CP378" s="72">
        <v>1</v>
      </c>
      <c r="CQ378" s="72">
        <v>1</v>
      </c>
      <c r="CR378" s="72">
        <v>1</v>
      </c>
      <c r="CS378" s="72">
        <v>1</v>
      </c>
      <c r="CT378" s="72">
        <v>1</v>
      </c>
      <c r="CU378" s="72">
        <v>1</v>
      </c>
      <c r="CV378" s="72">
        <v>1</v>
      </c>
      <c r="CW378" s="72">
        <v>1</v>
      </c>
      <c r="CX378" s="72">
        <v>1</v>
      </c>
      <c r="CY378" s="72">
        <v>1</v>
      </c>
      <c r="CZ378" s="72">
        <v>1</v>
      </c>
      <c r="DA378" s="72">
        <v>1</v>
      </c>
      <c r="DB378" s="72">
        <v>1</v>
      </c>
      <c r="DC378" s="72">
        <v>1</v>
      </c>
      <c r="DD378" s="72">
        <v>1</v>
      </c>
      <c r="DE378" s="72">
        <v>1</v>
      </c>
      <c r="DF378" s="72">
        <v>1</v>
      </c>
      <c r="DG378" s="72">
        <v>1</v>
      </c>
      <c r="DH378" s="72">
        <v>1</v>
      </c>
      <c r="DI378" s="72">
        <v>1</v>
      </c>
      <c r="DJ378" s="72">
        <v>1</v>
      </c>
      <c r="DK378" s="72">
        <v>1</v>
      </c>
      <c r="DL378" s="72">
        <v>1</v>
      </c>
    </row>
    <row r="379" spans="1:116" x14ac:dyDescent="0.35">
      <c r="A379" s="7"/>
      <c r="B379" s="8" t="s">
        <v>648</v>
      </c>
      <c r="C379" s="9" t="s">
        <v>649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5</v>
      </c>
      <c r="J379" s="10"/>
      <c r="K379" s="10" t="s">
        <v>42</v>
      </c>
      <c r="L379" s="8"/>
      <c r="M379" s="12">
        <v>530</v>
      </c>
      <c r="N379" s="12">
        <f t="shared" si="7"/>
        <v>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>
        <v>5</v>
      </c>
      <c r="AC379" s="11">
        <v>5</v>
      </c>
      <c r="AD379" s="11">
        <v>5</v>
      </c>
      <c r="AE379" s="11">
        <v>5</v>
      </c>
      <c r="AF379" s="11">
        <v>5</v>
      </c>
      <c r="AG379" s="11">
        <v>5</v>
      </c>
      <c r="AH379" s="11">
        <v>5</v>
      </c>
      <c r="AI379" s="11">
        <v>5</v>
      </c>
      <c r="AJ379" s="11">
        <v>5</v>
      </c>
      <c r="AK379" s="11">
        <v>5</v>
      </c>
      <c r="AL379" s="11">
        <v>5</v>
      </c>
      <c r="AM379" s="11">
        <v>5</v>
      </c>
      <c r="AN379" s="72">
        <v>5</v>
      </c>
      <c r="AO379" s="72">
        <v>5</v>
      </c>
      <c r="AP379" s="72">
        <v>5</v>
      </c>
      <c r="AQ379" s="72">
        <v>0</v>
      </c>
      <c r="AR379" s="72">
        <v>0</v>
      </c>
      <c r="AS379" s="72">
        <v>0</v>
      </c>
      <c r="AT379" s="72">
        <v>0</v>
      </c>
      <c r="AU379" s="72">
        <v>0</v>
      </c>
      <c r="AV379" s="72">
        <v>0</v>
      </c>
      <c r="AW379" s="72">
        <v>0</v>
      </c>
      <c r="AX379" s="72">
        <v>0</v>
      </c>
      <c r="AY379" s="72">
        <v>0</v>
      </c>
      <c r="AZ379" s="72">
        <v>0</v>
      </c>
      <c r="BA379" s="72">
        <v>0</v>
      </c>
      <c r="BB379" s="72">
        <v>0</v>
      </c>
      <c r="BC379" s="72">
        <v>0</v>
      </c>
      <c r="BD379" s="72">
        <v>0</v>
      </c>
      <c r="BE379" s="72">
        <v>0</v>
      </c>
      <c r="BF379" s="72">
        <v>0</v>
      </c>
      <c r="BG379" s="72">
        <v>0</v>
      </c>
      <c r="BH379" s="72">
        <v>0</v>
      </c>
      <c r="BI379" s="72">
        <v>0</v>
      </c>
      <c r="BJ379" s="72">
        <v>0</v>
      </c>
      <c r="BK379" s="72">
        <v>0</v>
      </c>
      <c r="BL379" s="72">
        <v>0</v>
      </c>
      <c r="BM379" s="72">
        <v>0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0</v>
      </c>
      <c r="BT379" s="72">
        <v>0</v>
      </c>
      <c r="BU379" s="72">
        <v>0</v>
      </c>
      <c r="BV379" s="72">
        <v>0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  <c r="DJ379" s="72">
        <v>0</v>
      </c>
      <c r="DK379" s="72">
        <v>0</v>
      </c>
      <c r="DL379" s="72">
        <v>0</v>
      </c>
    </row>
    <row r="380" spans="1:116" ht="39.85" x14ac:dyDescent="0.35">
      <c r="A380" s="7"/>
      <c r="B380" s="8" t="s">
        <v>650</v>
      </c>
      <c r="C380" s="9" t="s">
        <v>651</v>
      </c>
      <c r="D380" s="10" t="s">
        <v>594</v>
      </c>
      <c r="E380" s="8" t="s">
        <v>1203</v>
      </c>
      <c r="F380" s="10">
        <v>1002</v>
      </c>
      <c r="G380" s="10" t="s">
        <v>40</v>
      </c>
      <c r="H380" s="10" t="s">
        <v>41</v>
      </c>
      <c r="I380" s="11">
        <v>1</v>
      </c>
      <c r="J380" s="10">
        <v>2</v>
      </c>
      <c r="K380" s="10" t="s">
        <v>153</v>
      </c>
      <c r="L380" s="14" t="s">
        <v>652</v>
      </c>
      <c r="M380" s="12">
        <v>875.72</v>
      </c>
      <c r="N380" s="12">
        <f t="shared" si="7"/>
        <v>0</v>
      </c>
      <c r="O380" s="11">
        <v>16</v>
      </c>
      <c r="P380" s="11">
        <v>16</v>
      </c>
      <c r="Q380" s="11">
        <v>15</v>
      </c>
      <c r="R380" s="11">
        <v>15</v>
      </c>
      <c r="S380" s="11">
        <v>15</v>
      </c>
      <c r="T380" s="11">
        <v>13</v>
      </c>
      <c r="U380" s="11">
        <v>0</v>
      </c>
      <c r="V380" s="11">
        <v>0</v>
      </c>
      <c r="W380" s="11">
        <v>0</v>
      </c>
      <c r="X380" s="11">
        <v>0</v>
      </c>
      <c r="Y380" s="11">
        <v>0</v>
      </c>
      <c r="Z380" s="11">
        <v>0</v>
      </c>
      <c r="AA380" s="11">
        <v>0</v>
      </c>
      <c r="AB380" s="11">
        <v>20</v>
      </c>
      <c r="AC380" s="11">
        <v>20</v>
      </c>
      <c r="AD380" s="11">
        <v>20</v>
      </c>
      <c r="AE380" s="11">
        <v>1</v>
      </c>
      <c r="AF380" s="11">
        <v>1</v>
      </c>
      <c r="AG380" s="11">
        <v>1</v>
      </c>
      <c r="AH380" s="11">
        <v>1</v>
      </c>
      <c r="AI380" s="11">
        <v>1</v>
      </c>
      <c r="AJ380" s="11">
        <v>1</v>
      </c>
      <c r="AK380" s="11">
        <v>1</v>
      </c>
      <c r="AL380" s="11">
        <v>1</v>
      </c>
      <c r="AM380" s="11">
        <v>1</v>
      </c>
      <c r="AN380" s="72">
        <v>1</v>
      </c>
      <c r="AO380" s="72">
        <v>7</v>
      </c>
      <c r="AP380" s="72">
        <v>7</v>
      </c>
      <c r="AQ380" s="72">
        <v>0</v>
      </c>
      <c r="AR380" s="72">
        <v>1</v>
      </c>
      <c r="AS380" s="72">
        <v>1</v>
      </c>
      <c r="AT380" s="72">
        <v>1</v>
      </c>
      <c r="AU380" s="72">
        <v>10</v>
      </c>
      <c r="AV380" s="72">
        <v>10</v>
      </c>
      <c r="AW380" s="72">
        <v>25</v>
      </c>
      <c r="AX380" s="72">
        <v>25</v>
      </c>
      <c r="AY380" s="72">
        <v>25</v>
      </c>
      <c r="AZ380" s="72">
        <v>25</v>
      </c>
      <c r="BA380" s="72">
        <v>25</v>
      </c>
      <c r="BB380" s="72">
        <v>25</v>
      </c>
      <c r="BC380" s="72">
        <v>25</v>
      </c>
      <c r="BD380" s="72">
        <v>24</v>
      </c>
      <c r="BE380" s="72">
        <v>24</v>
      </c>
      <c r="BF380" s="72">
        <v>24</v>
      </c>
      <c r="BG380" s="72">
        <v>24</v>
      </c>
      <c r="BH380" s="72">
        <v>24</v>
      </c>
      <c r="BI380" s="72">
        <v>24</v>
      </c>
      <c r="BJ380" s="72">
        <v>24</v>
      </c>
      <c r="BK380" s="72">
        <v>21</v>
      </c>
      <c r="BL380" s="72">
        <v>21</v>
      </c>
      <c r="BM380" s="72">
        <v>21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1</v>
      </c>
      <c r="BT380" s="72">
        <v>1</v>
      </c>
      <c r="BU380" s="72">
        <v>1</v>
      </c>
      <c r="BV380" s="72">
        <v>2</v>
      </c>
      <c r="BW380" s="72">
        <v>1</v>
      </c>
      <c r="BX380" s="72">
        <v>1</v>
      </c>
      <c r="BY380" s="72">
        <v>1</v>
      </c>
      <c r="BZ380" s="72">
        <v>1</v>
      </c>
      <c r="CA380" s="72">
        <v>1</v>
      </c>
      <c r="CB380" s="72">
        <v>1</v>
      </c>
      <c r="CC380" s="72">
        <v>1</v>
      </c>
      <c r="CD380" s="72">
        <v>1</v>
      </c>
      <c r="CE380" s="72">
        <v>1</v>
      </c>
      <c r="CF380" s="72">
        <v>1</v>
      </c>
      <c r="CG380" s="72">
        <v>1</v>
      </c>
      <c r="CH380" s="72">
        <v>1</v>
      </c>
      <c r="CI380" s="72">
        <v>1</v>
      </c>
      <c r="CJ380" s="72">
        <v>1</v>
      </c>
      <c r="CK380" s="72">
        <v>1</v>
      </c>
      <c r="CL380" s="72">
        <v>1</v>
      </c>
      <c r="CM380" s="72">
        <v>1</v>
      </c>
      <c r="CN380" s="72">
        <v>1</v>
      </c>
      <c r="CO380" s="72">
        <v>1</v>
      </c>
      <c r="CP380" s="72">
        <v>1</v>
      </c>
      <c r="CQ380" s="72">
        <v>1</v>
      </c>
      <c r="CR380" s="72">
        <v>1</v>
      </c>
      <c r="CS380" s="72">
        <v>1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</row>
    <row r="381" spans="1:116" x14ac:dyDescent="0.35">
      <c r="A381" s="7"/>
      <c r="B381" s="8" t="s">
        <v>1353</v>
      </c>
      <c r="C381" s="9" t="s">
        <v>651</v>
      </c>
      <c r="D381" s="10" t="s">
        <v>594</v>
      </c>
      <c r="E381" s="8" t="s">
        <v>1203</v>
      </c>
      <c r="F381" s="10"/>
      <c r="G381" s="10"/>
      <c r="H381" s="10" t="s">
        <v>41</v>
      </c>
      <c r="I381" s="11"/>
      <c r="J381" s="10"/>
      <c r="K381" s="10"/>
      <c r="L381" s="14"/>
      <c r="M381" s="12"/>
      <c r="N381" s="12">
        <f t="shared" si="7"/>
        <v>0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>
        <v>1</v>
      </c>
      <c r="BK381" s="72">
        <v>1</v>
      </c>
      <c r="BL381" s="72">
        <v>1</v>
      </c>
      <c r="BM381" s="72">
        <v>1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  <c r="DJ381" s="72">
        <v>0</v>
      </c>
      <c r="DK381" s="72">
        <v>0</v>
      </c>
      <c r="DL381" s="72">
        <v>0</v>
      </c>
    </row>
    <row r="382" spans="1:116" ht="39.85" x14ac:dyDescent="0.35">
      <c r="A382" s="7"/>
      <c r="B382" s="8" t="s">
        <v>653</v>
      </c>
      <c r="C382" s="9" t="s">
        <v>654</v>
      </c>
      <c r="D382" s="10" t="s">
        <v>594</v>
      </c>
      <c r="E382" s="8" t="s">
        <v>1203</v>
      </c>
      <c r="F382" s="10">
        <v>1002</v>
      </c>
      <c r="G382" s="10" t="s">
        <v>40</v>
      </c>
      <c r="H382" s="10" t="s">
        <v>41</v>
      </c>
      <c r="I382" s="11">
        <v>1</v>
      </c>
      <c r="J382" s="10">
        <v>0</v>
      </c>
      <c r="K382" s="10" t="s">
        <v>153</v>
      </c>
      <c r="L382" s="14" t="s">
        <v>655</v>
      </c>
      <c r="M382" s="12">
        <v>975</v>
      </c>
      <c r="N382" s="12">
        <f t="shared" si="7"/>
        <v>0</v>
      </c>
      <c r="O382" s="11"/>
      <c r="P382" s="11"/>
      <c r="Q382" s="11">
        <v>6</v>
      </c>
      <c r="R382" s="11">
        <v>6</v>
      </c>
      <c r="S382" s="11">
        <v>6</v>
      </c>
      <c r="T382" s="11">
        <v>6</v>
      </c>
      <c r="U382" s="11">
        <v>6</v>
      </c>
      <c r="V382" s="11">
        <v>6</v>
      </c>
      <c r="W382" s="11">
        <v>6</v>
      </c>
      <c r="X382" s="11">
        <v>5</v>
      </c>
      <c r="Y382" s="11">
        <v>5</v>
      </c>
      <c r="Z382" s="11">
        <v>5</v>
      </c>
      <c r="AA382" s="11">
        <v>5</v>
      </c>
      <c r="AB382" s="11">
        <v>6</v>
      </c>
      <c r="AC382" s="11">
        <v>6</v>
      </c>
      <c r="AD382" s="11">
        <v>6</v>
      </c>
      <c r="AE382" s="11">
        <v>6</v>
      </c>
      <c r="AF382" s="11">
        <v>6</v>
      </c>
      <c r="AG382" s="11">
        <v>6</v>
      </c>
      <c r="AH382" s="11">
        <v>0</v>
      </c>
      <c r="AI382" s="11">
        <v>0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</row>
    <row r="383" spans="1:116" x14ac:dyDescent="0.35">
      <c r="A383" s="7"/>
      <c r="B383" s="8" t="s">
        <v>1269</v>
      </c>
      <c r="C383" s="78" t="s">
        <v>1278</v>
      </c>
      <c r="D383" s="10" t="s">
        <v>594</v>
      </c>
      <c r="E383" s="8" t="s">
        <v>1203</v>
      </c>
      <c r="F383" s="10"/>
      <c r="G383" s="10"/>
      <c r="H383" s="10" t="s">
        <v>41</v>
      </c>
      <c r="I383" s="11"/>
      <c r="J383" s="10"/>
      <c r="K383" s="10"/>
      <c r="L383" s="14"/>
      <c r="M383" s="12"/>
      <c r="N383" s="12">
        <f t="shared" si="7"/>
        <v>0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  <c r="DK383" s="72">
        <v>0</v>
      </c>
      <c r="DL383" s="72">
        <v>0</v>
      </c>
    </row>
    <row r="384" spans="1:116" x14ac:dyDescent="0.35">
      <c r="A384" s="7"/>
      <c r="B384" s="8" t="s">
        <v>656</v>
      </c>
      <c r="C384" s="9" t="s">
        <v>657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</v>
      </c>
      <c r="J384" s="10"/>
      <c r="K384" s="10" t="s">
        <v>42</v>
      </c>
      <c r="L384" s="8" t="s">
        <v>658</v>
      </c>
      <c r="M384" s="12"/>
      <c r="N384" s="12">
        <f t="shared" si="7"/>
        <v>0</v>
      </c>
      <c r="O384" s="11">
        <v>6</v>
      </c>
      <c r="P384" s="11">
        <v>6</v>
      </c>
      <c r="Q384" s="11">
        <v>6</v>
      </c>
      <c r="R384" s="11">
        <v>6</v>
      </c>
      <c r="S384" s="11">
        <v>6</v>
      </c>
      <c r="T384" s="11">
        <v>0</v>
      </c>
      <c r="U384" s="11">
        <v>0</v>
      </c>
      <c r="V384" s="11">
        <v>0</v>
      </c>
      <c r="W384" s="11">
        <v>0</v>
      </c>
      <c r="X384" s="11">
        <v>0</v>
      </c>
      <c r="Y384" s="11">
        <v>0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1</v>
      </c>
      <c r="AK384" s="11">
        <v>1</v>
      </c>
      <c r="AL384" s="11">
        <v>1</v>
      </c>
      <c r="AM384" s="11">
        <v>1</v>
      </c>
      <c r="AN384" s="72">
        <v>1</v>
      </c>
      <c r="AO384" s="72">
        <v>1</v>
      </c>
      <c r="AP384" s="72">
        <v>1</v>
      </c>
      <c r="AQ384" s="72">
        <v>1</v>
      </c>
      <c r="AR384" s="72">
        <v>1</v>
      </c>
      <c r="AS384" s="72">
        <v>1</v>
      </c>
      <c r="AT384" s="72">
        <v>1</v>
      </c>
      <c r="AU384" s="72">
        <v>1</v>
      </c>
      <c r="AV384" s="72">
        <v>1</v>
      </c>
      <c r="AW384" s="72">
        <v>1</v>
      </c>
      <c r="AX384" s="72">
        <v>1</v>
      </c>
      <c r="AY384" s="72">
        <v>1</v>
      </c>
      <c r="AZ384" s="72">
        <v>1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</row>
    <row r="385" spans="1:116" x14ac:dyDescent="0.35">
      <c r="A385" s="7"/>
      <c r="B385" s="8" t="s">
        <v>660</v>
      </c>
      <c r="C385" s="9" t="s">
        <v>661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11</v>
      </c>
      <c r="J385" s="10"/>
      <c r="K385" s="10" t="s">
        <v>42</v>
      </c>
      <c r="L385" s="8" t="s">
        <v>662</v>
      </c>
      <c r="M385" s="12">
        <v>1323</v>
      </c>
      <c r="N385" s="12">
        <f t="shared" si="7"/>
        <v>0</v>
      </c>
      <c r="O385" s="11"/>
      <c r="P385" s="11"/>
      <c r="Q385" s="11">
        <v>30</v>
      </c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>
        <v>11</v>
      </c>
      <c r="AC385" s="11">
        <v>11</v>
      </c>
      <c r="AD385" s="11">
        <v>11</v>
      </c>
      <c r="AE385" s="11">
        <v>11</v>
      </c>
      <c r="AF385" s="11">
        <v>11</v>
      </c>
      <c r="AG385" s="11">
        <v>11</v>
      </c>
      <c r="AH385" s="11">
        <v>11</v>
      </c>
      <c r="AI385" s="11">
        <v>11</v>
      </c>
      <c r="AJ385" s="11">
        <v>11</v>
      </c>
      <c r="AK385" s="11">
        <v>11</v>
      </c>
      <c r="AL385" s="11">
        <v>11</v>
      </c>
      <c r="AM385" s="11">
        <v>11</v>
      </c>
      <c r="AN385" s="72">
        <v>11</v>
      </c>
      <c r="AO385" s="72">
        <v>11</v>
      </c>
      <c r="AP385" s="72">
        <v>11</v>
      </c>
      <c r="AQ385" s="72">
        <v>11</v>
      </c>
      <c r="AR385" s="72">
        <v>11</v>
      </c>
      <c r="AS385" s="72">
        <v>11</v>
      </c>
      <c r="AT385" s="72">
        <v>10</v>
      </c>
      <c r="AU385" s="72">
        <v>10</v>
      </c>
      <c r="AV385" s="72">
        <v>10</v>
      </c>
      <c r="AW385" s="72">
        <v>25</v>
      </c>
      <c r="AX385" s="72">
        <v>25</v>
      </c>
      <c r="AY385" s="72">
        <v>25</v>
      </c>
      <c r="AZ385" s="72">
        <v>25</v>
      </c>
      <c r="BA385" s="72">
        <v>25</v>
      </c>
      <c r="BB385" s="72">
        <v>25</v>
      </c>
      <c r="BC385" s="72">
        <v>25</v>
      </c>
      <c r="BD385" s="72">
        <v>25</v>
      </c>
      <c r="BE385" s="72">
        <v>25</v>
      </c>
      <c r="BF385" s="72">
        <v>25</v>
      </c>
      <c r="BG385" s="72">
        <v>25</v>
      </c>
      <c r="BH385" s="72">
        <v>25</v>
      </c>
      <c r="BI385" s="72">
        <v>25</v>
      </c>
      <c r="BJ385" s="72">
        <v>25</v>
      </c>
      <c r="BK385" s="72">
        <v>25</v>
      </c>
      <c r="BL385" s="72">
        <v>25</v>
      </c>
      <c r="BM385" s="72">
        <v>25</v>
      </c>
      <c r="BN385" s="72">
        <v>14</v>
      </c>
      <c r="BO385" s="72">
        <v>14</v>
      </c>
      <c r="BP385" s="72">
        <v>13</v>
      </c>
      <c r="BQ385" s="72">
        <v>13</v>
      </c>
      <c r="BR385" s="72">
        <v>3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0</v>
      </c>
      <c r="DL385" s="72">
        <v>0</v>
      </c>
    </row>
    <row r="386" spans="1:116" x14ac:dyDescent="0.35">
      <c r="A386" s="7"/>
      <c r="B386" s="77" t="s">
        <v>1388</v>
      </c>
      <c r="C386" s="9" t="s">
        <v>1390</v>
      </c>
      <c r="D386" s="10" t="s">
        <v>594</v>
      </c>
      <c r="E386" s="8" t="s">
        <v>1203</v>
      </c>
      <c r="F386" s="10"/>
      <c r="G386" s="10"/>
      <c r="H386" s="10" t="s">
        <v>41</v>
      </c>
      <c r="I386" s="11">
        <v>0</v>
      </c>
      <c r="J386" s="10"/>
      <c r="K386" s="10"/>
      <c r="L386" s="8"/>
      <c r="M386" s="12"/>
      <c r="N386" s="12">
        <f t="shared" si="7"/>
        <v>0</v>
      </c>
      <c r="O386" s="11">
        <v>0</v>
      </c>
      <c r="P386" s="11">
        <v>0</v>
      </c>
      <c r="Q386" s="11">
        <v>0</v>
      </c>
      <c r="R386" s="11">
        <v>0</v>
      </c>
      <c r="S386" s="11">
        <v>0</v>
      </c>
      <c r="T386" s="11">
        <v>0</v>
      </c>
      <c r="U386" s="11">
        <v>0</v>
      </c>
      <c r="V386" s="11">
        <v>0</v>
      </c>
      <c r="W386" s="11">
        <v>0</v>
      </c>
      <c r="X386" s="11">
        <v>0</v>
      </c>
      <c r="Y386" s="11">
        <v>0</v>
      </c>
      <c r="Z386" s="11">
        <v>0</v>
      </c>
      <c r="AA386" s="11">
        <v>0</v>
      </c>
      <c r="AB386" s="11">
        <v>0</v>
      </c>
      <c r="AC386" s="11">
        <v>0</v>
      </c>
      <c r="AD386" s="11">
        <v>0</v>
      </c>
      <c r="AE386" s="11">
        <v>0</v>
      </c>
      <c r="AF386" s="11">
        <v>0</v>
      </c>
      <c r="AG386" s="11">
        <v>0</v>
      </c>
      <c r="AH386" s="11">
        <v>0</v>
      </c>
      <c r="AI386" s="11">
        <v>0</v>
      </c>
      <c r="AJ386" s="11">
        <v>0</v>
      </c>
      <c r="AK386" s="11">
        <v>0</v>
      </c>
      <c r="AL386" s="11">
        <v>0</v>
      </c>
      <c r="AM386" s="11">
        <v>0</v>
      </c>
      <c r="AN386" s="72">
        <v>0</v>
      </c>
      <c r="AO386" s="72">
        <v>0</v>
      </c>
      <c r="AP386" s="72">
        <v>0</v>
      </c>
      <c r="AQ386" s="72">
        <v>0</v>
      </c>
      <c r="AR386" s="72">
        <v>0</v>
      </c>
      <c r="AS386" s="72">
        <v>0</v>
      </c>
      <c r="AT386" s="72">
        <v>0</v>
      </c>
      <c r="AU386" s="72">
        <v>0</v>
      </c>
      <c r="AV386" s="72">
        <v>0</v>
      </c>
      <c r="AW386" s="72">
        <v>0</v>
      </c>
      <c r="AX386" s="72">
        <v>0</v>
      </c>
      <c r="AY386" s="72">
        <v>0</v>
      </c>
      <c r="AZ386" s="72">
        <v>0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0</v>
      </c>
      <c r="BH386" s="72">
        <v>0</v>
      </c>
      <c r="BI386" s="72">
        <v>0</v>
      </c>
      <c r="BJ386" s="72">
        <v>0</v>
      </c>
      <c r="BK386" s="72">
        <v>0</v>
      </c>
      <c r="BL386" s="72">
        <v>0</v>
      </c>
      <c r="BM386" s="72">
        <v>0</v>
      </c>
      <c r="BN386" s="72">
        <v>0</v>
      </c>
      <c r="BO386" s="72">
        <v>0</v>
      </c>
      <c r="BP386" s="72">
        <v>0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1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</row>
    <row r="387" spans="1:116" x14ac:dyDescent="0.35">
      <c r="A387" s="7"/>
      <c r="B387" s="8" t="s">
        <v>663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20</v>
      </c>
      <c r="J387" s="10"/>
      <c r="K387" s="10" t="s">
        <v>153</v>
      </c>
      <c r="L387" s="8"/>
      <c r="M387" s="12">
        <v>1348</v>
      </c>
      <c r="N387" s="12">
        <f t="shared" ref="N387:N439" si="9">M387*DL387</f>
        <v>0</v>
      </c>
      <c r="O387" s="11">
        <v>25</v>
      </c>
      <c r="P387" s="11">
        <v>25</v>
      </c>
      <c r="Q387" s="11">
        <v>30</v>
      </c>
      <c r="R387" s="11">
        <v>30</v>
      </c>
      <c r="S387" s="11">
        <v>30</v>
      </c>
      <c r="T387" s="11">
        <v>30</v>
      </c>
      <c r="U387" s="11">
        <v>22</v>
      </c>
      <c r="V387" s="11">
        <v>22</v>
      </c>
      <c r="W387" s="11">
        <v>22</v>
      </c>
      <c r="X387" s="11">
        <v>22</v>
      </c>
      <c r="Y387" s="11">
        <v>22</v>
      </c>
      <c r="Z387" s="11">
        <v>22</v>
      </c>
      <c r="AA387" s="11">
        <v>22</v>
      </c>
      <c r="AB387" s="11">
        <v>23</v>
      </c>
      <c r="AC387" s="11">
        <v>23</v>
      </c>
      <c r="AD387" s="11">
        <v>23</v>
      </c>
      <c r="AE387" s="11">
        <v>22</v>
      </c>
      <c r="AF387" s="11">
        <v>22</v>
      </c>
      <c r="AG387" s="11">
        <v>22</v>
      </c>
      <c r="AH387" s="11">
        <v>22</v>
      </c>
      <c r="AI387" s="11">
        <v>20</v>
      </c>
      <c r="AJ387" s="11">
        <v>20</v>
      </c>
      <c r="AK387" s="11">
        <v>20</v>
      </c>
      <c r="AL387" s="11">
        <v>20</v>
      </c>
      <c r="AM387" s="11">
        <v>20</v>
      </c>
      <c r="AN387" s="72">
        <v>20</v>
      </c>
      <c r="AO387" s="72">
        <v>23</v>
      </c>
      <c r="AP387" s="72">
        <v>21</v>
      </c>
      <c r="AQ387" s="72">
        <v>21</v>
      </c>
      <c r="AR387" s="72">
        <v>21</v>
      </c>
      <c r="AS387" s="72">
        <v>21</v>
      </c>
      <c r="AT387" s="72">
        <v>21</v>
      </c>
      <c r="AU387" s="72">
        <v>21</v>
      </c>
      <c r="AV387" s="72">
        <v>21</v>
      </c>
      <c r="AW387" s="72">
        <v>36</v>
      </c>
      <c r="AX387" s="72">
        <v>36</v>
      </c>
      <c r="AY387" s="72">
        <v>29</v>
      </c>
      <c r="AZ387" s="72">
        <v>29</v>
      </c>
      <c r="BA387" s="72">
        <v>29</v>
      </c>
      <c r="BB387" s="72">
        <v>28</v>
      </c>
      <c r="BC387" s="72">
        <v>28</v>
      </c>
      <c r="BD387" s="72">
        <v>28</v>
      </c>
      <c r="BE387" s="72">
        <v>28</v>
      </c>
      <c r="BF387" s="72">
        <v>28</v>
      </c>
      <c r="BG387" s="72">
        <v>28</v>
      </c>
      <c r="BH387" s="72">
        <v>28</v>
      </c>
      <c r="BI387" s="72">
        <v>28</v>
      </c>
      <c r="BJ387" s="72">
        <v>28</v>
      </c>
      <c r="BK387" s="72">
        <v>28</v>
      </c>
      <c r="BL387" s="72">
        <v>28</v>
      </c>
      <c r="BM387" s="72">
        <v>28</v>
      </c>
      <c r="BN387" s="72">
        <v>16</v>
      </c>
      <c r="BO387" s="72">
        <v>16</v>
      </c>
      <c r="BP387" s="72">
        <v>16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0</v>
      </c>
      <c r="DL387" s="72">
        <v>0</v>
      </c>
    </row>
    <row r="388" spans="1:116" x14ac:dyDescent="0.35">
      <c r="A388" s="7"/>
      <c r="B388" s="77" t="s">
        <v>1337</v>
      </c>
      <c r="C388" s="9" t="s">
        <v>664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0</v>
      </c>
      <c r="J388" s="10">
        <v>1</v>
      </c>
      <c r="K388" s="10" t="s">
        <v>659</v>
      </c>
      <c r="L388" s="8" t="s">
        <v>665</v>
      </c>
      <c r="M388" s="12"/>
      <c r="N388" s="12">
        <f t="shared" si="9"/>
        <v>0</v>
      </c>
      <c r="O388" s="11">
        <v>0</v>
      </c>
      <c r="P388" s="11">
        <v>0</v>
      </c>
      <c r="Q388" s="11"/>
      <c r="R388" s="11">
        <v>0</v>
      </c>
      <c r="S388" s="11">
        <v>0</v>
      </c>
      <c r="T388" s="11">
        <v>0</v>
      </c>
      <c r="U388" s="11">
        <v>0</v>
      </c>
      <c r="V388" s="11">
        <v>0</v>
      </c>
      <c r="W388" s="11">
        <v>0</v>
      </c>
      <c r="X388" s="11">
        <v>0</v>
      </c>
      <c r="Y388" s="11">
        <v>0</v>
      </c>
      <c r="Z388" s="11">
        <v>0</v>
      </c>
      <c r="AA388" s="11">
        <v>22</v>
      </c>
      <c r="AB388" s="11">
        <v>0</v>
      </c>
      <c r="AC388" s="11">
        <v>0</v>
      </c>
      <c r="AD388" s="11">
        <v>0</v>
      </c>
      <c r="AE388" s="11">
        <v>0</v>
      </c>
      <c r="AF388" s="11">
        <v>0</v>
      </c>
      <c r="AG388" s="11">
        <v>0</v>
      </c>
      <c r="AH388" s="11">
        <v>0</v>
      </c>
      <c r="AI388" s="11">
        <v>0</v>
      </c>
      <c r="AJ388" s="11">
        <v>0</v>
      </c>
      <c r="AK388" s="11">
        <v>0</v>
      </c>
      <c r="AL388" s="11">
        <v>0</v>
      </c>
      <c r="AM388" s="11">
        <v>0</v>
      </c>
      <c r="AN388" s="72">
        <v>0</v>
      </c>
      <c r="AO388" s="72">
        <v>0</v>
      </c>
      <c r="AP388" s="72">
        <v>0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</row>
    <row r="389" spans="1:116" x14ac:dyDescent="0.35">
      <c r="A389" s="7"/>
      <c r="B389" s="8" t="s">
        <v>666</v>
      </c>
      <c r="C389" s="9" t="s">
        <v>1160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/>
      <c r="K389" s="10" t="s">
        <v>153</v>
      </c>
      <c r="L389" s="8" t="s">
        <v>667</v>
      </c>
      <c r="M389" s="12"/>
      <c r="N389" s="12">
        <f t="shared" si="9"/>
        <v>0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1</v>
      </c>
      <c r="AP389" s="72">
        <v>1</v>
      </c>
      <c r="AQ389" s="72">
        <v>1</v>
      </c>
      <c r="AR389" s="72">
        <v>1</v>
      </c>
      <c r="AS389" s="72">
        <v>1</v>
      </c>
      <c r="AT389" s="72">
        <v>1</v>
      </c>
      <c r="AU389" s="72">
        <v>1</v>
      </c>
      <c r="AV389" s="72">
        <v>1</v>
      </c>
      <c r="AW389" s="72">
        <v>1</v>
      </c>
      <c r="AX389" s="72">
        <v>1</v>
      </c>
      <c r="AY389" s="72">
        <v>1</v>
      </c>
      <c r="AZ389" s="72">
        <v>1</v>
      </c>
      <c r="BA389" s="72">
        <v>1</v>
      </c>
      <c r="BB389" s="72">
        <v>1</v>
      </c>
      <c r="BC389" s="72">
        <v>1</v>
      </c>
      <c r="BD389" s="72">
        <v>1</v>
      </c>
      <c r="BE389" s="72">
        <v>1</v>
      </c>
      <c r="BF389" s="72">
        <v>1</v>
      </c>
      <c r="BG389" s="72">
        <v>1</v>
      </c>
      <c r="BH389" s="72">
        <v>1</v>
      </c>
      <c r="BI389" s="72">
        <v>1</v>
      </c>
      <c r="BJ389" s="72">
        <v>1</v>
      </c>
      <c r="BK389" s="72">
        <v>1</v>
      </c>
      <c r="BL389" s="72">
        <v>1</v>
      </c>
      <c r="BM389" s="72">
        <v>1</v>
      </c>
      <c r="BN389" s="72">
        <v>1</v>
      </c>
      <c r="BO389" s="72">
        <v>1</v>
      </c>
      <c r="BP389" s="72">
        <v>1</v>
      </c>
      <c r="BQ389" s="72">
        <v>1</v>
      </c>
      <c r="BR389" s="72">
        <v>1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</row>
    <row r="390" spans="1:116" x14ac:dyDescent="0.35">
      <c r="A390" s="7"/>
      <c r="B390" s="8" t="s">
        <v>668</v>
      </c>
      <c r="C390" s="78" t="s">
        <v>1348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>
        <v>4</v>
      </c>
      <c r="J390" s="10">
        <v>1</v>
      </c>
      <c r="K390" s="10" t="s">
        <v>153</v>
      </c>
      <c r="L390" s="8" t="s">
        <v>669</v>
      </c>
      <c r="M390" s="12">
        <v>3000</v>
      </c>
      <c r="N390" s="12">
        <f t="shared" si="9"/>
        <v>12000</v>
      </c>
      <c r="O390" s="11">
        <v>5</v>
      </c>
      <c r="P390" s="11">
        <v>5</v>
      </c>
      <c r="Q390" s="11">
        <v>5</v>
      </c>
      <c r="R390" s="11">
        <v>5</v>
      </c>
      <c r="S390" s="11">
        <v>5</v>
      </c>
      <c r="T390" s="11">
        <v>5</v>
      </c>
      <c r="U390" s="11">
        <v>5</v>
      </c>
      <c r="V390" s="11">
        <v>5</v>
      </c>
      <c r="W390" s="11">
        <v>5</v>
      </c>
      <c r="X390" s="11">
        <v>4</v>
      </c>
      <c r="Y390" s="11">
        <v>4</v>
      </c>
      <c r="Z390" s="11">
        <v>4</v>
      </c>
      <c r="AA390" s="11">
        <v>4</v>
      </c>
      <c r="AB390" s="11">
        <v>4</v>
      </c>
      <c r="AC390" s="11">
        <v>4</v>
      </c>
      <c r="AD390" s="11">
        <v>4</v>
      </c>
      <c r="AE390" s="11">
        <v>4</v>
      </c>
      <c r="AF390" s="11">
        <v>4</v>
      </c>
      <c r="AG390" s="11">
        <v>4</v>
      </c>
      <c r="AH390" s="11">
        <v>4</v>
      </c>
      <c r="AI390" s="11">
        <v>4</v>
      </c>
      <c r="AJ390" s="11">
        <v>4</v>
      </c>
      <c r="AK390" s="11">
        <v>4</v>
      </c>
      <c r="AL390" s="11">
        <v>4</v>
      </c>
      <c r="AM390" s="11">
        <v>4</v>
      </c>
      <c r="AN390" s="72">
        <v>4</v>
      </c>
      <c r="AO390" s="72">
        <v>4</v>
      </c>
      <c r="AP390" s="72">
        <v>4</v>
      </c>
      <c r="AQ390" s="72">
        <v>4</v>
      </c>
      <c r="AR390" s="72">
        <v>4</v>
      </c>
      <c r="AS390" s="72">
        <v>4</v>
      </c>
      <c r="AT390" s="72">
        <v>4</v>
      </c>
      <c r="AU390" s="72">
        <v>4</v>
      </c>
      <c r="AV390" s="72">
        <v>4</v>
      </c>
      <c r="AW390" s="72">
        <v>4</v>
      </c>
      <c r="AX390" s="72">
        <v>4</v>
      </c>
      <c r="AY390" s="72">
        <v>4</v>
      </c>
      <c r="AZ390" s="72">
        <v>4</v>
      </c>
      <c r="BA390" s="72">
        <v>4</v>
      </c>
      <c r="BB390" s="72">
        <v>4</v>
      </c>
      <c r="BC390" s="72">
        <v>4</v>
      </c>
      <c r="BD390" s="72">
        <v>4</v>
      </c>
      <c r="BE390" s="72">
        <v>4</v>
      </c>
      <c r="BF390" s="72">
        <v>4</v>
      </c>
      <c r="BG390" s="72">
        <v>4</v>
      </c>
      <c r="BH390" s="72">
        <v>4</v>
      </c>
      <c r="BI390" s="72">
        <v>4</v>
      </c>
      <c r="BJ390" s="72">
        <v>4</v>
      </c>
      <c r="BK390" s="72">
        <v>4</v>
      </c>
      <c r="BL390" s="72">
        <v>4</v>
      </c>
      <c r="BM390" s="72">
        <v>4</v>
      </c>
      <c r="BN390" s="72">
        <v>4</v>
      </c>
      <c r="BO390" s="72">
        <v>4</v>
      </c>
      <c r="BP390" s="72">
        <v>4</v>
      </c>
      <c r="BQ390" s="72">
        <v>4</v>
      </c>
      <c r="BR390" s="72">
        <v>4</v>
      </c>
      <c r="BS390" s="72">
        <v>4</v>
      </c>
      <c r="BT390" s="72">
        <v>4</v>
      </c>
      <c r="BU390" s="72">
        <v>4</v>
      </c>
      <c r="BV390" s="72">
        <v>4</v>
      </c>
      <c r="BW390" s="72">
        <v>4</v>
      </c>
      <c r="BX390" s="72">
        <v>4</v>
      </c>
      <c r="BY390" s="72">
        <v>4</v>
      </c>
      <c r="BZ390" s="72">
        <v>4</v>
      </c>
      <c r="CA390" s="72">
        <v>4</v>
      </c>
      <c r="CB390" s="72">
        <v>4</v>
      </c>
      <c r="CC390" s="72">
        <v>4</v>
      </c>
      <c r="CD390" s="72">
        <v>4</v>
      </c>
      <c r="CE390" s="72">
        <v>4</v>
      </c>
      <c r="CF390" s="72">
        <v>4</v>
      </c>
      <c r="CG390" s="72">
        <v>4</v>
      </c>
      <c r="CH390" s="72">
        <v>4</v>
      </c>
      <c r="CI390" s="72">
        <v>4</v>
      </c>
      <c r="CJ390" s="72">
        <v>4</v>
      </c>
      <c r="CK390" s="72">
        <v>4</v>
      </c>
      <c r="CL390" s="72">
        <v>4</v>
      </c>
      <c r="CM390" s="72">
        <v>4</v>
      </c>
      <c r="CN390" s="72">
        <v>4</v>
      </c>
      <c r="CO390" s="72">
        <v>4</v>
      </c>
      <c r="CP390" s="72">
        <v>4</v>
      </c>
      <c r="CQ390" s="72">
        <v>4</v>
      </c>
      <c r="CR390" s="72">
        <v>4</v>
      </c>
      <c r="CS390" s="72">
        <v>4</v>
      </c>
      <c r="CT390" s="72">
        <v>4</v>
      </c>
      <c r="CU390" s="72">
        <v>4</v>
      </c>
      <c r="CV390" s="72">
        <v>4</v>
      </c>
      <c r="CW390" s="72">
        <v>4</v>
      </c>
      <c r="CX390" s="72">
        <v>4</v>
      </c>
      <c r="CY390" s="72">
        <v>4</v>
      </c>
      <c r="CZ390" s="72">
        <v>4</v>
      </c>
      <c r="DA390" s="72">
        <v>4</v>
      </c>
      <c r="DB390" s="72">
        <v>4</v>
      </c>
      <c r="DC390" s="72">
        <v>4</v>
      </c>
      <c r="DD390" s="72">
        <v>4</v>
      </c>
      <c r="DE390" s="72">
        <v>4</v>
      </c>
      <c r="DF390" s="72">
        <v>4</v>
      </c>
      <c r="DG390" s="72">
        <v>4</v>
      </c>
      <c r="DH390" s="72">
        <v>4</v>
      </c>
      <c r="DI390" s="72">
        <v>4</v>
      </c>
      <c r="DJ390" s="72">
        <v>4</v>
      </c>
      <c r="DK390" s="72">
        <v>4</v>
      </c>
      <c r="DL390" s="72">
        <v>4</v>
      </c>
    </row>
    <row r="391" spans="1:116" x14ac:dyDescent="0.35">
      <c r="A391" s="7"/>
      <c r="B391" s="77" t="s">
        <v>1174</v>
      </c>
      <c r="C391" s="9" t="s">
        <v>1183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/>
      <c r="J391" s="10"/>
      <c r="K391" s="10"/>
      <c r="L391" s="8"/>
      <c r="M391" s="12"/>
      <c r="N391" s="12">
        <f t="shared" si="9"/>
        <v>0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1</v>
      </c>
      <c r="BC391" s="72">
        <v>1</v>
      </c>
      <c r="BD391" s="72">
        <v>1</v>
      </c>
      <c r="BE391" s="72">
        <v>1</v>
      </c>
      <c r="BF391" s="72">
        <v>1</v>
      </c>
      <c r="BG391" s="72">
        <v>1</v>
      </c>
      <c r="BH391" s="72">
        <v>1</v>
      </c>
      <c r="BI391" s="72">
        <v>1</v>
      </c>
      <c r="BJ391" s="72">
        <v>1</v>
      </c>
      <c r="BK391" s="72">
        <v>1</v>
      </c>
      <c r="BL391" s="72">
        <v>1</v>
      </c>
      <c r="BM391" s="72">
        <v>1</v>
      </c>
      <c r="BN391" s="72">
        <v>1</v>
      </c>
      <c r="BO391" s="72">
        <v>1</v>
      </c>
      <c r="BP391" s="72">
        <v>1</v>
      </c>
      <c r="BQ391" s="72">
        <v>1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</row>
    <row r="392" spans="1:116" x14ac:dyDescent="0.35">
      <c r="A392" s="7"/>
      <c r="B392" s="8" t="s">
        <v>670</v>
      </c>
      <c r="C392" s="9" t="s">
        <v>671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0</v>
      </c>
      <c r="J392" s="10"/>
      <c r="K392" s="10" t="s">
        <v>153</v>
      </c>
      <c r="L392" s="8"/>
      <c r="M392" s="12">
        <v>5138.74</v>
      </c>
      <c r="N392" s="12">
        <f t="shared" si="9"/>
        <v>0</v>
      </c>
      <c r="O392" s="11"/>
      <c r="P392" s="11"/>
      <c r="Q392" s="11">
        <v>2</v>
      </c>
      <c r="R392" s="11">
        <v>2</v>
      </c>
      <c r="S392" s="11">
        <v>2</v>
      </c>
      <c r="T392" s="11">
        <v>2</v>
      </c>
      <c r="U392" s="11">
        <v>2</v>
      </c>
      <c r="V392" s="11">
        <v>2</v>
      </c>
      <c r="W392" s="11">
        <v>2</v>
      </c>
      <c r="X392" s="11">
        <v>2</v>
      </c>
      <c r="Y392" s="11">
        <v>2</v>
      </c>
      <c r="Z392" s="11">
        <v>2</v>
      </c>
      <c r="AA392" s="11">
        <v>2</v>
      </c>
      <c r="AB392" s="11">
        <v>2</v>
      </c>
      <c r="AC392" s="11">
        <v>2</v>
      </c>
      <c r="AD392" s="11">
        <v>2</v>
      </c>
      <c r="AE392" s="11">
        <v>0</v>
      </c>
      <c r="AF392" s="11">
        <v>0</v>
      </c>
      <c r="AG392" s="11">
        <v>0</v>
      </c>
      <c r="AH392" s="11">
        <v>0</v>
      </c>
      <c r="AI392" s="11">
        <v>0</v>
      </c>
      <c r="AJ392" s="11">
        <v>0</v>
      </c>
      <c r="AK392" s="11">
        <v>0</v>
      </c>
      <c r="AL392" s="11">
        <v>0</v>
      </c>
      <c r="AM392" s="11">
        <v>0</v>
      </c>
      <c r="AN392" s="72">
        <v>0</v>
      </c>
      <c r="AO392" s="72">
        <v>0</v>
      </c>
      <c r="AP392" s="72">
        <v>0</v>
      </c>
      <c r="AQ392" s="72">
        <v>0</v>
      </c>
      <c r="AR392" s="72">
        <v>0</v>
      </c>
      <c r="AS392" s="72">
        <v>0</v>
      </c>
      <c r="AT392" s="72">
        <v>0</v>
      </c>
      <c r="AU392" s="72">
        <v>0</v>
      </c>
      <c r="AV392" s="72">
        <v>0</v>
      </c>
      <c r="AW392" s="72">
        <v>5</v>
      </c>
      <c r="AX392" s="72">
        <v>5</v>
      </c>
      <c r="AY392" s="72">
        <v>5</v>
      </c>
      <c r="AZ392" s="72">
        <v>5</v>
      </c>
      <c r="BA392" s="72">
        <v>5</v>
      </c>
      <c r="BB392" s="72">
        <v>5</v>
      </c>
      <c r="BC392" s="72">
        <v>5</v>
      </c>
      <c r="BD392" s="72">
        <v>5</v>
      </c>
      <c r="BE392" s="72">
        <v>5</v>
      </c>
      <c r="BF392" s="72">
        <v>5</v>
      </c>
      <c r="BG392" s="72">
        <v>5</v>
      </c>
      <c r="BH392" s="72">
        <v>5</v>
      </c>
      <c r="BI392" s="72">
        <v>5</v>
      </c>
      <c r="BJ392" s="72">
        <v>5</v>
      </c>
      <c r="BK392" s="72">
        <v>5</v>
      </c>
      <c r="BL392" s="72">
        <v>5</v>
      </c>
      <c r="BM392" s="72">
        <v>5</v>
      </c>
      <c r="BN392" s="72">
        <v>5</v>
      </c>
      <c r="BO392" s="72">
        <v>5</v>
      </c>
      <c r="BP392" s="72">
        <v>5</v>
      </c>
      <c r="BQ392" s="72">
        <v>3</v>
      </c>
      <c r="BR392" s="72">
        <v>1</v>
      </c>
      <c r="BS392" s="72">
        <v>1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</row>
    <row r="393" spans="1:116" x14ac:dyDescent="0.35">
      <c r="A393" s="7"/>
      <c r="B393" s="77" t="s">
        <v>1175</v>
      </c>
      <c r="C393" s="78" t="s">
        <v>1187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2">
        <v>3961.71</v>
      </c>
      <c r="N393" s="12">
        <f t="shared" si="9"/>
        <v>7923.42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2</v>
      </c>
      <c r="AP393" s="72">
        <v>2</v>
      </c>
      <c r="AQ393" s="72">
        <v>2</v>
      </c>
      <c r="AR393" s="72">
        <v>2</v>
      </c>
      <c r="AS393" s="72">
        <v>2</v>
      </c>
      <c r="AT393" s="72">
        <v>2</v>
      </c>
      <c r="AU393" s="72">
        <v>2</v>
      </c>
      <c r="AV393" s="72">
        <v>2</v>
      </c>
      <c r="AW393" s="72">
        <v>2</v>
      </c>
      <c r="AX393" s="72">
        <v>2</v>
      </c>
      <c r="AY393" s="72">
        <v>2</v>
      </c>
      <c r="AZ393" s="72">
        <v>2</v>
      </c>
      <c r="BA393" s="72">
        <v>2</v>
      </c>
      <c r="BB393" s="72">
        <v>2</v>
      </c>
      <c r="BC393" s="72">
        <v>2</v>
      </c>
      <c r="BD393" s="72">
        <v>2</v>
      </c>
      <c r="BE393" s="72">
        <v>2</v>
      </c>
      <c r="BF393" s="72">
        <v>2</v>
      </c>
      <c r="BG393" s="72">
        <v>2</v>
      </c>
      <c r="BH393" s="72">
        <v>2</v>
      </c>
      <c r="BI393" s="72">
        <v>2</v>
      </c>
      <c r="BJ393" s="72">
        <v>2</v>
      </c>
      <c r="BK393" s="72">
        <v>2</v>
      </c>
      <c r="BL393" s="72">
        <v>2</v>
      </c>
      <c r="BM393" s="72">
        <v>2</v>
      </c>
      <c r="BN393" s="72">
        <v>2</v>
      </c>
      <c r="BO393" s="72">
        <v>2</v>
      </c>
      <c r="BP393" s="72">
        <v>2</v>
      </c>
      <c r="BQ393" s="72">
        <v>2</v>
      </c>
      <c r="BR393" s="72">
        <v>2</v>
      </c>
      <c r="BS393" s="72">
        <v>2</v>
      </c>
      <c r="BT393" s="72">
        <v>2</v>
      </c>
      <c r="BU393" s="72">
        <v>2</v>
      </c>
      <c r="BV393" s="72">
        <v>2</v>
      </c>
      <c r="BW393" s="72">
        <v>2</v>
      </c>
      <c r="BX393" s="72">
        <v>2</v>
      </c>
      <c r="BY393" s="72">
        <v>2</v>
      </c>
      <c r="BZ393" s="72">
        <v>2</v>
      </c>
      <c r="CA393" s="72">
        <v>2</v>
      </c>
      <c r="CB393" s="72">
        <v>2</v>
      </c>
      <c r="CC393" s="72">
        <v>2</v>
      </c>
      <c r="CD393" s="72">
        <v>2</v>
      </c>
      <c r="CE393" s="72">
        <v>2</v>
      </c>
      <c r="CF393" s="72">
        <v>2</v>
      </c>
      <c r="CG393" s="72">
        <v>2</v>
      </c>
      <c r="CH393" s="72">
        <v>2</v>
      </c>
      <c r="CI393" s="72">
        <v>2</v>
      </c>
      <c r="CJ393" s="72">
        <v>2</v>
      </c>
      <c r="CK393" s="72">
        <v>2</v>
      </c>
      <c r="CL393" s="72">
        <v>2</v>
      </c>
      <c r="CM393" s="72">
        <v>2</v>
      </c>
      <c r="CN393" s="72">
        <v>2</v>
      </c>
      <c r="CO393" s="72">
        <v>2</v>
      </c>
      <c r="CP393" s="72">
        <v>2</v>
      </c>
      <c r="CQ393" s="72">
        <v>2</v>
      </c>
      <c r="CR393" s="72">
        <v>2</v>
      </c>
      <c r="CS393" s="72">
        <v>2</v>
      </c>
      <c r="CT393" s="72">
        <v>2</v>
      </c>
      <c r="CU393" s="72">
        <v>2</v>
      </c>
      <c r="CV393" s="72">
        <v>2</v>
      </c>
      <c r="CW393" s="72">
        <v>2</v>
      </c>
      <c r="CX393" s="72">
        <v>2</v>
      </c>
      <c r="CY393" s="72">
        <v>2</v>
      </c>
      <c r="CZ393" s="72">
        <v>2</v>
      </c>
      <c r="DA393" s="72">
        <v>2</v>
      </c>
      <c r="DB393" s="72">
        <v>2</v>
      </c>
      <c r="DC393" s="72">
        <v>2</v>
      </c>
      <c r="DD393" s="72">
        <v>2</v>
      </c>
      <c r="DE393" s="72">
        <v>2</v>
      </c>
      <c r="DF393" s="72">
        <v>2</v>
      </c>
      <c r="DG393" s="72">
        <v>2</v>
      </c>
      <c r="DH393" s="72">
        <v>2</v>
      </c>
      <c r="DI393" s="72">
        <v>2</v>
      </c>
      <c r="DJ393" s="72">
        <v>2</v>
      </c>
      <c r="DK393" s="72">
        <v>2</v>
      </c>
      <c r="DL393" s="72">
        <v>2</v>
      </c>
    </row>
    <row r="394" spans="1:116" x14ac:dyDescent="0.35">
      <c r="A394" s="7"/>
      <c r="B394" s="8" t="s">
        <v>672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674</v>
      </c>
      <c r="L394" s="8"/>
      <c r="M394" s="12"/>
      <c r="N394" s="12">
        <f t="shared" si="9"/>
        <v>0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</row>
    <row r="395" spans="1:116" x14ac:dyDescent="0.35">
      <c r="A395" s="7"/>
      <c r="B395" s="8" t="s">
        <v>1338</v>
      </c>
      <c r="C395" s="9" t="s">
        <v>673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42</v>
      </c>
      <c r="L395" s="8"/>
      <c r="M395" s="12">
        <v>5125.82</v>
      </c>
      <c r="N395" s="12">
        <f t="shared" si="9"/>
        <v>10251.64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2</v>
      </c>
      <c r="BK395" s="72">
        <v>2</v>
      </c>
      <c r="BL395" s="72">
        <v>2</v>
      </c>
      <c r="BM395" s="72">
        <v>2</v>
      </c>
      <c r="BN395" s="72">
        <v>2</v>
      </c>
      <c r="BO395" s="72">
        <v>2</v>
      </c>
      <c r="BP395" s="72">
        <v>2</v>
      </c>
      <c r="BQ395" s="72">
        <v>2</v>
      </c>
      <c r="BR395" s="72">
        <v>2</v>
      </c>
      <c r="BS395" s="72">
        <v>2</v>
      </c>
      <c r="BT395" s="72">
        <v>2</v>
      </c>
      <c r="BU395" s="72">
        <v>2</v>
      </c>
      <c r="BV395" s="72">
        <v>2</v>
      </c>
      <c r="BW395" s="72">
        <v>2</v>
      </c>
      <c r="BX395" s="72">
        <v>2</v>
      </c>
      <c r="BY395" s="72">
        <v>2</v>
      </c>
      <c r="BZ395" s="72">
        <v>2</v>
      </c>
      <c r="CA395" s="72">
        <v>2</v>
      </c>
      <c r="CB395" s="72">
        <v>2</v>
      </c>
      <c r="CC395" s="72">
        <v>2</v>
      </c>
      <c r="CD395" s="72">
        <v>2</v>
      </c>
      <c r="CE395" s="72">
        <v>2</v>
      </c>
      <c r="CF395" s="72">
        <v>2</v>
      </c>
      <c r="CG395" s="72">
        <v>2</v>
      </c>
      <c r="CH395" s="72">
        <v>2</v>
      </c>
      <c r="CI395" s="72">
        <v>2</v>
      </c>
      <c r="CJ395" s="72">
        <v>2</v>
      </c>
      <c r="CK395" s="72">
        <v>2</v>
      </c>
      <c r="CL395" s="72">
        <v>2</v>
      </c>
      <c r="CM395" s="72">
        <v>2</v>
      </c>
      <c r="CN395" s="72">
        <v>2</v>
      </c>
      <c r="CO395" s="72">
        <v>2</v>
      </c>
      <c r="CP395" s="72">
        <v>2</v>
      </c>
      <c r="CQ395" s="72">
        <v>2</v>
      </c>
      <c r="CR395" s="72">
        <v>2</v>
      </c>
      <c r="CS395" s="72">
        <v>2</v>
      </c>
      <c r="CT395" s="72">
        <v>2</v>
      </c>
      <c r="CU395" s="72">
        <v>2</v>
      </c>
      <c r="CV395" s="72">
        <v>2</v>
      </c>
      <c r="CW395" s="72">
        <v>2</v>
      </c>
      <c r="CX395" s="72">
        <v>2</v>
      </c>
      <c r="CY395" s="72">
        <v>2</v>
      </c>
      <c r="CZ395" s="72">
        <v>2</v>
      </c>
      <c r="DA395" s="72">
        <v>2</v>
      </c>
      <c r="DB395" s="72">
        <v>2</v>
      </c>
      <c r="DC395" s="72">
        <v>2</v>
      </c>
      <c r="DD395" s="72">
        <v>2</v>
      </c>
      <c r="DE395" s="72">
        <v>2</v>
      </c>
      <c r="DF395" s="72">
        <v>2</v>
      </c>
      <c r="DG395" s="72">
        <v>2</v>
      </c>
      <c r="DH395" s="72">
        <v>2</v>
      </c>
      <c r="DI395" s="72">
        <v>2</v>
      </c>
      <c r="DJ395" s="72">
        <v>2</v>
      </c>
      <c r="DK395" s="72">
        <v>2</v>
      </c>
      <c r="DL395" s="72">
        <v>2</v>
      </c>
    </row>
    <row r="396" spans="1:116" x14ac:dyDescent="0.35">
      <c r="A396" s="7"/>
      <c r="B396" s="8" t="s">
        <v>675</v>
      </c>
      <c r="C396" s="9" t="s">
        <v>676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0</v>
      </c>
      <c r="J396" s="10"/>
      <c r="K396" s="10" t="s">
        <v>153</v>
      </c>
      <c r="L396" s="8"/>
      <c r="M396" s="12"/>
      <c r="N396" s="12">
        <f t="shared" si="9"/>
        <v>0</v>
      </c>
      <c r="O396" s="11"/>
      <c r="P396" s="11"/>
      <c r="Q396" s="11">
        <v>2</v>
      </c>
      <c r="R396" s="11">
        <v>2</v>
      </c>
      <c r="S396" s="11">
        <v>0</v>
      </c>
      <c r="T396" s="11">
        <v>0</v>
      </c>
      <c r="U396" s="11">
        <v>0</v>
      </c>
      <c r="V396" s="11">
        <v>0</v>
      </c>
      <c r="W396" s="11">
        <v>0</v>
      </c>
      <c r="X396" s="11">
        <v>0</v>
      </c>
      <c r="Y396" s="11">
        <v>0</v>
      </c>
      <c r="Z396" s="11">
        <v>0</v>
      </c>
      <c r="AA396" s="11">
        <v>0</v>
      </c>
      <c r="AB396" s="11">
        <v>0</v>
      </c>
      <c r="AC396" s="11">
        <v>0</v>
      </c>
      <c r="AD396" s="11">
        <v>0</v>
      </c>
      <c r="AE396" s="11">
        <v>0</v>
      </c>
      <c r="AF396" s="11">
        <v>0</v>
      </c>
      <c r="AG396" s="11">
        <v>0</v>
      </c>
      <c r="AH396" s="11">
        <v>0</v>
      </c>
      <c r="AI396" s="11">
        <v>0</v>
      </c>
      <c r="AJ396" s="11">
        <v>0</v>
      </c>
      <c r="AK396" s="11">
        <v>0</v>
      </c>
      <c r="AL396" s="11">
        <v>0</v>
      </c>
      <c r="AM396" s="11">
        <v>0</v>
      </c>
      <c r="AN396" s="72">
        <v>0</v>
      </c>
      <c r="AO396" s="72">
        <v>0</v>
      </c>
      <c r="AP396" s="72">
        <v>0</v>
      </c>
      <c r="AQ396" s="72">
        <v>0</v>
      </c>
      <c r="AR396" s="72">
        <v>0</v>
      </c>
      <c r="AS396" s="72">
        <v>0</v>
      </c>
      <c r="AT396" s="72">
        <v>0</v>
      </c>
      <c r="AU396" s="72">
        <v>0</v>
      </c>
      <c r="AV396" s="72">
        <v>0</v>
      </c>
      <c r="AW396" s="72">
        <v>0</v>
      </c>
      <c r="AX396" s="72">
        <v>0</v>
      </c>
      <c r="AY396" s="72">
        <v>0</v>
      </c>
      <c r="AZ396" s="72">
        <v>0</v>
      </c>
      <c r="BA396" s="72">
        <v>0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0</v>
      </c>
      <c r="BI396" s="72">
        <v>0</v>
      </c>
      <c r="BJ396" s="72">
        <v>0</v>
      </c>
      <c r="BK396" s="72">
        <v>0</v>
      </c>
      <c r="BL396" s="72">
        <v>0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</row>
    <row r="397" spans="1:116" x14ac:dyDescent="0.35">
      <c r="A397" s="7"/>
      <c r="B397" s="77" t="s">
        <v>1176</v>
      </c>
      <c r="C397" s="9" t="s">
        <v>1184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/>
      <c r="J397" s="10"/>
      <c r="K397" s="10"/>
      <c r="L397" s="8"/>
      <c r="M397" s="12">
        <v>711.31</v>
      </c>
      <c r="N397" s="12">
        <f t="shared" si="9"/>
        <v>711.31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>
        <v>2</v>
      </c>
      <c r="AP397" s="72">
        <v>2</v>
      </c>
      <c r="AQ397" s="72">
        <v>2</v>
      </c>
      <c r="AR397" s="72">
        <v>2</v>
      </c>
      <c r="AS397" s="72">
        <v>2</v>
      </c>
      <c r="AT397" s="72">
        <v>2</v>
      </c>
      <c r="AU397" s="72">
        <v>2</v>
      </c>
      <c r="AV397" s="72">
        <v>2</v>
      </c>
      <c r="AW397" s="72">
        <v>2</v>
      </c>
      <c r="AX397" s="72">
        <v>2</v>
      </c>
      <c r="AY397" s="72">
        <v>2</v>
      </c>
      <c r="AZ397" s="72">
        <v>2</v>
      </c>
      <c r="BA397" s="72">
        <v>2</v>
      </c>
      <c r="BB397" s="72">
        <v>2</v>
      </c>
      <c r="BC397" s="72">
        <v>2</v>
      </c>
      <c r="BD397" s="72">
        <v>2</v>
      </c>
      <c r="BE397" s="72">
        <v>2</v>
      </c>
      <c r="BF397" s="72">
        <v>2</v>
      </c>
      <c r="BG397" s="72">
        <v>2</v>
      </c>
      <c r="BH397" s="72">
        <v>2</v>
      </c>
      <c r="BI397" s="72">
        <v>2</v>
      </c>
      <c r="BJ397" s="72">
        <v>2</v>
      </c>
      <c r="BK397" s="72">
        <v>2</v>
      </c>
      <c r="BL397" s="72">
        <v>2</v>
      </c>
      <c r="BM397" s="72">
        <v>2</v>
      </c>
      <c r="BN397" s="72">
        <v>1</v>
      </c>
      <c r="BO397" s="72">
        <v>1</v>
      </c>
      <c r="BP397" s="72">
        <v>1</v>
      </c>
      <c r="BQ397" s="72">
        <v>1</v>
      </c>
      <c r="BR397" s="72">
        <v>1</v>
      </c>
      <c r="BS397" s="72">
        <v>1</v>
      </c>
      <c r="BT397" s="72">
        <v>1</v>
      </c>
      <c r="BU397" s="72">
        <v>1</v>
      </c>
      <c r="BV397" s="72">
        <v>1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1</v>
      </c>
      <c r="CU397" s="72">
        <v>1</v>
      </c>
      <c r="CV397" s="72">
        <v>1</v>
      </c>
      <c r="CW397" s="72">
        <v>1</v>
      </c>
      <c r="CX397" s="72">
        <v>1</v>
      </c>
      <c r="CY397" s="72">
        <v>1</v>
      </c>
      <c r="CZ397" s="72">
        <v>1</v>
      </c>
      <c r="DA397" s="72">
        <v>1</v>
      </c>
      <c r="DB397" s="72">
        <v>1</v>
      </c>
      <c r="DC397" s="72">
        <v>1</v>
      </c>
      <c r="DD397" s="72">
        <v>1</v>
      </c>
      <c r="DE397" s="72">
        <v>1</v>
      </c>
      <c r="DF397" s="72">
        <v>1</v>
      </c>
      <c r="DG397" s="72">
        <v>1</v>
      </c>
      <c r="DH397" s="72">
        <v>1</v>
      </c>
      <c r="DI397" s="72">
        <v>1</v>
      </c>
      <c r="DJ397" s="72">
        <v>1</v>
      </c>
      <c r="DK397" s="72">
        <v>1</v>
      </c>
      <c r="DL397" s="72">
        <v>1</v>
      </c>
    </row>
    <row r="398" spans="1:116" x14ac:dyDescent="0.35">
      <c r="A398" s="7"/>
      <c r="B398" s="77" t="s">
        <v>1270</v>
      </c>
      <c r="C398" s="78" t="s">
        <v>1279</v>
      </c>
      <c r="D398" s="10" t="s">
        <v>594</v>
      </c>
      <c r="E398" s="8" t="s">
        <v>1203</v>
      </c>
      <c r="F398" s="10"/>
      <c r="G398" s="10"/>
      <c r="H398" s="10" t="s">
        <v>41</v>
      </c>
      <c r="I398" s="11"/>
      <c r="J398" s="10"/>
      <c r="K398" s="10"/>
      <c r="L398" s="8"/>
      <c r="M398" s="12">
        <v>1692.44</v>
      </c>
      <c r="N398" s="12">
        <f t="shared" si="9"/>
        <v>5077.32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>
        <v>5</v>
      </c>
      <c r="AX398" s="72">
        <v>5</v>
      </c>
      <c r="AY398" s="72">
        <v>5</v>
      </c>
      <c r="AZ398" s="72">
        <v>5</v>
      </c>
      <c r="BA398" s="72">
        <v>5</v>
      </c>
      <c r="BB398" s="72">
        <v>5</v>
      </c>
      <c r="BC398" s="72">
        <v>5</v>
      </c>
      <c r="BD398" s="72">
        <v>5</v>
      </c>
      <c r="BE398" s="72">
        <v>5</v>
      </c>
      <c r="BF398" s="72">
        <v>5</v>
      </c>
      <c r="BG398" s="72">
        <v>5</v>
      </c>
      <c r="BH398" s="72">
        <v>5</v>
      </c>
      <c r="BI398" s="72">
        <v>5</v>
      </c>
      <c r="BJ398" s="72">
        <v>5</v>
      </c>
      <c r="BK398" s="72">
        <v>5</v>
      </c>
      <c r="BL398" s="72">
        <v>5</v>
      </c>
      <c r="BM398" s="72">
        <v>5</v>
      </c>
      <c r="BN398" s="72">
        <v>5</v>
      </c>
      <c r="BO398" s="72">
        <v>5</v>
      </c>
      <c r="BP398" s="72">
        <v>5</v>
      </c>
      <c r="BQ398" s="72">
        <v>5</v>
      </c>
      <c r="BR398" s="72">
        <v>3</v>
      </c>
      <c r="BS398" s="72">
        <v>3</v>
      </c>
      <c r="BT398" s="72">
        <v>3</v>
      </c>
      <c r="BU398" s="72">
        <v>3</v>
      </c>
      <c r="BV398" s="72">
        <v>3</v>
      </c>
      <c r="BW398" s="72">
        <v>3</v>
      </c>
      <c r="BX398" s="72">
        <v>3</v>
      </c>
      <c r="BY398" s="72">
        <v>3</v>
      </c>
      <c r="BZ398" s="72">
        <v>3</v>
      </c>
      <c r="CA398" s="72">
        <v>3</v>
      </c>
      <c r="CB398" s="72">
        <v>3</v>
      </c>
      <c r="CC398" s="72">
        <v>3</v>
      </c>
      <c r="CD398" s="72">
        <v>3</v>
      </c>
      <c r="CE398" s="72">
        <v>3</v>
      </c>
      <c r="CF398" s="72">
        <v>3</v>
      </c>
      <c r="CG398" s="72">
        <v>3</v>
      </c>
      <c r="CH398" s="72">
        <v>3</v>
      </c>
      <c r="CI398" s="72">
        <v>3</v>
      </c>
      <c r="CJ398" s="72">
        <v>3</v>
      </c>
      <c r="CK398" s="72">
        <v>3</v>
      </c>
      <c r="CL398" s="72">
        <v>3</v>
      </c>
      <c r="CM398" s="72">
        <v>3</v>
      </c>
      <c r="CN398" s="72">
        <v>3</v>
      </c>
      <c r="CO398" s="72">
        <v>3</v>
      </c>
      <c r="CP398" s="72">
        <v>3</v>
      </c>
      <c r="CQ398" s="72">
        <v>3</v>
      </c>
      <c r="CR398" s="72">
        <v>3</v>
      </c>
      <c r="CS398" s="72">
        <v>3</v>
      </c>
      <c r="CT398" s="72">
        <v>3</v>
      </c>
      <c r="CU398" s="72">
        <v>3</v>
      </c>
      <c r="CV398" s="72">
        <v>3</v>
      </c>
      <c r="CW398" s="72">
        <v>3</v>
      </c>
      <c r="CX398" s="72">
        <v>3</v>
      </c>
      <c r="CY398" s="72">
        <v>3</v>
      </c>
      <c r="CZ398" s="72">
        <v>3</v>
      </c>
      <c r="DA398" s="72">
        <v>3</v>
      </c>
      <c r="DB398" s="72">
        <v>3</v>
      </c>
      <c r="DC398" s="72">
        <v>3</v>
      </c>
      <c r="DD398" s="72">
        <v>3</v>
      </c>
      <c r="DE398" s="72">
        <v>3</v>
      </c>
      <c r="DF398" s="72">
        <v>3</v>
      </c>
      <c r="DG398" s="72">
        <v>3</v>
      </c>
      <c r="DH398" s="72">
        <v>3</v>
      </c>
      <c r="DI398" s="72">
        <v>3</v>
      </c>
      <c r="DJ398" s="72">
        <v>3</v>
      </c>
      <c r="DK398" s="72">
        <v>3</v>
      </c>
      <c r="DL398" s="72">
        <v>3</v>
      </c>
    </row>
    <row r="399" spans="1:116" x14ac:dyDescent="0.35">
      <c r="A399" s="7"/>
      <c r="B399" s="8" t="s">
        <v>677</v>
      </c>
      <c r="C399" s="9" t="s">
        <v>678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0</v>
      </c>
      <c r="K399" s="10" t="s">
        <v>153</v>
      </c>
      <c r="L399" s="8" t="s">
        <v>658</v>
      </c>
      <c r="M399" s="12"/>
      <c r="N399" s="12">
        <f t="shared" si="9"/>
        <v>0</v>
      </c>
      <c r="O399" s="11">
        <v>3</v>
      </c>
      <c r="P399" s="11">
        <v>3</v>
      </c>
      <c r="Q399" s="11">
        <v>3</v>
      </c>
      <c r="R399" s="11">
        <v>3</v>
      </c>
      <c r="S399" s="11">
        <v>3</v>
      </c>
      <c r="T399" s="11">
        <v>3</v>
      </c>
      <c r="U399" s="11">
        <v>0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0</v>
      </c>
      <c r="AC399" s="11">
        <v>0</v>
      </c>
      <c r="AD399" s="11">
        <v>0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1</v>
      </c>
      <c r="AP399" s="72">
        <v>1</v>
      </c>
      <c r="AQ399" s="72">
        <v>1</v>
      </c>
      <c r="AR399" s="72">
        <v>1</v>
      </c>
      <c r="AS399" s="72">
        <v>1</v>
      </c>
      <c r="AT399" s="72">
        <v>1</v>
      </c>
      <c r="AU399" s="72">
        <v>1</v>
      </c>
      <c r="AV399" s="72">
        <v>1</v>
      </c>
      <c r="AW399" s="72">
        <v>1</v>
      </c>
      <c r="AX399" s="72">
        <v>1</v>
      </c>
      <c r="AY399" s="72">
        <v>1</v>
      </c>
      <c r="AZ399" s="72">
        <v>1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</row>
    <row r="400" spans="1:116" x14ac:dyDescent="0.35">
      <c r="A400" s="7"/>
      <c r="B400" s="77" t="s">
        <v>1177</v>
      </c>
      <c r="C400" s="9" t="s">
        <v>1185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>
        <v>1030.18</v>
      </c>
      <c r="N400" s="12">
        <f t="shared" si="9"/>
        <v>2060.36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2</v>
      </c>
      <c r="AP400" s="72">
        <v>2</v>
      </c>
      <c r="AQ400" s="72">
        <v>2</v>
      </c>
      <c r="AR400" s="72">
        <v>2</v>
      </c>
      <c r="AS400" s="72">
        <v>2</v>
      </c>
      <c r="AT400" s="72">
        <v>2</v>
      </c>
      <c r="AU400" s="72">
        <v>2</v>
      </c>
      <c r="AV400" s="72">
        <v>2</v>
      </c>
      <c r="AW400" s="72">
        <v>2</v>
      </c>
      <c r="AX400" s="72">
        <v>2</v>
      </c>
      <c r="AY400" s="72">
        <v>2</v>
      </c>
      <c r="AZ400" s="72">
        <v>2</v>
      </c>
      <c r="BA400" s="72">
        <v>2</v>
      </c>
      <c r="BB400" s="72">
        <v>2</v>
      </c>
      <c r="BC400" s="72">
        <v>2</v>
      </c>
      <c r="BD400" s="72">
        <v>2</v>
      </c>
      <c r="BE400" s="72">
        <v>2</v>
      </c>
      <c r="BF400" s="72">
        <v>2</v>
      </c>
      <c r="BG400" s="72">
        <v>2</v>
      </c>
      <c r="BH400" s="72">
        <v>2</v>
      </c>
      <c r="BI400" s="72">
        <v>2</v>
      </c>
      <c r="BJ400" s="72">
        <v>2</v>
      </c>
      <c r="BK400" s="72">
        <v>2</v>
      </c>
      <c r="BL400" s="72">
        <v>2</v>
      </c>
      <c r="BM400" s="72">
        <v>2</v>
      </c>
      <c r="BN400" s="72">
        <v>2</v>
      </c>
      <c r="BO400" s="72">
        <v>2</v>
      </c>
      <c r="BP400" s="72">
        <v>2</v>
      </c>
      <c r="BQ400" s="72">
        <v>2</v>
      </c>
      <c r="BR400" s="72">
        <v>2</v>
      </c>
      <c r="BS400" s="72">
        <v>2</v>
      </c>
      <c r="BT400" s="72">
        <v>2</v>
      </c>
      <c r="BU400" s="72">
        <v>2</v>
      </c>
      <c r="BV400" s="72">
        <v>2</v>
      </c>
      <c r="BW400" s="72">
        <v>2</v>
      </c>
      <c r="BX400" s="72">
        <v>2</v>
      </c>
      <c r="BY400" s="72">
        <v>2</v>
      </c>
      <c r="BZ400" s="72">
        <v>2</v>
      </c>
      <c r="CA400" s="72">
        <v>2</v>
      </c>
      <c r="CB400" s="72">
        <v>2</v>
      </c>
      <c r="CC400" s="72">
        <v>2</v>
      </c>
      <c r="CD400" s="72">
        <v>2</v>
      </c>
      <c r="CE400" s="72">
        <v>2</v>
      </c>
      <c r="CF400" s="72">
        <v>2</v>
      </c>
      <c r="CG400" s="72">
        <v>2</v>
      </c>
      <c r="CH400" s="72">
        <v>2</v>
      </c>
      <c r="CI400" s="72">
        <v>2</v>
      </c>
      <c r="CJ400" s="72">
        <v>2</v>
      </c>
      <c r="CK400" s="72">
        <v>2</v>
      </c>
      <c r="CL400" s="72">
        <v>2</v>
      </c>
      <c r="CM400" s="72">
        <v>2</v>
      </c>
      <c r="CN400" s="72">
        <v>2</v>
      </c>
      <c r="CO400" s="72">
        <v>2</v>
      </c>
      <c r="CP400" s="72">
        <v>2</v>
      </c>
      <c r="CQ400" s="72">
        <v>2</v>
      </c>
      <c r="CR400" s="72">
        <v>2</v>
      </c>
      <c r="CS400" s="72">
        <v>2</v>
      </c>
      <c r="CT400" s="72">
        <v>2</v>
      </c>
      <c r="CU400" s="72">
        <v>2</v>
      </c>
      <c r="CV400" s="72">
        <v>2</v>
      </c>
      <c r="CW400" s="72">
        <v>2</v>
      </c>
      <c r="CX400" s="72">
        <v>2</v>
      </c>
      <c r="CY400" s="72">
        <v>2</v>
      </c>
      <c r="CZ400" s="72">
        <v>2</v>
      </c>
      <c r="DA400" s="72">
        <v>2</v>
      </c>
      <c r="DB400" s="72">
        <v>2</v>
      </c>
      <c r="DC400" s="72">
        <v>2</v>
      </c>
      <c r="DD400" s="72">
        <v>2</v>
      </c>
      <c r="DE400" s="72">
        <v>2</v>
      </c>
      <c r="DF400" s="72">
        <v>2</v>
      </c>
      <c r="DG400" s="72">
        <v>2</v>
      </c>
      <c r="DH400" s="72">
        <v>2</v>
      </c>
      <c r="DI400" s="72">
        <v>2</v>
      </c>
      <c r="DJ400" s="72">
        <v>2</v>
      </c>
      <c r="DK400" s="72">
        <v>2</v>
      </c>
      <c r="DL400" s="72">
        <v>2</v>
      </c>
    </row>
    <row r="401" spans="1:116" x14ac:dyDescent="0.35">
      <c r="A401" s="7"/>
      <c r="B401" s="8" t="s">
        <v>679</v>
      </c>
      <c r="C401" s="9" t="s">
        <v>680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4</v>
      </c>
      <c r="J401" s="10">
        <v>0</v>
      </c>
      <c r="K401" s="10" t="s">
        <v>153</v>
      </c>
      <c r="L401" s="8"/>
      <c r="M401" s="12">
        <v>1843.48</v>
      </c>
      <c r="N401" s="12">
        <f t="shared" si="9"/>
        <v>11060.880000000001</v>
      </c>
      <c r="O401" s="11">
        <v>10</v>
      </c>
      <c r="P401" s="11">
        <v>10</v>
      </c>
      <c r="Q401" s="11">
        <v>10</v>
      </c>
      <c r="R401" s="11">
        <v>10</v>
      </c>
      <c r="S401" s="11">
        <v>10</v>
      </c>
      <c r="T401" s="11">
        <v>10</v>
      </c>
      <c r="U401" s="11">
        <v>4</v>
      </c>
      <c r="V401" s="11">
        <v>4</v>
      </c>
      <c r="W401" s="11">
        <v>4</v>
      </c>
      <c r="X401" s="11">
        <v>4</v>
      </c>
      <c r="Y401" s="11">
        <v>4</v>
      </c>
      <c r="Z401" s="11">
        <v>4</v>
      </c>
      <c r="AA401" s="11">
        <v>4</v>
      </c>
      <c r="AB401" s="11">
        <v>4</v>
      </c>
      <c r="AC401" s="11">
        <v>4</v>
      </c>
      <c r="AD401" s="11">
        <v>4</v>
      </c>
      <c r="AE401" s="11">
        <v>4</v>
      </c>
      <c r="AF401" s="11">
        <v>4</v>
      </c>
      <c r="AG401" s="11">
        <v>4</v>
      </c>
      <c r="AH401" s="11">
        <v>4</v>
      </c>
      <c r="AI401" s="11">
        <v>4</v>
      </c>
      <c r="AJ401" s="11">
        <v>4</v>
      </c>
      <c r="AK401" s="11">
        <v>4</v>
      </c>
      <c r="AL401" s="11">
        <v>4</v>
      </c>
      <c r="AM401" s="11">
        <v>4</v>
      </c>
      <c r="AN401" s="72">
        <v>4</v>
      </c>
      <c r="AO401" s="72">
        <v>6</v>
      </c>
      <c r="AP401" s="72">
        <v>6</v>
      </c>
      <c r="AQ401" s="72">
        <v>6</v>
      </c>
      <c r="AR401" s="72">
        <v>6</v>
      </c>
      <c r="AS401" s="72">
        <v>6</v>
      </c>
      <c r="AT401" s="72">
        <v>6</v>
      </c>
      <c r="AU401" s="72">
        <v>6</v>
      </c>
      <c r="AV401" s="72">
        <v>6</v>
      </c>
      <c r="AW401" s="72">
        <v>6</v>
      </c>
      <c r="AX401" s="72">
        <v>6</v>
      </c>
      <c r="AY401" s="72">
        <v>6</v>
      </c>
      <c r="AZ401" s="72">
        <v>6</v>
      </c>
      <c r="BA401" s="72">
        <v>6</v>
      </c>
      <c r="BB401" s="72">
        <v>6</v>
      </c>
      <c r="BC401" s="72">
        <v>6</v>
      </c>
      <c r="BD401" s="72">
        <v>6</v>
      </c>
      <c r="BE401" s="72">
        <v>6</v>
      </c>
      <c r="BF401" s="72">
        <v>6</v>
      </c>
      <c r="BG401" s="72">
        <v>6</v>
      </c>
      <c r="BH401" s="72">
        <v>6</v>
      </c>
      <c r="BI401" s="72">
        <v>6</v>
      </c>
      <c r="BJ401" s="72">
        <v>6</v>
      </c>
      <c r="BK401" s="72">
        <v>6</v>
      </c>
      <c r="BL401" s="72">
        <v>6</v>
      </c>
      <c r="BM401" s="72">
        <v>6</v>
      </c>
      <c r="BN401" s="72">
        <v>6</v>
      </c>
      <c r="BO401" s="72">
        <v>6</v>
      </c>
      <c r="BP401" s="72">
        <v>6</v>
      </c>
      <c r="BQ401" s="72">
        <v>6</v>
      </c>
      <c r="BR401" s="72">
        <v>6</v>
      </c>
      <c r="BS401" s="72">
        <v>6</v>
      </c>
      <c r="BT401" s="72">
        <v>6</v>
      </c>
      <c r="BU401" s="72">
        <v>6</v>
      </c>
      <c r="BV401" s="72">
        <v>6</v>
      </c>
      <c r="BW401" s="72">
        <v>6</v>
      </c>
      <c r="BX401" s="72">
        <v>6</v>
      </c>
      <c r="BY401" s="72">
        <v>6</v>
      </c>
      <c r="BZ401" s="72">
        <v>6</v>
      </c>
      <c r="CA401" s="72">
        <v>6</v>
      </c>
      <c r="CB401" s="72">
        <v>6</v>
      </c>
      <c r="CC401" s="72">
        <v>6</v>
      </c>
      <c r="CD401" s="72">
        <v>6</v>
      </c>
      <c r="CE401" s="72">
        <v>6</v>
      </c>
      <c r="CF401" s="72">
        <v>6</v>
      </c>
      <c r="CG401" s="72">
        <v>6</v>
      </c>
      <c r="CH401" s="72">
        <v>6</v>
      </c>
      <c r="CI401" s="72">
        <v>6</v>
      </c>
      <c r="CJ401" s="72">
        <v>6</v>
      </c>
      <c r="CK401" s="72">
        <v>6</v>
      </c>
      <c r="CL401" s="72">
        <v>6</v>
      </c>
      <c r="CM401" s="72">
        <v>6</v>
      </c>
      <c r="CN401" s="72">
        <v>6</v>
      </c>
      <c r="CO401" s="72">
        <v>6</v>
      </c>
      <c r="CP401" s="72">
        <v>6</v>
      </c>
      <c r="CQ401" s="72">
        <v>6</v>
      </c>
      <c r="CR401" s="72">
        <v>6</v>
      </c>
      <c r="CS401" s="72">
        <v>6</v>
      </c>
      <c r="CT401" s="72">
        <v>6</v>
      </c>
      <c r="CU401" s="72">
        <v>6</v>
      </c>
      <c r="CV401" s="72">
        <v>6</v>
      </c>
      <c r="CW401" s="72">
        <v>6</v>
      </c>
      <c r="CX401" s="72">
        <v>6</v>
      </c>
      <c r="CY401" s="72">
        <v>6</v>
      </c>
      <c r="CZ401" s="72">
        <v>6</v>
      </c>
      <c r="DA401" s="72">
        <v>6</v>
      </c>
      <c r="DB401" s="72">
        <v>6</v>
      </c>
      <c r="DC401" s="72">
        <v>6</v>
      </c>
      <c r="DD401" s="72">
        <v>6</v>
      </c>
      <c r="DE401" s="72">
        <v>6</v>
      </c>
      <c r="DF401" s="72">
        <v>6</v>
      </c>
      <c r="DG401" s="72">
        <v>6</v>
      </c>
      <c r="DH401" s="72">
        <v>6</v>
      </c>
      <c r="DI401" s="72">
        <v>6</v>
      </c>
      <c r="DJ401" s="72">
        <v>6</v>
      </c>
      <c r="DK401" s="72">
        <v>6</v>
      </c>
      <c r="DL401" s="72">
        <v>6</v>
      </c>
    </row>
    <row r="402" spans="1:116" x14ac:dyDescent="0.35">
      <c r="A402" s="7"/>
      <c r="B402" s="77" t="s">
        <v>1271</v>
      </c>
      <c r="C402" s="78" t="s">
        <v>1186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/>
      <c r="N402" s="12">
        <f t="shared" si="9"/>
        <v>0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7</v>
      </c>
      <c r="AX402" s="72">
        <v>7</v>
      </c>
      <c r="AY402" s="72">
        <v>7</v>
      </c>
      <c r="AZ402" s="72">
        <v>7</v>
      </c>
      <c r="BA402" s="72">
        <v>7</v>
      </c>
      <c r="BB402" s="72">
        <v>7</v>
      </c>
      <c r="BC402" s="72">
        <v>7</v>
      </c>
      <c r="BD402" s="72">
        <v>7</v>
      </c>
      <c r="BE402" s="72">
        <v>7</v>
      </c>
      <c r="BF402" s="72">
        <v>7</v>
      </c>
      <c r="BG402" s="72">
        <v>7</v>
      </c>
      <c r="BH402" s="72">
        <v>7</v>
      </c>
      <c r="BI402" s="72">
        <v>7</v>
      </c>
      <c r="BJ402" s="72">
        <v>7</v>
      </c>
      <c r="BK402" s="72">
        <v>7</v>
      </c>
      <c r="BL402" s="72">
        <v>7</v>
      </c>
      <c r="BM402" s="72">
        <v>7</v>
      </c>
      <c r="BN402" s="72">
        <v>7</v>
      </c>
      <c r="BO402" s="72">
        <v>7</v>
      </c>
      <c r="BP402" s="72">
        <v>7</v>
      </c>
      <c r="BQ402" s="72">
        <v>7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</row>
    <row r="403" spans="1:116" x14ac:dyDescent="0.35">
      <c r="A403" s="7"/>
      <c r="B403" s="8" t="s">
        <v>681</v>
      </c>
      <c r="C403" s="9" t="s">
        <v>682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42</v>
      </c>
      <c r="J403" s="10">
        <v>1</v>
      </c>
      <c r="K403" s="10" t="s">
        <v>153</v>
      </c>
      <c r="L403" s="8" t="s">
        <v>683</v>
      </c>
      <c r="M403" s="12">
        <v>1833</v>
      </c>
      <c r="N403" s="12">
        <f t="shared" si="9"/>
        <v>14664</v>
      </c>
      <c r="O403" s="11">
        <v>6</v>
      </c>
      <c r="P403" s="11">
        <v>6</v>
      </c>
      <c r="Q403" s="11">
        <v>18</v>
      </c>
      <c r="R403" s="11">
        <v>43</v>
      </c>
      <c r="S403" s="11">
        <v>43</v>
      </c>
      <c r="T403" s="11">
        <v>43</v>
      </c>
      <c r="U403" s="11">
        <v>43</v>
      </c>
      <c r="V403" s="11">
        <v>43</v>
      </c>
      <c r="W403" s="11">
        <v>43</v>
      </c>
      <c r="X403" s="11">
        <v>43</v>
      </c>
      <c r="Y403" s="11">
        <v>42</v>
      </c>
      <c r="Z403" s="11">
        <v>42</v>
      </c>
      <c r="AA403" s="11">
        <v>42</v>
      </c>
      <c r="AB403" s="11">
        <v>42</v>
      </c>
      <c r="AC403" s="11">
        <v>42</v>
      </c>
      <c r="AD403" s="11">
        <v>42</v>
      </c>
      <c r="AE403" s="11">
        <v>42</v>
      </c>
      <c r="AF403" s="11">
        <v>42</v>
      </c>
      <c r="AG403" s="11">
        <v>42</v>
      </c>
      <c r="AH403" s="11">
        <v>42</v>
      </c>
      <c r="AI403" s="11">
        <v>42</v>
      </c>
      <c r="AJ403" s="11">
        <v>42</v>
      </c>
      <c r="AK403" s="11">
        <v>42</v>
      </c>
      <c r="AL403" s="11">
        <v>42</v>
      </c>
      <c r="AM403" s="11">
        <v>42</v>
      </c>
      <c r="AN403" s="72">
        <v>42</v>
      </c>
      <c r="AO403" s="72">
        <v>42</v>
      </c>
      <c r="AP403" s="72">
        <v>42</v>
      </c>
      <c r="AQ403" s="72">
        <v>42</v>
      </c>
      <c r="AR403" s="72">
        <v>42</v>
      </c>
      <c r="AS403" s="72">
        <v>42</v>
      </c>
      <c r="AT403" s="72">
        <v>42</v>
      </c>
      <c r="AU403" s="72">
        <v>42</v>
      </c>
      <c r="AV403" s="72">
        <v>42</v>
      </c>
      <c r="AW403" s="72">
        <v>42</v>
      </c>
      <c r="AX403" s="72">
        <v>42</v>
      </c>
      <c r="AY403" s="72">
        <v>42</v>
      </c>
      <c r="AZ403" s="72">
        <v>42</v>
      </c>
      <c r="BA403" s="72">
        <v>42</v>
      </c>
      <c r="BB403" s="72">
        <v>42</v>
      </c>
      <c r="BC403" s="72">
        <v>42</v>
      </c>
      <c r="BD403" s="72">
        <v>42</v>
      </c>
      <c r="BE403" s="72">
        <v>42</v>
      </c>
      <c r="BF403" s="72">
        <v>42</v>
      </c>
      <c r="BG403" s="72">
        <v>42</v>
      </c>
      <c r="BH403" s="72">
        <v>42</v>
      </c>
      <c r="BI403" s="72">
        <v>42</v>
      </c>
      <c r="BJ403" s="72">
        <v>42</v>
      </c>
      <c r="BK403" s="72">
        <v>40</v>
      </c>
      <c r="BL403" s="72">
        <v>40</v>
      </c>
      <c r="BM403" s="72">
        <v>40</v>
      </c>
      <c r="BN403" s="72">
        <v>40</v>
      </c>
      <c r="BO403" s="72">
        <v>40</v>
      </c>
      <c r="BP403" s="72">
        <v>40</v>
      </c>
      <c r="BQ403" s="72">
        <v>40</v>
      </c>
      <c r="BR403" s="72">
        <v>38</v>
      </c>
      <c r="BS403" s="72">
        <v>38</v>
      </c>
      <c r="BT403" s="72">
        <v>38</v>
      </c>
      <c r="BU403" s="72">
        <v>38</v>
      </c>
      <c r="BV403" s="72">
        <v>38</v>
      </c>
      <c r="BW403" s="72">
        <v>38</v>
      </c>
      <c r="BX403" s="72">
        <v>38</v>
      </c>
      <c r="BY403" s="72">
        <v>38</v>
      </c>
      <c r="BZ403" s="72">
        <v>38</v>
      </c>
      <c r="CA403" s="72">
        <v>38</v>
      </c>
      <c r="CB403" s="72">
        <v>38</v>
      </c>
      <c r="CC403" s="72">
        <v>38</v>
      </c>
      <c r="CD403" s="72">
        <v>38</v>
      </c>
      <c r="CE403" s="72">
        <v>38</v>
      </c>
      <c r="CF403" s="72">
        <v>38</v>
      </c>
      <c r="CG403" s="72">
        <v>38</v>
      </c>
      <c r="CH403" s="72">
        <v>38</v>
      </c>
      <c r="CI403" s="72">
        <v>38</v>
      </c>
      <c r="CJ403" s="72">
        <v>37</v>
      </c>
      <c r="CK403" s="72">
        <v>37</v>
      </c>
      <c r="CL403" s="72">
        <v>37</v>
      </c>
      <c r="CM403" s="72">
        <v>37</v>
      </c>
      <c r="CN403" s="72">
        <v>37</v>
      </c>
      <c r="CO403" s="72">
        <v>37</v>
      </c>
      <c r="CP403" s="72">
        <v>37</v>
      </c>
      <c r="CQ403" s="72">
        <v>37</v>
      </c>
      <c r="CR403" s="72">
        <v>36</v>
      </c>
      <c r="CS403" s="72">
        <v>36</v>
      </c>
      <c r="CT403" s="72">
        <v>36</v>
      </c>
      <c r="CU403" s="72">
        <v>13</v>
      </c>
      <c r="CV403" s="72">
        <v>13</v>
      </c>
      <c r="CW403" s="72">
        <v>13</v>
      </c>
      <c r="CX403" s="72">
        <v>13</v>
      </c>
      <c r="CY403" s="72">
        <v>13</v>
      </c>
      <c r="CZ403" s="72">
        <v>13</v>
      </c>
      <c r="DA403" s="72">
        <v>13</v>
      </c>
      <c r="DB403" s="72">
        <v>13</v>
      </c>
      <c r="DC403" s="72">
        <v>13</v>
      </c>
      <c r="DD403" s="72">
        <v>13</v>
      </c>
      <c r="DE403" s="72">
        <v>14</v>
      </c>
      <c r="DF403" s="72">
        <v>14</v>
      </c>
      <c r="DG403" s="72">
        <v>14</v>
      </c>
      <c r="DH403" s="72">
        <v>12</v>
      </c>
      <c r="DI403" s="72">
        <v>12</v>
      </c>
      <c r="DJ403" s="72">
        <v>12</v>
      </c>
      <c r="DK403" s="72">
        <v>10</v>
      </c>
      <c r="DL403" s="72">
        <v>8</v>
      </c>
    </row>
    <row r="404" spans="1:116" x14ac:dyDescent="0.35">
      <c r="A404" s="7"/>
      <c r="B404" s="8" t="s">
        <v>684</v>
      </c>
      <c r="C404" s="9" t="s">
        <v>685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5</v>
      </c>
      <c r="J404" s="10"/>
      <c r="K404" s="10" t="s">
        <v>153</v>
      </c>
      <c r="L404" s="8"/>
      <c r="M404" s="12">
        <v>2782.61</v>
      </c>
      <c r="N404" s="12">
        <f t="shared" si="9"/>
        <v>19478.27</v>
      </c>
      <c r="O404" s="11">
        <v>5</v>
      </c>
      <c r="P404" s="11">
        <v>5</v>
      </c>
      <c r="Q404" s="11">
        <v>5</v>
      </c>
      <c r="R404" s="11">
        <v>5</v>
      </c>
      <c r="S404" s="11">
        <v>5</v>
      </c>
      <c r="T404" s="11">
        <v>5</v>
      </c>
      <c r="U404" s="11">
        <v>5</v>
      </c>
      <c r="V404" s="11">
        <v>5</v>
      </c>
      <c r="W404" s="11">
        <v>5</v>
      </c>
      <c r="X404" s="11">
        <v>5</v>
      </c>
      <c r="Y404" s="11">
        <v>5</v>
      </c>
      <c r="Z404" s="11">
        <v>5</v>
      </c>
      <c r="AA404" s="11">
        <v>5</v>
      </c>
      <c r="AB404" s="11">
        <v>5</v>
      </c>
      <c r="AC404" s="11">
        <v>5</v>
      </c>
      <c r="AD404" s="11">
        <v>5</v>
      </c>
      <c r="AE404" s="11">
        <v>5</v>
      </c>
      <c r="AF404" s="11">
        <v>5</v>
      </c>
      <c r="AG404" s="11">
        <v>5</v>
      </c>
      <c r="AH404" s="11">
        <v>5</v>
      </c>
      <c r="AI404" s="11">
        <v>5</v>
      </c>
      <c r="AJ404" s="11">
        <v>5</v>
      </c>
      <c r="AK404" s="11">
        <v>5</v>
      </c>
      <c r="AL404" s="11">
        <v>5</v>
      </c>
      <c r="AM404" s="11">
        <v>5</v>
      </c>
      <c r="AN404" s="72">
        <v>5</v>
      </c>
      <c r="AO404" s="72">
        <v>7</v>
      </c>
      <c r="AP404" s="72">
        <v>7</v>
      </c>
      <c r="AQ404" s="72">
        <v>7</v>
      </c>
      <c r="AR404" s="72">
        <v>7</v>
      </c>
      <c r="AS404" s="72">
        <v>7</v>
      </c>
      <c r="AT404" s="72">
        <v>7</v>
      </c>
      <c r="AU404" s="72">
        <v>7</v>
      </c>
      <c r="AV404" s="72">
        <v>7</v>
      </c>
      <c r="AW404" s="72">
        <v>7</v>
      </c>
      <c r="AX404" s="72">
        <v>7</v>
      </c>
      <c r="AY404" s="72">
        <v>7</v>
      </c>
      <c r="AZ404" s="72">
        <v>7</v>
      </c>
      <c r="BA404" s="72">
        <v>7</v>
      </c>
      <c r="BB404" s="72">
        <v>7</v>
      </c>
      <c r="BC404" s="72">
        <v>7</v>
      </c>
      <c r="BD404" s="72">
        <v>7</v>
      </c>
      <c r="BE404" s="72">
        <v>7</v>
      </c>
      <c r="BF404" s="72">
        <v>7</v>
      </c>
      <c r="BG404" s="72">
        <v>7</v>
      </c>
      <c r="BH404" s="72">
        <v>7</v>
      </c>
      <c r="BI404" s="72">
        <v>7</v>
      </c>
      <c r="BJ404" s="72">
        <v>7</v>
      </c>
      <c r="BK404" s="72">
        <v>7</v>
      </c>
      <c r="BL404" s="72">
        <v>7</v>
      </c>
      <c r="BM404" s="72">
        <v>7</v>
      </c>
      <c r="BN404" s="72">
        <v>7</v>
      </c>
      <c r="BO404" s="72">
        <v>7</v>
      </c>
      <c r="BP404" s="72">
        <v>7</v>
      </c>
      <c r="BQ404" s="72">
        <v>7</v>
      </c>
      <c r="BR404" s="72">
        <v>7</v>
      </c>
      <c r="BS404" s="72">
        <v>7</v>
      </c>
      <c r="BT404" s="72">
        <v>7</v>
      </c>
      <c r="BU404" s="72">
        <v>7</v>
      </c>
      <c r="BV404" s="72">
        <v>7</v>
      </c>
      <c r="BW404" s="72">
        <v>7</v>
      </c>
      <c r="BX404" s="72">
        <v>7</v>
      </c>
      <c r="BY404" s="72">
        <v>7</v>
      </c>
      <c r="BZ404" s="72">
        <v>7</v>
      </c>
      <c r="CA404" s="72">
        <v>7</v>
      </c>
      <c r="CB404" s="72">
        <v>7</v>
      </c>
      <c r="CC404" s="72">
        <v>7</v>
      </c>
      <c r="CD404" s="72">
        <v>7</v>
      </c>
      <c r="CE404" s="72">
        <v>7</v>
      </c>
      <c r="CF404" s="72">
        <v>7</v>
      </c>
      <c r="CG404" s="72">
        <v>7</v>
      </c>
      <c r="CH404" s="72">
        <v>7</v>
      </c>
      <c r="CI404" s="72">
        <v>7</v>
      </c>
      <c r="CJ404" s="72">
        <v>7</v>
      </c>
      <c r="CK404" s="72">
        <v>7</v>
      </c>
      <c r="CL404" s="72">
        <v>7</v>
      </c>
      <c r="CM404" s="72">
        <v>7</v>
      </c>
      <c r="CN404" s="72">
        <v>7</v>
      </c>
      <c r="CO404" s="72">
        <v>7</v>
      </c>
      <c r="CP404" s="72">
        <v>7</v>
      </c>
      <c r="CQ404" s="72">
        <v>7</v>
      </c>
      <c r="CR404" s="72">
        <v>7</v>
      </c>
      <c r="CS404" s="72">
        <v>7</v>
      </c>
      <c r="CT404" s="72">
        <v>7</v>
      </c>
      <c r="CU404" s="72">
        <v>7</v>
      </c>
      <c r="CV404" s="72">
        <v>7</v>
      </c>
      <c r="CW404" s="72">
        <v>7</v>
      </c>
      <c r="CX404" s="72">
        <v>7</v>
      </c>
      <c r="CY404" s="72">
        <v>7</v>
      </c>
      <c r="CZ404" s="72">
        <v>7</v>
      </c>
      <c r="DA404" s="72">
        <v>7</v>
      </c>
      <c r="DB404" s="72">
        <v>7</v>
      </c>
      <c r="DC404" s="72">
        <v>7</v>
      </c>
      <c r="DD404" s="72">
        <v>7</v>
      </c>
      <c r="DE404" s="72">
        <v>7</v>
      </c>
      <c r="DF404" s="72">
        <v>7</v>
      </c>
      <c r="DG404" s="72">
        <v>7</v>
      </c>
      <c r="DH404" s="72">
        <v>7</v>
      </c>
      <c r="DI404" s="72">
        <v>7</v>
      </c>
      <c r="DJ404" s="72">
        <v>7</v>
      </c>
      <c r="DK404" s="72">
        <v>7</v>
      </c>
      <c r="DL404" s="72">
        <v>7</v>
      </c>
    </row>
    <row r="405" spans="1:116" x14ac:dyDescent="0.35">
      <c r="A405" s="7"/>
      <c r="B405" s="8" t="s">
        <v>686</v>
      </c>
      <c r="C405" s="9" t="s">
        <v>687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9"/>
        <v>0</v>
      </c>
      <c r="O405" s="11"/>
      <c r="P405" s="11"/>
      <c r="Q405" s="11">
        <v>2</v>
      </c>
      <c r="R405" s="11">
        <v>2</v>
      </c>
      <c r="S405" s="11">
        <v>2</v>
      </c>
      <c r="T405" s="11">
        <v>2</v>
      </c>
      <c r="U405" s="11">
        <v>2</v>
      </c>
      <c r="V405" s="11">
        <v>2</v>
      </c>
      <c r="W405" s="11">
        <v>2</v>
      </c>
      <c r="X405" s="11">
        <v>2</v>
      </c>
      <c r="Y405" s="11">
        <v>2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</row>
    <row r="406" spans="1:116" x14ac:dyDescent="0.35">
      <c r="A406" s="7"/>
      <c r="B406" s="8" t="s">
        <v>688</v>
      </c>
      <c r="C406" s="9" t="s">
        <v>689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0</v>
      </c>
      <c r="J406" s="10"/>
      <c r="K406" s="10" t="s">
        <v>42</v>
      </c>
      <c r="L406" s="8"/>
      <c r="M406" s="12"/>
      <c r="N406" s="12">
        <f t="shared" si="9"/>
        <v>0</v>
      </c>
      <c r="O406" s="11">
        <v>1</v>
      </c>
      <c r="P406" s="11">
        <v>1</v>
      </c>
      <c r="Q406" s="11">
        <v>1</v>
      </c>
      <c r="R406" s="11">
        <v>1</v>
      </c>
      <c r="S406" s="11">
        <v>1</v>
      </c>
      <c r="T406" s="11">
        <v>1</v>
      </c>
      <c r="U406" s="11">
        <v>1</v>
      </c>
      <c r="V406" s="11">
        <v>0</v>
      </c>
      <c r="W406" s="11">
        <v>0</v>
      </c>
      <c r="X406" s="11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0</v>
      </c>
      <c r="AK406" s="11">
        <v>0</v>
      </c>
      <c r="AL406" s="11">
        <v>0</v>
      </c>
      <c r="AM406" s="11">
        <v>0</v>
      </c>
      <c r="AN406" s="72">
        <v>0</v>
      </c>
      <c r="AO406" s="72">
        <v>0</v>
      </c>
      <c r="AP406" s="72">
        <v>0</v>
      </c>
      <c r="AQ406" s="72">
        <v>0</v>
      </c>
      <c r="AR406" s="72">
        <v>0</v>
      </c>
      <c r="AS406" s="72">
        <v>0</v>
      </c>
      <c r="AT406" s="72">
        <v>0</v>
      </c>
      <c r="AU406" s="72">
        <v>0</v>
      </c>
      <c r="AV406" s="72">
        <v>0</v>
      </c>
      <c r="AW406" s="72">
        <v>0</v>
      </c>
      <c r="AX406" s="72">
        <v>0</v>
      </c>
      <c r="AY406" s="72">
        <v>0</v>
      </c>
      <c r="AZ406" s="72">
        <v>0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0</v>
      </c>
      <c r="BI406" s="72">
        <v>0</v>
      </c>
      <c r="BJ406" s="72">
        <v>0</v>
      </c>
      <c r="BK406" s="72">
        <v>0</v>
      </c>
      <c r="BL406" s="72">
        <v>0</v>
      </c>
      <c r="BM406" s="72">
        <v>0</v>
      </c>
      <c r="BN406" s="72">
        <v>0</v>
      </c>
      <c r="BO406" s="72">
        <v>0</v>
      </c>
      <c r="BP406" s="72">
        <v>0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</row>
    <row r="407" spans="1:116" x14ac:dyDescent="0.35">
      <c r="A407" s="7"/>
      <c r="B407" s="8" t="s">
        <v>690</v>
      </c>
      <c r="C407" s="7" t="s">
        <v>691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60</v>
      </c>
      <c r="J407" s="10">
        <v>0</v>
      </c>
      <c r="K407" s="10" t="s">
        <v>692</v>
      </c>
      <c r="L407" s="8"/>
      <c r="M407" s="12">
        <v>12.78</v>
      </c>
      <c r="N407" s="12">
        <f t="shared" si="9"/>
        <v>217.26</v>
      </c>
      <c r="O407" s="11">
        <v>86</v>
      </c>
      <c r="P407" s="11">
        <v>86</v>
      </c>
      <c r="Q407" s="11">
        <v>119</v>
      </c>
      <c r="R407" s="11">
        <v>144</v>
      </c>
      <c r="S407" s="11">
        <v>144</v>
      </c>
      <c r="T407" s="11">
        <v>144</v>
      </c>
      <c r="U407" s="11">
        <v>100</v>
      </c>
      <c r="V407" s="11">
        <v>100</v>
      </c>
      <c r="W407" s="11">
        <v>100</v>
      </c>
      <c r="X407" s="11">
        <v>100</v>
      </c>
      <c r="Y407" s="11">
        <v>100</v>
      </c>
      <c r="Z407" s="11">
        <v>90</v>
      </c>
      <c r="AA407" s="11">
        <v>90</v>
      </c>
      <c r="AB407" s="11">
        <v>75</v>
      </c>
      <c r="AC407" s="11">
        <v>75</v>
      </c>
      <c r="AD407" s="11">
        <v>75</v>
      </c>
      <c r="AE407" s="11">
        <v>70</v>
      </c>
      <c r="AF407" s="11">
        <v>70</v>
      </c>
      <c r="AG407" s="11">
        <v>70</v>
      </c>
      <c r="AH407" s="11">
        <v>70</v>
      </c>
      <c r="AI407" s="11">
        <v>60</v>
      </c>
      <c r="AJ407" s="11">
        <v>60</v>
      </c>
      <c r="AK407" s="11">
        <v>60</v>
      </c>
      <c r="AL407" s="11">
        <v>58</v>
      </c>
      <c r="AM407" s="11">
        <v>54</v>
      </c>
      <c r="AN407" s="72">
        <v>46</v>
      </c>
      <c r="AO407" s="72">
        <v>47</v>
      </c>
      <c r="AP407" s="72">
        <v>47</v>
      </c>
      <c r="AQ407" s="72">
        <v>47</v>
      </c>
      <c r="AR407" s="72">
        <v>47</v>
      </c>
      <c r="AS407" s="72">
        <v>47</v>
      </c>
      <c r="AT407" s="72">
        <v>47</v>
      </c>
      <c r="AU407" s="72">
        <v>47</v>
      </c>
      <c r="AV407" s="72">
        <v>47</v>
      </c>
      <c r="AW407" s="72">
        <v>47</v>
      </c>
      <c r="AX407" s="72">
        <v>47</v>
      </c>
      <c r="AY407" s="72">
        <v>47</v>
      </c>
      <c r="AZ407" s="72">
        <v>47</v>
      </c>
      <c r="BA407" s="72">
        <v>47</v>
      </c>
      <c r="BB407" s="72">
        <v>44</v>
      </c>
      <c r="BC407" s="72">
        <v>44</v>
      </c>
      <c r="BD407" s="72">
        <v>44</v>
      </c>
      <c r="BE407" s="72">
        <v>44</v>
      </c>
      <c r="BF407" s="72">
        <v>44</v>
      </c>
      <c r="BG407" s="72">
        <v>44</v>
      </c>
      <c r="BH407" s="72">
        <v>44</v>
      </c>
      <c r="BI407" s="72">
        <v>44</v>
      </c>
      <c r="BJ407" s="72">
        <v>44</v>
      </c>
      <c r="BK407" s="72">
        <v>28</v>
      </c>
      <c r="BL407" s="72">
        <v>28</v>
      </c>
      <c r="BM407" s="72">
        <v>28</v>
      </c>
      <c r="BN407" s="72">
        <v>1</v>
      </c>
      <c r="BO407" s="72">
        <v>1</v>
      </c>
      <c r="BP407" s="72">
        <v>1</v>
      </c>
      <c r="BQ407" s="72">
        <v>1</v>
      </c>
      <c r="BR407" s="72">
        <v>0</v>
      </c>
      <c r="BS407" s="72">
        <v>0</v>
      </c>
      <c r="BT407" s="72">
        <v>0</v>
      </c>
      <c r="BU407" s="72">
        <v>0</v>
      </c>
      <c r="BV407" s="72">
        <v>2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50</v>
      </c>
      <c r="CX407" s="72">
        <v>50</v>
      </c>
      <c r="CY407" s="72">
        <v>27</v>
      </c>
      <c r="CZ407" s="72">
        <v>27</v>
      </c>
      <c r="DA407" s="72">
        <v>27</v>
      </c>
      <c r="DB407" s="72">
        <v>27</v>
      </c>
      <c r="DC407" s="72">
        <v>27</v>
      </c>
      <c r="DD407" s="72">
        <v>27</v>
      </c>
      <c r="DE407" s="72">
        <v>27</v>
      </c>
      <c r="DF407" s="72">
        <v>27</v>
      </c>
      <c r="DG407" s="72">
        <v>27</v>
      </c>
      <c r="DH407" s="72">
        <v>23</v>
      </c>
      <c r="DI407" s="72">
        <v>23</v>
      </c>
      <c r="DJ407" s="72">
        <v>23</v>
      </c>
      <c r="DK407" s="72">
        <v>21</v>
      </c>
      <c r="DL407" s="72">
        <v>17</v>
      </c>
    </row>
    <row r="408" spans="1:116" x14ac:dyDescent="0.35">
      <c r="A408" s="7"/>
      <c r="B408" s="8" t="s">
        <v>693</v>
      </c>
      <c r="C408" s="9" t="s">
        <v>694</v>
      </c>
      <c r="D408" s="10" t="s">
        <v>594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2</v>
      </c>
      <c r="J408" s="10"/>
      <c r="K408" s="10"/>
      <c r="L408" s="8"/>
      <c r="M408" s="12">
        <v>458.22</v>
      </c>
      <c r="N408" s="12">
        <f t="shared" si="9"/>
        <v>916.44</v>
      </c>
      <c r="O408" s="11">
        <v>2</v>
      </c>
      <c r="P408" s="11">
        <v>2</v>
      </c>
      <c r="Q408" s="11">
        <v>2</v>
      </c>
      <c r="R408" s="11">
        <v>2</v>
      </c>
      <c r="S408" s="11">
        <v>2</v>
      </c>
      <c r="T408" s="11">
        <v>2</v>
      </c>
      <c r="U408" s="11">
        <v>2</v>
      </c>
      <c r="V408" s="11">
        <v>2</v>
      </c>
      <c r="W408" s="11">
        <v>2</v>
      </c>
      <c r="X408" s="11">
        <v>2</v>
      </c>
      <c r="Y408" s="11">
        <v>2</v>
      </c>
      <c r="Z408" s="11">
        <v>2</v>
      </c>
      <c r="AA408" s="11">
        <v>2</v>
      </c>
      <c r="AB408" s="11">
        <v>2</v>
      </c>
      <c r="AC408" s="11">
        <v>2</v>
      </c>
      <c r="AD408" s="11">
        <v>2</v>
      </c>
      <c r="AE408" s="11">
        <v>2</v>
      </c>
      <c r="AF408" s="11">
        <v>2</v>
      </c>
      <c r="AG408" s="11">
        <v>2</v>
      </c>
      <c r="AH408" s="11">
        <v>2</v>
      </c>
      <c r="AI408" s="11">
        <v>2</v>
      </c>
      <c r="AJ408" s="11">
        <v>2</v>
      </c>
      <c r="AK408" s="11">
        <v>2</v>
      </c>
      <c r="AL408" s="11">
        <v>2</v>
      </c>
      <c r="AM408" s="11">
        <v>2</v>
      </c>
      <c r="AN408" s="72">
        <v>2</v>
      </c>
      <c r="AO408" s="72">
        <v>2</v>
      </c>
      <c r="AP408" s="72">
        <v>2</v>
      </c>
      <c r="AQ408" s="72">
        <v>2</v>
      </c>
      <c r="AR408" s="72">
        <v>2</v>
      </c>
      <c r="AS408" s="72">
        <v>2</v>
      </c>
      <c r="AT408" s="72">
        <v>2</v>
      </c>
      <c r="AU408" s="72">
        <v>2</v>
      </c>
      <c r="AV408" s="72">
        <v>2</v>
      </c>
      <c r="AW408" s="72">
        <v>2</v>
      </c>
      <c r="AX408" s="72">
        <v>2</v>
      </c>
      <c r="AY408" s="72">
        <v>2</v>
      </c>
      <c r="AZ408" s="72">
        <v>2</v>
      </c>
      <c r="BA408" s="72">
        <v>2</v>
      </c>
      <c r="BB408" s="72">
        <v>2</v>
      </c>
      <c r="BC408" s="72">
        <v>2</v>
      </c>
      <c r="BD408" s="72">
        <v>2</v>
      </c>
      <c r="BE408" s="72">
        <v>2</v>
      </c>
      <c r="BF408" s="72">
        <v>2</v>
      </c>
      <c r="BG408" s="72">
        <v>2</v>
      </c>
      <c r="BH408" s="72">
        <v>2</v>
      </c>
      <c r="BI408" s="72">
        <v>2</v>
      </c>
      <c r="BJ408" s="72">
        <v>2</v>
      </c>
      <c r="BK408" s="72">
        <v>2</v>
      </c>
      <c r="BL408" s="72">
        <v>2</v>
      </c>
      <c r="BM408" s="72">
        <v>2</v>
      </c>
      <c r="BN408" s="72">
        <v>2</v>
      </c>
      <c r="BO408" s="72">
        <v>2</v>
      </c>
      <c r="BP408" s="72">
        <v>2</v>
      </c>
      <c r="BQ408" s="72">
        <v>2</v>
      </c>
      <c r="BR408" s="72">
        <v>2</v>
      </c>
      <c r="BS408" s="72">
        <v>2</v>
      </c>
      <c r="BT408" s="72">
        <v>2</v>
      </c>
      <c r="BU408" s="72">
        <v>2</v>
      </c>
      <c r="BV408" s="72">
        <v>2</v>
      </c>
      <c r="BW408" s="72">
        <v>2</v>
      </c>
      <c r="BX408" s="72">
        <v>2</v>
      </c>
      <c r="BY408" s="72">
        <v>2</v>
      </c>
      <c r="BZ408" s="72">
        <v>2</v>
      </c>
      <c r="CA408" s="72">
        <v>2</v>
      </c>
      <c r="CB408" s="72">
        <v>2</v>
      </c>
      <c r="CC408" s="72">
        <v>2</v>
      </c>
      <c r="CD408" s="72">
        <v>2</v>
      </c>
      <c r="CE408" s="72">
        <v>2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2</v>
      </c>
      <c r="CP408" s="72">
        <v>2</v>
      </c>
      <c r="CQ408" s="72">
        <v>2</v>
      </c>
      <c r="CR408" s="72">
        <v>2</v>
      </c>
      <c r="CS408" s="72">
        <v>2</v>
      </c>
      <c r="CT408" s="72">
        <v>2</v>
      </c>
      <c r="CU408" s="72">
        <v>2</v>
      </c>
      <c r="CV408" s="72">
        <v>2</v>
      </c>
      <c r="CW408" s="72">
        <v>2</v>
      </c>
      <c r="CX408" s="72">
        <v>2</v>
      </c>
      <c r="CY408" s="72">
        <v>2</v>
      </c>
      <c r="CZ408" s="72">
        <v>2</v>
      </c>
      <c r="DA408" s="72">
        <v>2</v>
      </c>
      <c r="DB408" s="72">
        <v>2</v>
      </c>
      <c r="DC408" s="72">
        <v>2</v>
      </c>
      <c r="DD408" s="72">
        <v>2</v>
      </c>
      <c r="DE408" s="72">
        <v>2</v>
      </c>
      <c r="DF408" s="72">
        <v>2</v>
      </c>
      <c r="DG408" s="72">
        <v>2</v>
      </c>
      <c r="DH408" s="72">
        <v>2</v>
      </c>
      <c r="DI408" s="72">
        <v>2</v>
      </c>
      <c r="DJ408" s="72">
        <v>2</v>
      </c>
      <c r="DK408" s="72">
        <v>2</v>
      </c>
      <c r="DL408" s="72">
        <v>2</v>
      </c>
    </row>
    <row r="409" spans="1:116" x14ac:dyDescent="0.35">
      <c r="A409" s="7"/>
      <c r="B409" s="8" t="s">
        <v>695</v>
      </c>
      <c r="C409" s="9" t="s">
        <v>696</v>
      </c>
      <c r="D409" s="10" t="s">
        <v>697</v>
      </c>
      <c r="E409" s="8" t="s">
        <v>1205</v>
      </c>
      <c r="F409" s="10">
        <v>1006</v>
      </c>
      <c r="G409" s="10" t="s">
        <v>40</v>
      </c>
      <c r="H409" s="10" t="s">
        <v>41</v>
      </c>
      <c r="I409" s="11">
        <v>1</v>
      </c>
      <c r="J409" s="10"/>
      <c r="K409" s="10"/>
      <c r="L409" s="8"/>
      <c r="M409" s="12">
        <v>236</v>
      </c>
      <c r="N409" s="12">
        <f t="shared" si="9"/>
        <v>236</v>
      </c>
      <c r="O409" s="11">
        <v>1</v>
      </c>
      <c r="P409" s="11">
        <v>1</v>
      </c>
      <c r="Q409" s="11">
        <v>1</v>
      </c>
      <c r="R409" s="11">
        <v>1</v>
      </c>
      <c r="S409" s="11">
        <v>1</v>
      </c>
      <c r="T409" s="11">
        <v>1</v>
      </c>
      <c r="U409" s="11">
        <v>1</v>
      </c>
      <c r="V409" s="11">
        <v>1</v>
      </c>
      <c r="W409" s="11">
        <v>1</v>
      </c>
      <c r="X409" s="11">
        <v>1</v>
      </c>
      <c r="Y409" s="11">
        <v>1</v>
      </c>
      <c r="Z409" s="11">
        <v>1</v>
      </c>
      <c r="AA409" s="11">
        <v>1</v>
      </c>
      <c r="AB409" s="11">
        <v>1</v>
      </c>
      <c r="AC409" s="11">
        <v>1</v>
      </c>
      <c r="AD409" s="11">
        <v>1</v>
      </c>
      <c r="AE409" s="11">
        <v>1</v>
      </c>
      <c r="AF409" s="11">
        <v>1</v>
      </c>
      <c r="AG409" s="11">
        <v>1</v>
      </c>
      <c r="AH409" s="11">
        <v>1</v>
      </c>
      <c r="AI409" s="11">
        <v>1</v>
      </c>
      <c r="AJ409" s="11">
        <v>1</v>
      </c>
      <c r="AK409" s="11">
        <v>1</v>
      </c>
      <c r="AL409" s="11">
        <v>1</v>
      </c>
      <c r="AM409" s="11">
        <v>1</v>
      </c>
      <c r="AN409" s="72">
        <v>1</v>
      </c>
      <c r="AO409" s="72">
        <v>1</v>
      </c>
      <c r="AP409" s="72">
        <v>1</v>
      </c>
      <c r="AQ409" s="72">
        <v>1</v>
      </c>
      <c r="AR409" s="72">
        <v>1</v>
      </c>
      <c r="AS409" s="72">
        <v>1</v>
      </c>
      <c r="AT409" s="72">
        <v>1</v>
      </c>
      <c r="AU409" s="72">
        <v>1</v>
      </c>
      <c r="AV409" s="72">
        <v>1</v>
      </c>
      <c r="AW409" s="72">
        <v>1</v>
      </c>
      <c r="AX409" s="72">
        <v>1</v>
      </c>
      <c r="AY409" s="72">
        <v>1</v>
      </c>
      <c r="AZ409" s="72">
        <v>1</v>
      </c>
      <c r="BA409" s="72">
        <v>1</v>
      </c>
      <c r="BB409" s="72">
        <v>1</v>
      </c>
      <c r="BC409" s="72">
        <v>1</v>
      </c>
      <c r="BD409" s="72">
        <v>1</v>
      </c>
      <c r="BE409" s="72">
        <v>1</v>
      </c>
      <c r="BF409" s="72">
        <v>1</v>
      </c>
      <c r="BG409" s="72">
        <v>1</v>
      </c>
      <c r="BH409" s="72">
        <v>1</v>
      </c>
      <c r="BI409" s="72">
        <v>1</v>
      </c>
      <c r="BJ409" s="72">
        <v>1</v>
      </c>
      <c r="BK409" s="72">
        <v>1</v>
      </c>
      <c r="BL409" s="72">
        <v>1</v>
      </c>
      <c r="BM409" s="72">
        <v>1</v>
      </c>
      <c r="BN409" s="72">
        <v>1</v>
      </c>
      <c r="BO409" s="72">
        <v>1</v>
      </c>
      <c r="BP409" s="72">
        <v>1</v>
      </c>
      <c r="BQ409" s="72">
        <v>1</v>
      </c>
      <c r="BR409" s="72">
        <v>1</v>
      </c>
      <c r="BS409" s="72">
        <v>1</v>
      </c>
      <c r="BT409" s="72">
        <v>1</v>
      </c>
      <c r="BU409" s="72">
        <v>1</v>
      </c>
      <c r="BV409" s="72">
        <v>1</v>
      </c>
      <c r="BW409" s="72">
        <v>1</v>
      </c>
      <c r="BX409" s="72">
        <v>1</v>
      </c>
      <c r="BY409" s="72">
        <v>1</v>
      </c>
      <c r="BZ409" s="72">
        <v>1</v>
      </c>
      <c r="CA409" s="72">
        <v>1</v>
      </c>
      <c r="CB409" s="72">
        <v>1</v>
      </c>
      <c r="CC409" s="72">
        <v>1</v>
      </c>
      <c r="CD409" s="72">
        <v>1</v>
      </c>
      <c r="CE409" s="72">
        <v>1</v>
      </c>
      <c r="CF409" s="72">
        <v>1</v>
      </c>
      <c r="CG409" s="72">
        <v>1</v>
      </c>
      <c r="CH409" s="72">
        <v>1</v>
      </c>
      <c r="CI409" s="72">
        <v>1</v>
      </c>
      <c r="CJ409" s="72">
        <v>1</v>
      </c>
      <c r="CK409" s="72">
        <v>1</v>
      </c>
      <c r="CL409" s="72">
        <v>1</v>
      </c>
      <c r="CM409" s="72">
        <v>1</v>
      </c>
      <c r="CN409" s="72">
        <v>1</v>
      </c>
      <c r="CO409" s="72">
        <v>1</v>
      </c>
      <c r="CP409" s="72">
        <v>1</v>
      </c>
      <c r="CQ409" s="72">
        <v>1</v>
      </c>
      <c r="CR409" s="72">
        <v>1</v>
      </c>
      <c r="CS409" s="72">
        <v>1</v>
      </c>
      <c r="CT409" s="72">
        <v>1</v>
      </c>
      <c r="CU409" s="72">
        <v>1</v>
      </c>
      <c r="CV409" s="72">
        <v>1</v>
      </c>
      <c r="CW409" s="72">
        <v>1</v>
      </c>
      <c r="CX409" s="72">
        <v>1</v>
      </c>
      <c r="CY409" s="72">
        <v>1</v>
      </c>
      <c r="CZ409" s="72">
        <v>1</v>
      </c>
      <c r="DA409" s="72">
        <v>1</v>
      </c>
      <c r="DB409" s="72">
        <v>1</v>
      </c>
      <c r="DC409" s="72">
        <v>1</v>
      </c>
      <c r="DD409" s="72">
        <v>1</v>
      </c>
      <c r="DE409" s="72">
        <v>1</v>
      </c>
      <c r="DF409" s="72">
        <v>1</v>
      </c>
      <c r="DG409" s="72">
        <v>1</v>
      </c>
      <c r="DH409" s="72">
        <v>1</v>
      </c>
      <c r="DI409" s="72">
        <v>1</v>
      </c>
      <c r="DJ409" s="72">
        <v>1</v>
      </c>
      <c r="DK409" s="72">
        <v>1</v>
      </c>
      <c r="DL409" s="72">
        <v>1</v>
      </c>
    </row>
    <row r="410" spans="1:116" x14ac:dyDescent="0.35">
      <c r="A410" s="7"/>
      <c r="B410" s="77" t="s">
        <v>1247</v>
      </c>
      <c r="C410" s="9" t="s">
        <v>1252</v>
      </c>
      <c r="D410" s="10" t="s">
        <v>697</v>
      </c>
      <c r="E410" s="8" t="s">
        <v>1206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9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  <c r="DL410" s="72">
        <v>0</v>
      </c>
    </row>
    <row r="411" spans="1:116" x14ac:dyDescent="0.35">
      <c r="A411" s="7"/>
      <c r="B411" s="77" t="s">
        <v>1248</v>
      </c>
      <c r="C411" s="9" t="s">
        <v>1253</v>
      </c>
      <c r="D411" s="10" t="s">
        <v>697</v>
      </c>
      <c r="E411" s="8" t="s">
        <v>1205</v>
      </c>
      <c r="F411" s="10"/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9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/>
      <c r="AP411" s="72"/>
      <c r="AQ411" s="72"/>
      <c r="AR411" s="72"/>
      <c r="AS411" s="72"/>
      <c r="AT411" s="72"/>
      <c r="AU411" s="72">
        <v>9</v>
      </c>
      <c r="AV411" s="72">
        <v>9</v>
      </c>
      <c r="AW411" s="72">
        <v>9</v>
      </c>
      <c r="AX411" s="72">
        <v>0</v>
      </c>
      <c r="AY411" s="72">
        <v>0</v>
      </c>
      <c r="AZ411" s="72">
        <v>0</v>
      </c>
      <c r="BA411" s="72">
        <v>0</v>
      </c>
      <c r="BB411" s="72">
        <v>0</v>
      </c>
      <c r="BC411" s="72">
        <v>0</v>
      </c>
      <c r="BD411" s="72">
        <v>0</v>
      </c>
      <c r="BE411" s="72">
        <v>0</v>
      </c>
      <c r="BF411" s="72">
        <v>0</v>
      </c>
      <c r="BG411" s="72">
        <v>0</v>
      </c>
      <c r="BH411" s="72">
        <v>0</v>
      </c>
      <c r="BI411" s="72">
        <v>0</v>
      </c>
      <c r="BJ411" s="72">
        <v>0</v>
      </c>
      <c r="BK411" s="72">
        <v>0</v>
      </c>
      <c r="BL411" s="72">
        <v>0</v>
      </c>
      <c r="BM411" s="72">
        <v>0</v>
      </c>
      <c r="BN411" s="72">
        <v>0</v>
      </c>
      <c r="BO411" s="72">
        <v>0</v>
      </c>
      <c r="BP411" s="72">
        <v>0</v>
      </c>
      <c r="BQ411" s="72">
        <v>0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</row>
    <row r="412" spans="1:116" x14ac:dyDescent="0.35">
      <c r="A412" s="7"/>
      <c r="B412" s="14" t="s">
        <v>698</v>
      </c>
      <c r="C412" s="9" t="s">
        <v>699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6</v>
      </c>
      <c r="J412" s="10"/>
      <c r="K412" s="10" t="s">
        <v>42</v>
      </c>
      <c r="L412" s="8"/>
      <c r="M412" s="12">
        <v>462.33</v>
      </c>
      <c r="N412" s="12">
        <f t="shared" si="9"/>
        <v>2311.65</v>
      </c>
      <c r="O412" s="11">
        <v>6</v>
      </c>
      <c r="P412" s="11">
        <v>6</v>
      </c>
      <c r="Q412" s="11">
        <v>6</v>
      </c>
      <c r="R412" s="11">
        <v>6</v>
      </c>
      <c r="S412" s="11">
        <v>6</v>
      </c>
      <c r="T412" s="11">
        <v>6</v>
      </c>
      <c r="U412" s="11">
        <v>6</v>
      </c>
      <c r="V412" s="11">
        <v>6</v>
      </c>
      <c r="W412" s="11">
        <v>6</v>
      </c>
      <c r="X412" s="11">
        <v>6</v>
      </c>
      <c r="Y412" s="11">
        <v>6</v>
      </c>
      <c r="Z412" s="11">
        <v>6</v>
      </c>
      <c r="AA412" s="11">
        <v>6</v>
      </c>
      <c r="AB412" s="11">
        <v>6</v>
      </c>
      <c r="AC412" s="11">
        <v>6</v>
      </c>
      <c r="AD412" s="11">
        <v>6</v>
      </c>
      <c r="AE412" s="11">
        <v>6</v>
      </c>
      <c r="AF412" s="11">
        <v>6</v>
      </c>
      <c r="AG412" s="11">
        <v>6</v>
      </c>
      <c r="AH412" s="11">
        <v>6</v>
      </c>
      <c r="AI412" s="11">
        <v>6</v>
      </c>
      <c r="AJ412" s="11">
        <v>6</v>
      </c>
      <c r="AK412" s="11">
        <v>6</v>
      </c>
      <c r="AL412" s="11">
        <v>6</v>
      </c>
      <c r="AM412" s="11">
        <v>6</v>
      </c>
      <c r="AN412" s="72">
        <v>6</v>
      </c>
      <c r="AO412" s="72">
        <v>6</v>
      </c>
      <c r="AP412" s="72">
        <v>6</v>
      </c>
      <c r="AQ412" s="72">
        <v>6</v>
      </c>
      <c r="AR412" s="72">
        <v>6</v>
      </c>
      <c r="AS412" s="72">
        <v>6</v>
      </c>
      <c r="AT412" s="72">
        <v>6</v>
      </c>
      <c r="AU412" s="72">
        <v>6</v>
      </c>
      <c r="AV412" s="72">
        <v>6</v>
      </c>
      <c r="AW412" s="72">
        <v>6</v>
      </c>
      <c r="AX412" s="72">
        <v>5</v>
      </c>
      <c r="AY412" s="72">
        <v>5</v>
      </c>
      <c r="AZ412" s="72">
        <v>5</v>
      </c>
      <c r="BA412" s="72">
        <v>5</v>
      </c>
      <c r="BB412" s="72">
        <v>5</v>
      </c>
      <c r="BC412" s="72">
        <v>5</v>
      </c>
      <c r="BD412" s="72">
        <v>5</v>
      </c>
      <c r="BE412" s="72">
        <v>5</v>
      </c>
      <c r="BF412" s="72">
        <v>5</v>
      </c>
      <c r="BG412" s="72">
        <v>5</v>
      </c>
      <c r="BH412" s="72">
        <v>5</v>
      </c>
      <c r="BI412" s="72">
        <v>5</v>
      </c>
      <c r="BJ412" s="72">
        <v>5</v>
      </c>
      <c r="BK412" s="72">
        <v>5</v>
      </c>
      <c r="BL412" s="72">
        <v>5</v>
      </c>
      <c r="BM412" s="72">
        <v>5</v>
      </c>
      <c r="BN412" s="72">
        <v>5</v>
      </c>
      <c r="BO412" s="72">
        <v>5</v>
      </c>
      <c r="BP412" s="72">
        <v>5</v>
      </c>
      <c r="BQ412" s="72">
        <v>5</v>
      </c>
      <c r="BR412" s="72">
        <v>5</v>
      </c>
      <c r="BS412" s="72">
        <v>5</v>
      </c>
      <c r="BT412" s="72">
        <v>5</v>
      </c>
      <c r="BU412" s="72">
        <v>5</v>
      </c>
      <c r="BV412" s="72">
        <v>5</v>
      </c>
      <c r="BW412" s="72">
        <v>5</v>
      </c>
      <c r="BX412" s="72">
        <v>5</v>
      </c>
      <c r="BY412" s="72">
        <v>5</v>
      </c>
      <c r="BZ412" s="72">
        <v>5</v>
      </c>
      <c r="CA412" s="72">
        <v>5</v>
      </c>
      <c r="CB412" s="72">
        <v>5</v>
      </c>
      <c r="CC412" s="72">
        <v>5</v>
      </c>
      <c r="CD412" s="72">
        <v>5</v>
      </c>
      <c r="CE412" s="72">
        <v>5</v>
      </c>
      <c r="CF412" s="72">
        <v>5</v>
      </c>
      <c r="CG412" s="72">
        <v>5</v>
      </c>
      <c r="CH412" s="72">
        <v>5</v>
      </c>
      <c r="CI412" s="72">
        <v>5</v>
      </c>
      <c r="CJ412" s="72">
        <v>5</v>
      </c>
      <c r="CK412" s="72">
        <v>5</v>
      </c>
      <c r="CL412" s="72">
        <v>5</v>
      </c>
      <c r="CM412" s="72">
        <v>5</v>
      </c>
      <c r="CN412" s="72">
        <v>5</v>
      </c>
      <c r="CO412" s="72">
        <v>5</v>
      </c>
      <c r="CP412" s="72">
        <v>5</v>
      </c>
      <c r="CQ412" s="72">
        <v>5</v>
      </c>
      <c r="CR412" s="72">
        <v>5</v>
      </c>
      <c r="CS412" s="72">
        <v>5</v>
      </c>
      <c r="CT412" s="72">
        <v>5</v>
      </c>
      <c r="CU412" s="72">
        <v>5</v>
      </c>
      <c r="CV412" s="72">
        <v>5</v>
      </c>
      <c r="CW412" s="72">
        <v>5</v>
      </c>
      <c r="CX412" s="72">
        <v>5</v>
      </c>
      <c r="CY412" s="72">
        <v>5</v>
      </c>
      <c r="CZ412" s="72">
        <v>5</v>
      </c>
      <c r="DA412" s="72">
        <v>5</v>
      </c>
      <c r="DB412" s="72">
        <v>5</v>
      </c>
      <c r="DC412" s="72">
        <v>5</v>
      </c>
      <c r="DD412" s="72">
        <v>5</v>
      </c>
      <c r="DE412" s="72">
        <v>5</v>
      </c>
      <c r="DF412" s="72">
        <v>5</v>
      </c>
      <c r="DG412" s="72">
        <v>5</v>
      </c>
      <c r="DH412" s="72">
        <v>5</v>
      </c>
      <c r="DI412" s="72">
        <v>5</v>
      </c>
      <c r="DJ412" s="72">
        <v>5</v>
      </c>
      <c r="DK412" s="72">
        <v>5</v>
      </c>
      <c r="DL412" s="72">
        <v>5</v>
      </c>
    </row>
    <row r="413" spans="1:116" x14ac:dyDescent="0.35">
      <c r="A413" s="7"/>
      <c r="B413" s="14" t="s">
        <v>700</v>
      </c>
      <c r="C413" s="9" t="s">
        <v>701</v>
      </c>
      <c r="D413" s="10" t="s">
        <v>697</v>
      </c>
      <c r="E413" s="8" t="s">
        <v>1206</v>
      </c>
      <c r="F413" s="10">
        <v>1002</v>
      </c>
      <c r="G413" s="10" t="s">
        <v>40</v>
      </c>
      <c r="H413" s="10" t="s">
        <v>41</v>
      </c>
      <c r="I413" s="11">
        <v>18</v>
      </c>
      <c r="J413" s="10"/>
      <c r="K413" s="10"/>
      <c r="L413" s="8"/>
      <c r="M413" s="12">
        <v>263</v>
      </c>
      <c r="N413" s="12">
        <f t="shared" si="9"/>
        <v>789</v>
      </c>
      <c r="O413" s="11">
        <v>18</v>
      </c>
      <c r="P413" s="11">
        <v>18</v>
      </c>
      <c r="Q413" s="11">
        <v>18</v>
      </c>
      <c r="R413" s="11">
        <v>18</v>
      </c>
      <c r="S413" s="11">
        <v>18</v>
      </c>
      <c r="T413" s="11">
        <v>18</v>
      </c>
      <c r="U413" s="11">
        <v>18</v>
      </c>
      <c r="V413" s="11">
        <v>18</v>
      </c>
      <c r="W413" s="11">
        <v>18</v>
      </c>
      <c r="X413" s="11">
        <v>18</v>
      </c>
      <c r="Y413" s="11">
        <v>18</v>
      </c>
      <c r="Z413" s="11">
        <v>18</v>
      </c>
      <c r="AA413" s="11">
        <v>18</v>
      </c>
      <c r="AB413" s="11">
        <v>18</v>
      </c>
      <c r="AC413" s="11">
        <v>18</v>
      </c>
      <c r="AD413" s="11">
        <v>18</v>
      </c>
      <c r="AE413" s="11">
        <v>18</v>
      </c>
      <c r="AF413" s="11">
        <v>18</v>
      </c>
      <c r="AG413" s="11">
        <v>18</v>
      </c>
      <c r="AH413" s="11">
        <v>18</v>
      </c>
      <c r="AI413" s="11">
        <v>18</v>
      </c>
      <c r="AJ413" s="11">
        <v>18</v>
      </c>
      <c r="AK413" s="11">
        <v>18</v>
      </c>
      <c r="AL413" s="11">
        <v>18</v>
      </c>
      <c r="AM413" s="11">
        <v>18</v>
      </c>
      <c r="AN413" s="72">
        <v>18</v>
      </c>
      <c r="AO413" s="72">
        <v>18</v>
      </c>
      <c r="AP413" s="72">
        <v>10</v>
      </c>
      <c r="AQ413" s="72">
        <v>10</v>
      </c>
      <c r="AR413" s="72">
        <v>10</v>
      </c>
      <c r="AS413" s="72">
        <v>10</v>
      </c>
      <c r="AT413" s="72">
        <v>10</v>
      </c>
      <c r="AU413" s="72">
        <v>10</v>
      </c>
      <c r="AV413" s="72">
        <v>10</v>
      </c>
      <c r="AW413" s="72">
        <v>10</v>
      </c>
      <c r="AX413" s="72">
        <v>10</v>
      </c>
      <c r="AY413" s="72">
        <v>10</v>
      </c>
      <c r="AZ413" s="72">
        <v>10</v>
      </c>
      <c r="BA413" s="72">
        <v>10</v>
      </c>
      <c r="BB413" s="72">
        <v>10</v>
      </c>
      <c r="BC413" s="72">
        <v>10</v>
      </c>
      <c r="BD413" s="72">
        <v>10</v>
      </c>
      <c r="BE413" s="72">
        <v>10</v>
      </c>
      <c r="BF413" s="72">
        <v>10</v>
      </c>
      <c r="BG413" s="72">
        <v>10</v>
      </c>
      <c r="BH413" s="72">
        <v>10</v>
      </c>
      <c r="BI413" s="72">
        <v>10</v>
      </c>
      <c r="BJ413" s="72">
        <v>10</v>
      </c>
      <c r="BK413" s="72">
        <v>10</v>
      </c>
      <c r="BL413" s="72">
        <v>10</v>
      </c>
      <c r="BM413" s="72">
        <v>10</v>
      </c>
      <c r="BN413" s="72">
        <v>10</v>
      </c>
      <c r="BO413" s="72">
        <v>9</v>
      </c>
      <c r="BP413" s="72">
        <v>9</v>
      </c>
      <c r="BQ413" s="72">
        <v>6</v>
      </c>
      <c r="BR413" s="72">
        <v>4</v>
      </c>
      <c r="BS413" s="72">
        <v>3</v>
      </c>
      <c r="BT413" s="72">
        <v>3</v>
      </c>
      <c r="BU413" s="72">
        <v>3</v>
      </c>
      <c r="BV413" s="72">
        <v>3</v>
      </c>
      <c r="BW413" s="72">
        <v>3</v>
      </c>
      <c r="BX413" s="72">
        <v>3</v>
      </c>
      <c r="BY413" s="72">
        <v>3</v>
      </c>
      <c r="BZ413" s="72">
        <v>3</v>
      </c>
      <c r="CA413" s="72">
        <v>3</v>
      </c>
      <c r="CB413" s="72">
        <v>3</v>
      </c>
      <c r="CC413" s="72">
        <v>3</v>
      </c>
      <c r="CD413" s="72">
        <v>3</v>
      </c>
      <c r="CE413" s="72">
        <v>3</v>
      </c>
      <c r="CF413" s="72">
        <v>3</v>
      </c>
      <c r="CG413" s="72">
        <v>3</v>
      </c>
      <c r="CH413" s="72">
        <v>3</v>
      </c>
      <c r="CI413" s="72">
        <v>3</v>
      </c>
      <c r="CJ413" s="72">
        <v>3</v>
      </c>
      <c r="CK413" s="72">
        <v>3</v>
      </c>
      <c r="CL413" s="72">
        <v>3</v>
      </c>
      <c r="CM413" s="72">
        <v>3</v>
      </c>
      <c r="CN413" s="72">
        <v>3</v>
      </c>
      <c r="CO413" s="72">
        <v>3</v>
      </c>
      <c r="CP413" s="72">
        <v>3</v>
      </c>
      <c r="CQ413" s="72">
        <v>3</v>
      </c>
      <c r="CR413" s="72">
        <v>3</v>
      </c>
      <c r="CS413" s="72">
        <v>3</v>
      </c>
      <c r="CT413" s="72">
        <v>3</v>
      </c>
      <c r="CU413" s="72">
        <v>3</v>
      </c>
      <c r="CV413" s="72">
        <v>3</v>
      </c>
      <c r="CW413" s="72">
        <v>3</v>
      </c>
      <c r="CX413" s="72">
        <v>3</v>
      </c>
      <c r="CY413" s="72">
        <v>3</v>
      </c>
      <c r="CZ413" s="72">
        <v>3</v>
      </c>
      <c r="DA413" s="72">
        <v>3</v>
      </c>
      <c r="DB413" s="72">
        <v>3</v>
      </c>
      <c r="DC413" s="72">
        <v>3</v>
      </c>
      <c r="DD413" s="72">
        <v>3</v>
      </c>
      <c r="DE413" s="72">
        <v>3</v>
      </c>
      <c r="DF413" s="72">
        <v>3</v>
      </c>
      <c r="DG413" s="72">
        <v>3</v>
      </c>
      <c r="DH413" s="72">
        <v>3</v>
      </c>
      <c r="DI413" s="72">
        <v>3</v>
      </c>
      <c r="DJ413" s="72">
        <v>3</v>
      </c>
      <c r="DK413" s="72">
        <v>3</v>
      </c>
      <c r="DL413" s="72">
        <v>3</v>
      </c>
    </row>
    <row r="414" spans="1:116" x14ac:dyDescent="0.35">
      <c r="A414" s="7"/>
      <c r="B414" s="14" t="s">
        <v>1379</v>
      </c>
      <c r="C414" s="9" t="s">
        <v>701</v>
      </c>
      <c r="D414" s="10" t="s">
        <v>697</v>
      </c>
      <c r="E414" s="8" t="s">
        <v>1206</v>
      </c>
      <c r="F414" s="10"/>
      <c r="G414" s="10"/>
      <c r="H414" s="10" t="s">
        <v>41</v>
      </c>
      <c r="I414" s="11"/>
      <c r="J414" s="10"/>
      <c r="K414" s="10"/>
      <c r="L414" s="8"/>
      <c r="M414" s="12">
        <v>263</v>
      </c>
      <c r="N414" s="12">
        <f t="shared" si="9"/>
        <v>263</v>
      </c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  <c r="BC414" s="72"/>
      <c r="BD414" s="72"/>
      <c r="BE414" s="72"/>
      <c r="BF414" s="72"/>
      <c r="BG414" s="72"/>
      <c r="BH414" s="72"/>
      <c r="BI414" s="72"/>
      <c r="BJ414" s="72"/>
      <c r="BK414" s="72"/>
      <c r="BL414" s="72"/>
      <c r="BM414" s="72"/>
      <c r="BN414" s="72"/>
      <c r="BO414" s="72"/>
      <c r="BP414" s="72"/>
      <c r="BQ414" s="72">
        <v>1</v>
      </c>
      <c r="BR414" s="72">
        <v>1</v>
      </c>
      <c r="BS414" s="72">
        <v>1</v>
      </c>
      <c r="BT414" s="72">
        <v>1</v>
      </c>
      <c r="BU414" s="72">
        <v>1</v>
      </c>
      <c r="BV414" s="72">
        <v>1</v>
      </c>
      <c r="BW414" s="72">
        <v>1</v>
      </c>
      <c r="BX414" s="72">
        <v>1</v>
      </c>
      <c r="BY414" s="72">
        <v>1</v>
      </c>
      <c r="BZ414" s="72">
        <v>1</v>
      </c>
      <c r="CA414" s="72">
        <v>1</v>
      </c>
      <c r="CB414" s="72">
        <v>1</v>
      </c>
      <c r="CC414" s="72">
        <v>1</v>
      </c>
      <c r="CD414" s="72">
        <v>1</v>
      </c>
      <c r="CE414" s="72">
        <v>1</v>
      </c>
      <c r="CF414" s="72">
        <v>1</v>
      </c>
      <c r="CG414" s="72">
        <v>1</v>
      </c>
      <c r="CH414" s="72">
        <v>1</v>
      </c>
      <c r="CI414" s="72">
        <v>1</v>
      </c>
      <c r="CJ414" s="72">
        <v>1</v>
      </c>
      <c r="CK414" s="72">
        <v>1</v>
      </c>
      <c r="CL414" s="72">
        <v>1</v>
      </c>
      <c r="CM414" s="72">
        <v>1</v>
      </c>
      <c r="CN414" s="72">
        <v>1</v>
      </c>
      <c r="CO414" s="72">
        <v>1</v>
      </c>
      <c r="CP414" s="72">
        <v>1</v>
      </c>
      <c r="CQ414" s="72">
        <v>1</v>
      </c>
      <c r="CR414" s="72">
        <v>1</v>
      </c>
      <c r="CS414" s="72">
        <v>1</v>
      </c>
      <c r="CT414" s="72">
        <v>1</v>
      </c>
      <c r="CU414" s="72">
        <v>1</v>
      </c>
      <c r="CV414" s="72">
        <v>1</v>
      </c>
      <c r="CW414" s="72">
        <v>1</v>
      </c>
      <c r="CX414" s="72">
        <v>1</v>
      </c>
      <c r="CY414" s="72">
        <v>1</v>
      </c>
      <c r="CZ414" s="72">
        <v>1</v>
      </c>
      <c r="DA414" s="72">
        <v>1</v>
      </c>
      <c r="DB414" s="72">
        <v>1</v>
      </c>
      <c r="DC414" s="72">
        <v>1</v>
      </c>
      <c r="DD414" s="72">
        <v>1</v>
      </c>
      <c r="DE414" s="72">
        <v>1</v>
      </c>
      <c r="DF414" s="72">
        <v>1</v>
      </c>
      <c r="DG414" s="72">
        <v>1</v>
      </c>
      <c r="DH414" s="72">
        <v>1</v>
      </c>
      <c r="DI414" s="72">
        <v>1</v>
      </c>
      <c r="DJ414" s="72">
        <v>1</v>
      </c>
      <c r="DK414" s="72">
        <v>1</v>
      </c>
      <c r="DL414" s="72">
        <v>1</v>
      </c>
    </row>
    <row r="415" spans="1:116" x14ac:dyDescent="0.35">
      <c r="A415" s="7"/>
      <c r="B415" s="8" t="s">
        <v>702</v>
      </c>
      <c r="C415" s="9" t="s">
        <v>703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7</v>
      </c>
      <c r="J415" s="10"/>
      <c r="K415" s="10" t="s">
        <v>42</v>
      </c>
      <c r="L415" s="8"/>
      <c r="M415" s="12">
        <v>96.1</v>
      </c>
      <c r="N415" s="12">
        <f t="shared" si="9"/>
        <v>0</v>
      </c>
      <c r="O415" s="11">
        <v>25</v>
      </c>
      <c r="P415" s="11">
        <v>25</v>
      </c>
      <c r="Q415" s="11">
        <v>25</v>
      </c>
      <c r="R415" s="11">
        <v>25</v>
      </c>
      <c r="S415" s="11">
        <v>25</v>
      </c>
      <c r="T415" s="11">
        <v>25</v>
      </c>
      <c r="U415" s="11">
        <v>25</v>
      </c>
      <c r="V415" s="11">
        <v>25</v>
      </c>
      <c r="W415" s="11">
        <v>25</v>
      </c>
      <c r="X415" s="11">
        <v>10</v>
      </c>
      <c r="Y415" s="11">
        <v>10</v>
      </c>
      <c r="Z415" s="11">
        <v>7</v>
      </c>
      <c r="AA415" s="11">
        <v>7</v>
      </c>
      <c r="AB415" s="11">
        <v>7</v>
      </c>
      <c r="AC415" s="11">
        <v>7</v>
      </c>
      <c r="AD415" s="11">
        <v>7</v>
      </c>
      <c r="AE415" s="11">
        <v>7</v>
      </c>
      <c r="AF415" s="11">
        <v>7</v>
      </c>
      <c r="AG415" s="11">
        <v>7</v>
      </c>
      <c r="AH415" s="11">
        <v>7</v>
      </c>
      <c r="AI415" s="11">
        <v>7</v>
      </c>
      <c r="AJ415" s="11">
        <v>7</v>
      </c>
      <c r="AK415" s="11">
        <v>7</v>
      </c>
      <c r="AL415" s="11">
        <v>7</v>
      </c>
      <c r="AM415" s="11">
        <v>7</v>
      </c>
      <c r="AN415" s="72">
        <v>7</v>
      </c>
      <c r="AO415" s="72">
        <v>7</v>
      </c>
      <c r="AP415" s="72">
        <v>7</v>
      </c>
      <c r="AQ415" s="72">
        <v>7</v>
      </c>
      <c r="AR415" s="72">
        <v>7</v>
      </c>
      <c r="AS415" s="72">
        <v>7</v>
      </c>
      <c r="AT415" s="72">
        <v>7</v>
      </c>
      <c r="AU415" s="72">
        <v>7</v>
      </c>
      <c r="AV415" s="72">
        <v>7</v>
      </c>
      <c r="AW415" s="72">
        <v>7</v>
      </c>
      <c r="AX415" s="72">
        <v>7</v>
      </c>
      <c r="AY415" s="72">
        <v>7</v>
      </c>
      <c r="AZ415" s="72">
        <v>7</v>
      </c>
      <c r="BA415" s="72">
        <v>7</v>
      </c>
      <c r="BB415" s="72">
        <v>7</v>
      </c>
      <c r="BC415" s="72">
        <v>7</v>
      </c>
      <c r="BD415" s="72">
        <v>7</v>
      </c>
      <c r="BE415" s="72">
        <v>7</v>
      </c>
      <c r="BF415" s="72">
        <v>7</v>
      </c>
      <c r="BG415" s="72">
        <v>7</v>
      </c>
      <c r="BH415" s="72">
        <v>7</v>
      </c>
      <c r="BI415" s="72">
        <v>7</v>
      </c>
      <c r="BJ415" s="72">
        <v>7</v>
      </c>
      <c r="BK415" s="72">
        <v>7</v>
      </c>
      <c r="BL415" s="72">
        <v>7</v>
      </c>
      <c r="BM415" s="72">
        <v>7</v>
      </c>
      <c r="BN415" s="72">
        <v>7</v>
      </c>
      <c r="BO415" s="72">
        <v>7</v>
      </c>
      <c r="BP415" s="72">
        <v>7</v>
      </c>
      <c r="BQ415" s="72">
        <v>7</v>
      </c>
      <c r="BR415" s="72">
        <v>7</v>
      </c>
      <c r="BS415" s="72">
        <v>6</v>
      </c>
      <c r="BT415" s="72">
        <v>6</v>
      </c>
      <c r="BU415" s="72">
        <v>6</v>
      </c>
      <c r="BV415" s="72">
        <v>6</v>
      </c>
      <c r="BW415" s="72">
        <v>6</v>
      </c>
      <c r="BX415" s="72">
        <v>6</v>
      </c>
      <c r="BY415" s="72">
        <v>6</v>
      </c>
      <c r="BZ415" s="72">
        <v>6</v>
      </c>
      <c r="CA415" s="72">
        <v>6</v>
      </c>
      <c r="CB415" s="72">
        <v>6</v>
      </c>
      <c r="CC415" s="72">
        <v>6</v>
      </c>
      <c r="CD415" s="72">
        <v>6</v>
      </c>
      <c r="CE415" s="72">
        <v>6</v>
      </c>
      <c r="CF415" s="72">
        <v>6</v>
      </c>
      <c r="CG415" s="72">
        <v>6</v>
      </c>
      <c r="CH415" s="72">
        <v>6</v>
      </c>
      <c r="CI415" s="72">
        <v>6</v>
      </c>
      <c r="CJ415" s="72">
        <v>6</v>
      </c>
      <c r="CK415" s="72">
        <v>6</v>
      </c>
      <c r="CL415" s="72">
        <v>6</v>
      </c>
      <c r="CM415" s="72">
        <v>6</v>
      </c>
      <c r="CN415" s="72">
        <v>6</v>
      </c>
      <c r="CO415" s="72">
        <v>6</v>
      </c>
      <c r="CP415" s="72">
        <v>6</v>
      </c>
      <c r="CQ415" s="72">
        <v>6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</row>
    <row r="416" spans="1:116" x14ac:dyDescent="0.35">
      <c r="A416" s="7"/>
      <c r="B416" s="8" t="s">
        <v>704</v>
      </c>
      <c r="C416" s="9" t="s">
        <v>705</v>
      </c>
      <c r="D416" s="10" t="s">
        <v>697</v>
      </c>
      <c r="E416" s="8" t="s">
        <v>1206</v>
      </c>
      <c r="F416" s="10">
        <v>1002</v>
      </c>
      <c r="G416" s="10" t="s">
        <v>40</v>
      </c>
      <c r="H416" s="10" t="s">
        <v>41</v>
      </c>
      <c r="I416" s="11">
        <v>190</v>
      </c>
      <c r="J416" s="10"/>
      <c r="K416" s="10" t="s">
        <v>42</v>
      </c>
      <c r="L416" s="8"/>
      <c r="M416" s="12">
        <v>96</v>
      </c>
      <c r="N416" s="12">
        <f t="shared" si="9"/>
        <v>96</v>
      </c>
      <c r="O416" s="11">
        <v>188</v>
      </c>
      <c r="P416" s="11">
        <v>188</v>
      </c>
      <c r="Q416" s="11">
        <v>188</v>
      </c>
      <c r="R416" s="11">
        <v>188</v>
      </c>
      <c r="S416" s="11">
        <v>188</v>
      </c>
      <c r="T416" s="11">
        <v>188</v>
      </c>
      <c r="U416" s="11">
        <v>188</v>
      </c>
      <c r="V416" s="11">
        <v>188</v>
      </c>
      <c r="W416" s="11">
        <v>188</v>
      </c>
      <c r="X416" s="11">
        <v>188</v>
      </c>
      <c r="Y416" s="11">
        <v>188</v>
      </c>
      <c r="Z416" s="11">
        <v>188</v>
      </c>
      <c r="AA416" s="11">
        <v>188</v>
      </c>
      <c r="AB416" s="11">
        <v>188</v>
      </c>
      <c r="AC416" s="11">
        <v>190</v>
      </c>
      <c r="AD416" s="11">
        <v>190</v>
      </c>
      <c r="AE416" s="11">
        <v>190</v>
      </c>
      <c r="AF416" s="11">
        <v>190</v>
      </c>
      <c r="AG416" s="11">
        <v>190</v>
      </c>
      <c r="AH416" s="11">
        <v>190</v>
      </c>
      <c r="AI416" s="11">
        <v>190</v>
      </c>
      <c r="AJ416" s="11">
        <v>190</v>
      </c>
      <c r="AK416" s="11">
        <v>190</v>
      </c>
      <c r="AL416" s="11">
        <v>190</v>
      </c>
      <c r="AM416" s="11">
        <v>190</v>
      </c>
      <c r="AN416" s="72">
        <v>190</v>
      </c>
      <c r="AO416" s="72">
        <v>190</v>
      </c>
      <c r="AP416" s="72">
        <v>189</v>
      </c>
      <c r="AQ416" s="72">
        <v>189</v>
      </c>
      <c r="AR416" s="72">
        <v>189</v>
      </c>
      <c r="AS416" s="72">
        <v>189</v>
      </c>
      <c r="AT416" s="72">
        <v>189</v>
      </c>
      <c r="AU416" s="72">
        <v>189</v>
      </c>
      <c r="AV416" s="72">
        <v>189</v>
      </c>
      <c r="AW416" s="72">
        <v>189</v>
      </c>
      <c r="AX416" s="72">
        <v>188</v>
      </c>
      <c r="AY416" s="72">
        <v>188</v>
      </c>
      <c r="AZ416" s="72">
        <v>188</v>
      </c>
      <c r="BA416" s="72">
        <v>188</v>
      </c>
      <c r="BB416" s="72">
        <v>188</v>
      </c>
      <c r="BC416" s="72">
        <v>188</v>
      </c>
      <c r="BD416" s="72">
        <v>188</v>
      </c>
      <c r="BE416" s="72">
        <v>188</v>
      </c>
      <c r="BF416" s="72">
        <v>188</v>
      </c>
      <c r="BG416" s="72">
        <v>188</v>
      </c>
      <c r="BH416" s="72">
        <v>179</v>
      </c>
      <c r="BI416" s="72">
        <v>179</v>
      </c>
      <c r="BJ416" s="72">
        <v>179</v>
      </c>
      <c r="BK416" s="72">
        <v>179</v>
      </c>
      <c r="BL416" s="72">
        <v>179</v>
      </c>
      <c r="BM416" s="72">
        <v>167</v>
      </c>
      <c r="BN416" s="72">
        <v>161</v>
      </c>
      <c r="BO416" s="72">
        <v>110</v>
      </c>
      <c r="BP416" s="72">
        <v>103</v>
      </c>
      <c r="BQ416" s="72">
        <v>97</v>
      </c>
      <c r="BR416" s="72">
        <v>66</v>
      </c>
      <c r="BS416" s="72">
        <v>66</v>
      </c>
      <c r="BT416" s="72">
        <v>66</v>
      </c>
      <c r="BU416" s="72">
        <v>65</v>
      </c>
      <c r="BV416" s="72">
        <v>65</v>
      </c>
      <c r="BW416" s="72">
        <v>65</v>
      </c>
      <c r="BX416" s="72">
        <v>65</v>
      </c>
      <c r="BY416" s="72">
        <v>65</v>
      </c>
      <c r="BZ416" s="72">
        <v>62</v>
      </c>
      <c r="CA416" s="72">
        <v>43</v>
      </c>
      <c r="CB416" s="72">
        <v>43</v>
      </c>
      <c r="CC416" s="72">
        <v>43</v>
      </c>
      <c r="CD416" s="72">
        <v>41</v>
      </c>
      <c r="CE416" s="72">
        <v>41</v>
      </c>
      <c r="CF416" s="72">
        <v>41</v>
      </c>
      <c r="CG416" s="72">
        <v>41</v>
      </c>
      <c r="CH416" s="72">
        <v>35</v>
      </c>
      <c r="CI416" s="72">
        <v>34</v>
      </c>
      <c r="CJ416" s="72">
        <v>27</v>
      </c>
      <c r="CK416" s="72">
        <v>23</v>
      </c>
      <c r="CL416" s="72">
        <v>23</v>
      </c>
      <c r="CM416" s="72">
        <v>20</v>
      </c>
      <c r="CN416" s="72">
        <v>14</v>
      </c>
      <c r="CO416" s="72">
        <v>2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  <c r="DL416" s="72">
        <v>1</v>
      </c>
    </row>
    <row r="417" spans="1:116" x14ac:dyDescent="0.35">
      <c r="A417" s="7"/>
      <c r="B417" s="8" t="s">
        <v>706</v>
      </c>
      <c r="C417" s="9" t="s">
        <v>707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 t="s">
        <v>42</v>
      </c>
      <c r="L417" s="8"/>
      <c r="M417" s="12">
        <v>18</v>
      </c>
      <c r="N417" s="12">
        <f t="shared" si="9"/>
        <v>18</v>
      </c>
      <c r="O417" s="11">
        <v>6</v>
      </c>
      <c r="P417" s="11">
        <v>6</v>
      </c>
      <c r="Q417" s="11">
        <v>6</v>
      </c>
      <c r="R417" s="11">
        <v>5</v>
      </c>
      <c r="S417" s="11">
        <v>5</v>
      </c>
      <c r="T417" s="11">
        <v>3</v>
      </c>
      <c r="U417" s="11">
        <v>3</v>
      </c>
      <c r="V417" s="11">
        <v>3</v>
      </c>
      <c r="W417" s="11">
        <v>3</v>
      </c>
      <c r="X417" s="11">
        <v>3</v>
      </c>
      <c r="Y417" s="11">
        <v>3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1</v>
      </c>
      <c r="BP417" s="72">
        <v>1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1</v>
      </c>
      <c r="CM417" s="72">
        <v>1</v>
      </c>
      <c r="CN417" s="72">
        <v>1</v>
      </c>
      <c r="CO417" s="72">
        <v>1</v>
      </c>
      <c r="CP417" s="72">
        <v>1</v>
      </c>
      <c r="CQ417" s="72">
        <v>1</v>
      </c>
      <c r="CR417" s="72">
        <v>1</v>
      </c>
      <c r="CS417" s="72">
        <v>0</v>
      </c>
      <c r="CT417" s="72">
        <v>0</v>
      </c>
      <c r="CU417" s="72">
        <v>0</v>
      </c>
      <c r="CV417" s="72">
        <v>0</v>
      </c>
      <c r="CW417" s="72">
        <v>0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1</v>
      </c>
      <c r="DK417" s="72">
        <v>1</v>
      </c>
      <c r="DL417" s="72">
        <v>1</v>
      </c>
    </row>
    <row r="418" spans="1:116" x14ac:dyDescent="0.35">
      <c r="A418" s="7"/>
      <c r="B418" s="8" t="s">
        <v>708</v>
      </c>
      <c r="C418" s="9" t="s">
        <v>709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23</v>
      </c>
      <c r="J418" s="10">
        <v>3</v>
      </c>
      <c r="K418" s="10" t="s">
        <v>42</v>
      </c>
      <c r="L418" s="8" t="s">
        <v>710</v>
      </c>
      <c r="M418" s="12">
        <v>30</v>
      </c>
      <c r="N418" s="12">
        <f t="shared" si="9"/>
        <v>120</v>
      </c>
      <c r="O418" s="11">
        <v>24</v>
      </c>
      <c r="P418" s="11">
        <v>24</v>
      </c>
      <c r="Q418" s="11">
        <v>24</v>
      </c>
      <c r="R418" s="11">
        <v>20</v>
      </c>
      <c r="S418" s="11">
        <v>20</v>
      </c>
      <c r="T418" s="11">
        <v>20</v>
      </c>
      <c r="U418" s="11">
        <v>20</v>
      </c>
      <c r="V418" s="11">
        <v>20</v>
      </c>
      <c r="W418" s="11">
        <v>23</v>
      </c>
      <c r="X418" s="11">
        <v>23</v>
      </c>
      <c r="Y418" s="11">
        <v>23</v>
      </c>
      <c r="Z418" s="11">
        <v>23</v>
      </c>
      <c r="AA418" s="11">
        <v>23</v>
      </c>
      <c r="AB418" s="11">
        <v>23</v>
      </c>
      <c r="AC418" s="11">
        <v>23</v>
      </c>
      <c r="AD418" s="11">
        <v>23</v>
      </c>
      <c r="AE418" s="11">
        <v>23</v>
      </c>
      <c r="AF418" s="11">
        <v>21</v>
      </c>
      <c r="AG418" s="11">
        <v>23</v>
      </c>
      <c r="AH418" s="11">
        <v>23</v>
      </c>
      <c r="AI418" s="11">
        <v>23</v>
      </c>
      <c r="AJ418" s="11">
        <v>23</v>
      </c>
      <c r="AK418" s="11">
        <v>23</v>
      </c>
      <c r="AL418" s="11">
        <v>23</v>
      </c>
      <c r="AM418" s="11">
        <v>23</v>
      </c>
      <c r="AN418" s="72">
        <v>19</v>
      </c>
      <c r="AO418" s="72">
        <v>23</v>
      </c>
      <c r="AP418" s="72">
        <v>23</v>
      </c>
      <c r="AQ418" s="72">
        <v>23</v>
      </c>
      <c r="AR418" s="72">
        <v>23</v>
      </c>
      <c r="AS418" s="72">
        <v>23</v>
      </c>
      <c r="AT418" s="72">
        <v>23</v>
      </c>
      <c r="AU418" s="72">
        <v>23</v>
      </c>
      <c r="AV418" s="72">
        <v>23</v>
      </c>
      <c r="AW418" s="72">
        <v>23</v>
      </c>
      <c r="AX418" s="72">
        <v>23</v>
      </c>
      <c r="AY418" s="72">
        <v>23</v>
      </c>
      <c r="AZ418" s="72">
        <v>21</v>
      </c>
      <c r="BA418" s="72">
        <v>21</v>
      </c>
      <c r="BB418" s="72">
        <v>5</v>
      </c>
      <c r="BC418" s="72">
        <v>5</v>
      </c>
      <c r="BD418" s="72">
        <v>5</v>
      </c>
      <c r="BE418" s="72">
        <v>4</v>
      </c>
      <c r="BF418" s="72">
        <v>4</v>
      </c>
      <c r="BG418" s="72">
        <v>4</v>
      </c>
      <c r="BH418" s="72">
        <v>2</v>
      </c>
      <c r="BI418" s="72">
        <v>2</v>
      </c>
      <c r="BJ418" s="72">
        <v>2</v>
      </c>
      <c r="BK418" s="72">
        <v>2</v>
      </c>
      <c r="BL418" s="72">
        <v>2</v>
      </c>
      <c r="BM418" s="72">
        <v>0</v>
      </c>
      <c r="BN418" s="72">
        <v>2</v>
      </c>
      <c r="BO418" s="72">
        <v>2</v>
      </c>
      <c r="BP418" s="72">
        <v>0</v>
      </c>
      <c r="BQ418" s="72">
        <v>0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4</v>
      </c>
      <c r="CX418" s="72">
        <v>4</v>
      </c>
      <c r="CY418" s="72">
        <v>4</v>
      </c>
      <c r="CZ418" s="72">
        <v>4</v>
      </c>
      <c r="DA418" s="72">
        <v>4</v>
      </c>
      <c r="DB418" s="72">
        <v>4</v>
      </c>
      <c r="DC418" s="72">
        <v>4</v>
      </c>
      <c r="DD418" s="72">
        <v>4</v>
      </c>
      <c r="DE418" s="72">
        <v>4</v>
      </c>
      <c r="DF418" s="72">
        <v>4</v>
      </c>
      <c r="DG418" s="72">
        <v>4</v>
      </c>
      <c r="DH418" s="72">
        <v>4</v>
      </c>
      <c r="DI418" s="72">
        <v>4</v>
      </c>
      <c r="DJ418" s="72">
        <v>4</v>
      </c>
      <c r="DK418" s="72">
        <v>4</v>
      </c>
      <c r="DL418" s="72">
        <v>4</v>
      </c>
    </row>
    <row r="419" spans="1:116" x14ac:dyDescent="0.35">
      <c r="A419" s="7"/>
      <c r="B419" s="8" t="s">
        <v>711</v>
      </c>
      <c r="C419" s="9" t="s">
        <v>712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</v>
      </c>
      <c r="J419" s="10"/>
      <c r="K419" s="10"/>
      <c r="L419" s="8"/>
      <c r="M419" s="12">
        <v>149.16999999999999</v>
      </c>
      <c r="N419" s="12">
        <f t="shared" si="9"/>
        <v>0</v>
      </c>
      <c r="O419" s="11">
        <v>1</v>
      </c>
      <c r="P419" s="11">
        <v>1</v>
      </c>
      <c r="Q419" s="11">
        <v>1</v>
      </c>
      <c r="R419" s="11">
        <v>1</v>
      </c>
      <c r="S419" s="11">
        <v>1</v>
      </c>
      <c r="T419" s="11">
        <v>1</v>
      </c>
      <c r="U419" s="11">
        <v>1</v>
      </c>
      <c r="V419" s="11">
        <v>1</v>
      </c>
      <c r="W419" s="11">
        <v>1</v>
      </c>
      <c r="X419" s="11">
        <v>1</v>
      </c>
      <c r="Y419" s="11">
        <v>1</v>
      </c>
      <c r="Z419" s="11">
        <v>1</v>
      </c>
      <c r="AA419" s="11">
        <v>1</v>
      </c>
      <c r="AB419" s="11">
        <v>1</v>
      </c>
      <c r="AC419" s="11">
        <v>1</v>
      </c>
      <c r="AD419" s="11">
        <v>1</v>
      </c>
      <c r="AE419" s="11">
        <v>1</v>
      </c>
      <c r="AF419" s="11">
        <v>1</v>
      </c>
      <c r="AG419" s="11">
        <v>1</v>
      </c>
      <c r="AH419" s="11">
        <v>1</v>
      </c>
      <c r="AI419" s="11">
        <v>1</v>
      </c>
      <c r="AJ419" s="11">
        <v>1</v>
      </c>
      <c r="AK419" s="11">
        <v>1</v>
      </c>
      <c r="AL419" s="11">
        <v>1</v>
      </c>
      <c r="AM419" s="11">
        <v>1</v>
      </c>
      <c r="AN419" s="72">
        <v>1</v>
      </c>
      <c r="AO419" s="72">
        <v>1</v>
      </c>
      <c r="AP419" s="72">
        <v>1</v>
      </c>
      <c r="AQ419" s="72">
        <v>1</v>
      </c>
      <c r="AR419" s="72">
        <v>1</v>
      </c>
      <c r="AS419" s="72">
        <v>1</v>
      </c>
      <c r="AT419" s="72">
        <v>1</v>
      </c>
      <c r="AU419" s="72">
        <v>1</v>
      </c>
      <c r="AV419" s="72">
        <v>1</v>
      </c>
      <c r="AW419" s="72">
        <v>1</v>
      </c>
      <c r="AX419" s="72">
        <v>1</v>
      </c>
      <c r="AY419" s="72">
        <v>1</v>
      </c>
      <c r="AZ419" s="72">
        <v>1</v>
      </c>
      <c r="BA419" s="72">
        <v>1</v>
      </c>
      <c r="BB419" s="72">
        <v>1</v>
      </c>
      <c r="BC419" s="72">
        <v>1</v>
      </c>
      <c r="BD419" s="72">
        <v>1</v>
      </c>
      <c r="BE419" s="72">
        <v>1</v>
      </c>
      <c r="BF419" s="72">
        <v>1</v>
      </c>
      <c r="BG419" s="72">
        <v>1</v>
      </c>
      <c r="BH419" s="72">
        <v>1</v>
      </c>
      <c r="BI419" s="72">
        <v>1</v>
      </c>
      <c r="BJ419" s="72">
        <v>1</v>
      </c>
      <c r="BK419" s="72">
        <v>1</v>
      </c>
      <c r="BL419" s="72">
        <v>1</v>
      </c>
      <c r="BM419" s="72">
        <v>1</v>
      </c>
      <c r="BN419" s="72">
        <v>1</v>
      </c>
      <c r="BO419" s="72">
        <v>1</v>
      </c>
      <c r="BP419" s="72">
        <v>1</v>
      </c>
      <c r="BQ419" s="72">
        <v>1</v>
      </c>
      <c r="BR419" s="72">
        <v>1</v>
      </c>
      <c r="BS419" s="72">
        <v>1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</row>
    <row r="420" spans="1:116" x14ac:dyDescent="0.35">
      <c r="A420" s="7"/>
      <c r="B420" s="8" t="s">
        <v>713</v>
      </c>
      <c r="C420" s="9" t="s">
        <v>714</v>
      </c>
      <c r="D420" s="10" t="s">
        <v>697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17</v>
      </c>
      <c r="J420" s="10"/>
      <c r="K420" s="10"/>
      <c r="L420" s="8"/>
      <c r="M420" s="12"/>
      <c r="N420" s="12">
        <f t="shared" si="9"/>
        <v>0</v>
      </c>
      <c r="O420" s="11">
        <v>28</v>
      </c>
      <c r="P420" s="11">
        <v>28</v>
      </c>
      <c r="Q420" s="11">
        <v>28</v>
      </c>
      <c r="R420" s="11">
        <v>28</v>
      </c>
      <c r="S420" s="11">
        <v>28</v>
      </c>
      <c r="T420" s="11">
        <v>28</v>
      </c>
      <c r="U420" s="11">
        <v>28</v>
      </c>
      <c r="V420" s="11">
        <v>28</v>
      </c>
      <c r="W420" s="11">
        <v>28</v>
      </c>
      <c r="X420" s="11">
        <v>28</v>
      </c>
      <c r="Y420" s="11">
        <v>28</v>
      </c>
      <c r="Z420" s="11">
        <v>27</v>
      </c>
      <c r="AA420" s="11">
        <v>27</v>
      </c>
      <c r="AB420" s="11">
        <v>27</v>
      </c>
      <c r="AC420" s="11">
        <v>27</v>
      </c>
      <c r="AD420" s="11">
        <v>27</v>
      </c>
      <c r="AE420" s="11">
        <v>27</v>
      </c>
      <c r="AF420" s="11">
        <v>17</v>
      </c>
      <c r="AG420" s="11">
        <v>17</v>
      </c>
      <c r="AH420" s="11">
        <v>17</v>
      </c>
      <c r="AI420" s="11">
        <v>17</v>
      </c>
      <c r="AJ420" s="11">
        <v>17</v>
      </c>
      <c r="AK420" s="11">
        <v>17</v>
      </c>
      <c r="AL420" s="11">
        <v>17</v>
      </c>
      <c r="AM420" s="11">
        <v>17</v>
      </c>
      <c r="AN420" s="72">
        <v>17</v>
      </c>
      <c r="AO420" s="72">
        <v>17</v>
      </c>
      <c r="AP420" s="72">
        <v>17</v>
      </c>
      <c r="AQ420" s="72">
        <v>17</v>
      </c>
      <c r="AR420" s="72">
        <v>17</v>
      </c>
      <c r="AS420" s="72">
        <v>17</v>
      </c>
      <c r="AT420" s="72">
        <v>17</v>
      </c>
      <c r="AU420" s="72">
        <v>17</v>
      </c>
      <c r="AV420" s="72">
        <v>17</v>
      </c>
      <c r="AW420" s="72">
        <v>17</v>
      </c>
      <c r="AX420" s="72">
        <v>17</v>
      </c>
      <c r="AY420" s="72">
        <v>17</v>
      </c>
      <c r="AZ420" s="72">
        <v>17</v>
      </c>
      <c r="BA420" s="72">
        <v>17</v>
      </c>
      <c r="BB420" s="72">
        <v>17</v>
      </c>
      <c r="BC420" s="72">
        <v>17</v>
      </c>
      <c r="BD420" s="72">
        <v>17</v>
      </c>
      <c r="BE420" s="72">
        <v>17</v>
      </c>
      <c r="BF420" s="72">
        <v>17</v>
      </c>
      <c r="BG420" s="72">
        <v>17</v>
      </c>
      <c r="BH420" s="72">
        <v>17</v>
      </c>
      <c r="BI420" s="72">
        <v>17</v>
      </c>
      <c r="BJ420" s="72">
        <v>17</v>
      </c>
      <c r="BK420" s="72">
        <v>8</v>
      </c>
      <c r="BL420" s="72">
        <v>9</v>
      </c>
      <c r="BM420" s="72">
        <v>9</v>
      </c>
      <c r="BN420" s="72">
        <v>9</v>
      </c>
      <c r="BO420" s="72">
        <v>9</v>
      </c>
      <c r="BP420" s="72">
        <v>9</v>
      </c>
      <c r="BQ420" s="72">
        <v>3</v>
      </c>
      <c r="BR420" s="72">
        <v>2</v>
      </c>
      <c r="BS420" s="72">
        <v>0</v>
      </c>
      <c r="BT420" s="72">
        <v>1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</row>
    <row r="421" spans="1:116" x14ac:dyDescent="0.35">
      <c r="A421" s="7"/>
      <c r="B421" s="8" t="s">
        <v>1386</v>
      </c>
      <c r="C421" s="9" t="s">
        <v>714</v>
      </c>
      <c r="D421" s="10" t="s">
        <v>697</v>
      </c>
      <c r="E421" s="8" t="s">
        <v>1203</v>
      </c>
      <c r="F421" s="10"/>
      <c r="G421" s="10"/>
      <c r="H421" s="10" t="s">
        <v>41</v>
      </c>
      <c r="I421" s="11">
        <v>0</v>
      </c>
      <c r="J421" s="10"/>
      <c r="K421" s="10"/>
      <c r="L421" s="8"/>
      <c r="M421" s="12">
        <v>415</v>
      </c>
      <c r="N421" s="12">
        <f t="shared" si="9"/>
        <v>0</v>
      </c>
      <c r="O421" s="11">
        <v>0</v>
      </c>
      <c r="P421" s="11">
        <v>0</v>
      </c>
      <c r="Q421" s="11">
        <v>0</v>
      </c>
      <c r="R421" s="11">
        <v>0</v>
      </c>
      <c r="S421" s="11">
        <v>0</v>
      </c>
      <c r="T421" s="11">
        <v>0</v>
      </c>
      <c r="U421" s="11">
        <v>0</v>
      </c>
      <c r="V421" s="11">
        <v>0</v>
      </c>
      <c r="W421" s="11">
        <v>0</v>
      </c>
      <c r="X421" s="11">
        <v>0</v>
      </c>
      <c r="Y421" s="11">
        <v>0</v>
      </c>
      <c r="Z421" s="11">
        <v>0</v>
      </c>
      <c r="AA421" s="11">
        <v>0</v>
      </c>
      <c r="AB421" s="11">
        <v>0</v>
      </c>
      <c r="AC421" s="11">
        <v>0</v>
      </c>
      <c r="AD421" s="11">
        <v>0</v>
      </c>
      <c r="AE421" s="11">
        <v>0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1</v>
      </c>
      <c r="BV421" s="72">
        <v>1</v>
      </c>
      <c r="BW421" s="72">
        <v>1</v>
      </c>
      <c r="BX421" s="72">
        <v>1</v>
      </c>
      <c r="BY421" s="72">
        <v>1</v>
      </c>
      <c r="BZ421" s="72">
        <v>1</v>
      </c>
      <c r="CA421" s="72">
        <v>1</v>
      </c>
      <c r="CB421" s="72">
        <v>1</v>
      </c>
      <c r="CC421" s="72">
        <v>1</v>
      </c>
      <c r="CD421" s="72">
        <v>1</v>
      </c>
      <c r="CE421" s="72">
        <v>1</v>
      </c>
      <c r="CF421" s="72">
        <v>1</v>
      </c>
      <c r="CG421" s="72">
        <v>1</v>
      </c>
      <c r="CH421" s="72">
        <v>1</v>
      </c>
      <c r="CI421" s="72">
        <v>1</v>
      </c>
      <c r="CJ421" s="72">
        <v>1</v>
      </c>
      <c r="CK421" s="72">
        <v>1</v>
      </c>
      <c r="CL421" s="72">
        <v>1</v>
      </c>
      <c r="CM421" s="72">
        <v>1</v>
      </c>
      <c r="CN421" s="72">
        <v>1</v>
      </c>
      <c r="CO421" s="72">
        <v>1</v>
      </c>
      <c r="CP421" s="72">
        <v>1</v>
      </c>
      <c r="CQ421" s="72">
        <v>1</v>
      </c>
      <c r="CR421" s="72">
        <v>1</v>
      </c>
      <c r="CS421" s="72">
        <v>1</v>
      </c>
      <c r="CT421" s="72">
        <v>1</v>
      </c>
      <c r="CU421" s="72">
        <v>1</v>
      </c>
      <c r="CV421" s="72">
        <v>1</v>
      </c>
      <c r="CW421" s="72">
        <v>1</v>
      </c>
      <c r="CX421" s="72">
        <v>1</v>
      </c>
      <c r="CY421" s="72">
        <v>1</v>
      </c>
      <c r="CZ421" s="72">
        <v>1</v>
      </c>
      <c r="DA421" s="72">
        <v>1</v>
      </c>
      <c r="DB421" s="72">
        <v>1</v>
      </c>
      <c r="DC421" s="72">
        <v>1</v>
      </c>
      <c r="DD421" s="72">
        <v>1</v>
      </c>
      <c r="DE421" s="72">
        <v>1</v>
      </c>
      <c r="DF421" s="72">
        <v>0</v>
      </c>
      <c r="DG421" s="72">
        <v>0</v>
      </c>
      <c r="DH421" s="72">
        <v>0</v>
      </c>
      <c r="DI421" s="72">
        <v>0</v>
      </c>
      <c r="DJ421" s="72">
        <v>0</v>
      </c>
      <c r="DK421" s="72">
        <v>0</v>
      </c>
      <c r="DL421" s="72">
        <v>0</v>
      </c>
    </row>
    <row r="422" spans="1:116" x14ac:dyDescent="0.35">
      <c r="A422" s="7"/>
      <c r="B422" s="8" t="s">
        <v>715</v>
      </c>
      <c r="C422" s="9" t="s">
        <v>716</v>
      </c>
      <c r="D422" s="10" t="s">
        <v>697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0</v>
      </c>
      <c r="J422" s="10"/>
      <c r="K422" s="10"/>
      <c r="L422" s="8"/>
      <c r="M422" s="12">
        <v>625</v>
      </c>
      <c r="N422" s="12">
        <f t="shared" si="9"/>
        <v>0</v>
      </c>
      <c r="O422" s="11">
        <v>6</v>
      </c>
      <c r="P422" s="11">
        <v>6</v>
      </c>
      <c r="Q422" s="11">
        <v>6</v>
      </c>
      <c r="R422" s="11">
        <v>6</v>
      </c>
      <c r="S422" s="11">
        <v>6</v>
      </c>
      <c r="T422" s="11">
        <v>6</v>
      </c>
      <c r="U422" s="11">
        <v>6</v>
      </c>
      <c r="V422" s="11">
        <v>5</v>
      </c>
      <c r="W422" s="11">
        <v>5</v>
      </c>
      <c r="X422" s="11">
        <v>3</v>
      </c>
      <c r="Y422" s="11">
        <v>3</v>
      </c>
      <c r="Z422" s="11">
        <v>3</v>
      </c>
      <c r="AA422" s="11">
        <v>3</v>
      </c>
      <c r="AB422" s="11">
        <v>3</v>
      </c>
      <c r="AC422" s="11">
        <v>3</v>
      </c>
      <c r="AD422" s="11">
        <v>3</v>
      </c>
      <c r="AE422" s="11">
        <v>2</v>
      </c>
      <c r="AF422" s="11">
        <v>0</v>
      </c>
      <c r="AG422" s="11">
        <v>0</v>
      </c>
      <c r="AH422" s="11">
        <v>0</v>
      </c>
      <c r="AI422" s="11">
        <v>0</v>
      </c>
      <c r="AJ422" s="11">
        <v>0</v>
      </c>
      <c r="AK422" s="11">
        <v>0</v>
      </c>
      <c r="AL422" s="11">
        <v>0</v>
      </c>
      <c r="AM422" s="11">
        <v>0</v>
      </c>
      <c r="AN422" s="72">
        <v>0</v>
      </c>
      <c r="AO422" s="72">
        <v>0</v>
      </c>
      <c r="AP422" s="72">
        <v>0</v>
      </c>
      <c r="AQ422" s="72">
        <v>0</v>
      </c>
      <c r="AR422" s="72">
        <v>0</v>
      </c>
      <c r="AS422" s="72">
        <v>0</v>
      </c>
      <c r="AT422" s="72">
        <v>0</v>
      </c>
      <c r="AU422" s="72">
        <v>0</v>
      </c>
      <c r="AV422" s="72">
        <v>0</v>
      </c>
      <c r="AW422" s="72">
        <v>0</v>
      </c>
      <c r="AX422" s="72">
        <v>0</v>
      </c>
      <c r="AY422" s="72">
        <v>0</v>
      </c>
      <c r="AZ422" s="72">
        <v>0</v>
      </c>
      <c r="BA422" s="72">
        <v>0</v>
      </c>
      <c r="BB422" s="72">
        <v>0</v>
      </c>
      <c r="BC422" s="72">
        <v>0</v>
      </c>
      <c r="BD422" s="72">
        <v>0</v>
      </c>
      <c r="BE422" s="72">
        <v>0</v>
      </c>
      <c r="BF422" s="72">
        <v>0</v>
      </c>
      <c r="BG422" s="72">
        <v>0</v>
      </c>
      <c r="BH422" s="72">
        <v>0</v>
      </c>
      <c r="BI422" s="72">
        <v>0</v>
      </c>
      <c r="BJ422" s="72">
        <v>0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  <c r="DL422" s="72">
        <v>0</v>
      </c>
    </row>
    <row r="423" spans="1:116" x14ac:dyDescent="0.35">
      <c r="A423" s="7"/>
      <c r="B423" s="77" t="s">
        <v>1309</v>
      </c>
      <c r="C423" s="9" t="s">
        <v>1311</v>
      </c>
      <c r="D423" s="10" t="s">
        <v>697</v>
      </c>
      <c r="E423" s="8" t="s">
        <v>1203</v>
      </c>
      <c r="F423" s="10"/>
      <c r="G423" s="10"/>
      <c r="H423" s="10" t="s">
        <v>41</v>
      </c>
      <c r="I423" s="11"/>
      <c r="J423" s="10"/>
      <c r="K423" s="10"/>
      <c r="L423" s="8"/>
      <c r="M423" s="12"/>
      <c r="N423" s="12">
        <f t="shared" si="9"/>
        <v>0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>
        <v>2</v>
      </c>
      <c r="BF423" s="72">
        <v>2</v>
      </c>
      <c r="BG423" s="72">
        <v>2</v>
      </c>
      <c r="BH423" s="72">
        <v>1</v>
      </c>
      <c r="BI423" s="72">
        <v>1</v>
      </c>
      <c r="BJ423" s="72">
        <v>1</v>
      </c>
      <c r="BK423" s="72">
        <v>0</v>
      </c>
      <c r="BL423" s="72">
        <v>0</v>
      </c>
      <c r="BM423" s="72">
        <v>0</v>
      </c>
      <c r="BN423" s="72">
        <v>0</v>
      </c>
      <c r="BO423" s="72">
        <v>0</v>
      </c>
      <c r="BP423" s="72">
        <v>0</v>
      </c>
      <c r="BQ423" s="72">
        <v>0</v>
      </c>
      <c r="BR423" s="72">
        <v>0</v>
      </c>
      <c r="BS423" s="72">
        <v>0</v>
      </c>
      <c r="BT423" s="72">
        <v>0</v>
      </c>
      <c r="BU423" s="72">
        <v>0</v>
      </c>
      <c r="BV423" s="72">
        <v>0</v>
      </c>
      <c r="BW423" s="72">
        <v>0</v>
      </c>
      <c r="BX423" s="72">
        <v>0</v>
      </c>
      <c r="BY423" s="72">
        <v>0</v>
      </c>
      <c r="BZ423" s="72">
        <v>0</v>
      </c>
      <c r="CA423" s="72">
        <v>0</v>
      </c>
      <c r="CB423" s="72">
        <v>0</v>
      </c>
      <c r="CC423" s="72">
        <v>0</v>
      </c>
      <c r="CD423" s="72">
        <v>0</v>
      </c>
      <c r="CE423" s="72">
        <v>0</v>
      </c>
      <c r="CF423" s="72">
        <v>0</v>
      </c>
      <c r="CG423" s="72">
        <v>0</v>
      </c>
      <c r="CH423" s="72">
        <v>0</v>
      </c>
      <c r="CI423" s="72">
        <v>0</v>
      </c>
      <c r="CJ423" s="72">
        <v>0</v>
      </c>
      <c r="CK423" s="72">
        <v>0</v>
      </c>
      <c r="CL423" s="72">
        <v>0</v>
      </c>
      <c r="CM423" s="72">
        <v>0</v>
      </c>
      <c r="CN423" s="72">
        <v>0</v>
      </c>
      <c r="CO423" s="72">
        <v>0</v>
      </c>
      <c r="CP423" s="72">
        <v>0</v>
      </c>
      <c r="CQ423" s="72">
        <v>0</v>
      </c>
      <c r="CR423" s="72">
        <v>0</v>
      </c>
      <c r="CS423" s="72">
        <v>0</v>
      </c>
      <c r="CT423" s="72">
        <v>0</v>
      </c>
      <c r="CU423" s="72">
        <v>0</v>
      </c>
      <c r="CV423" s="72">
        <v>0</v>
      </c>
      <c r="CW423" s="72">
        <v>0</v>
      </c>
      <c r="CX423" s="72">
        <v>0</v>
      </c>
      <c r="CY423" s="72">
        <v>0</v>
      </c>
      <c r="CZ423" s="72">
        <v>0</v>
      </c>
      <c r="DA423" s="72">
        <v>0</v>
      </c>
      <c r="DB423" s="72">
        <v>0</v>
      </c>
      <c r="DC423" s="72">
        <v>0</v>
      </c>
      <c r="DD423" s="72">
        <v>0</v>
      </c>
      <c r="DE423" s="72">
        <v>0</v>
      </c>
      <c r="DF423" s="72">
        <v>0</v>
      </c>
      <c r="DG423" s="72">
        <v>0</v>
      </c>
      <c r="DH423" s="72">
        <v>0</v>
      </c>
      <c r="DI423" s="72">
        <v>0</v>
      </c>
      <c r="DJ423" s="72">
        <v>0</v>
      </c>
      <c r="DK423" s="72">
        <v>0</v>
      </c>
      <c r="DL423" s="72">
        <v>0</v>
      </c>
    </row>
    <row r="424" spans="1:116" x14ac:dyDescent="0.35">
      <c r="A424" s="7"/>
      <c r="B424" s="8" t="s">
        <v>717</v>
      </c>
      <c r="C424" s="9" t="s">
        <v>718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20</v>
      </c>
      <c r="J424" s="10"/>
      <c r="K424" s="10"/>
      <c r="L424" s="8"/>
      <c r="M424" s="12">
        <v>490</v>
      </c>
      <c r="N424" s="12">
        <f t="shared" si="9"/>
        <v>9800</v>
      </c>
      <c r="O424" s="11">
        <v>20</v>
      </c>
      <c r="P424" s="11">
        <v>20</v>
      </c>
      <c r="Q424" s="11">
        <v>20</v>
      </c>
      <c r="R424" s="11">
        <v>20</v>
      </c>
      <c r="S424" s="11">
        <v>20</v>
      </c>
      <c r="T424" s="11">
        <v>20</v>
      </c>
      <c r="U424" s="11">
        <v>20</v>
      </c>
      <c r="V424" s="11">
        <v>20</v>
      </c>
      <c r="W424" s="11">
        <v>20</v>
      </c>
      <c r="X424" s="11">
        <v>20</v>
      </c>
      <c r="Y424" s="11">
        <v>20</v>
      </c>
      <c r="Z424" s="11">
        <v>20</v>
      </c>
      <c r="AA424" s="11">
        <v>20</v>
      </c>
      <c r="AB424" s="11">
        <v>20</v>
      </c>
      <c r="AC424" s="11">
        <v>20</v>
      </c>
      <c r="AD424" s="11">
        <v>20</v>
      </c>
      <c r="AE424" s="11">
        <v>20</v>
      </c>
      <c r="AF424" s="11">
        <v>20</v>
      </c>
      <c r="AG424" s="11">
        <v>20</v>
      </c>
      <c r="AH424" s="11">
        <v>20</v>
      </c>
      <c r="AI424" s="11">
        <v>20</v>
      </c>
      <c r="AJ424" s="11">
        <v>20</v>
      </c>
      <c r="AK424" s="11">
        <v>20</v>
      </c>
      <c r="AL424" s="11">
        <v>20</v>
      </c>
      <c r="AM424" s="11">
        <v>20</v>
      </c>
      <c r="AN424" s="72">
        <v>20</v>
      </c>
      <c r="AO424" s="72">
        <v>20</v>
      </c>
      <c r="AP424" s="72">
        <v>20</v>
      </c>
      <c r="AQ424" s="72">
        <v>20</v>
      </c>
      <c r="AR424" s="72">
        <v>20</v>
      </c>
      <c r="AS424" s="72">
        <v>20</v>
      </c>
      <c r="AT424" s="72">
        <v>20</v>
      </c>
      <c r="AU424" s="72">
        <v>20</v>
      </c>
      <c r="AV424" s="72">
        <v>20</v>
      </c>
      <c r="AW424" s="72">
        <v>20</v>
      </c>
      <c r="AX424" s="72">
        <v>20</v>
      </c>
      <c r="AY424" s="72">
        <v>20</v>
      </c>
      <c r="AZ424" s="72">
        <v>20</v>
      </c>
      <c r="BA424" s="72">
        <v>20</v>
      </c>
      <c r="BB424" s="72">
        <v>20</v>
      </c>
      <c r="BC424" s="72">
        <v>20</v>
      </c>
      <c r="BD424" s="72">
        <v>20</v>
      </c>
      <c r="BE424" s="72">
        <v>20</v>
      </c>
      <c r="BF424" s="72">
        <v>20</v>
      </c>
      <c r="BG424" s="72">
        <v>20</v>
      </c>
      <c r="BH424" s="72">
        <v>20</v>
      </c>
      <c r="BI424" s="72">
        <v>20</v>
      </c>
      <c r="BJ424" s="72">
        <v>20</v>
      </c>
      <c r="BK424" s="72">
        <v>20</v>
      </c>
      <c r="BL424" s="72">
        <v>20</v>
      </c>
      <c r="BM424" s="72">
        <v>20</v>
      </c>
      <c r="BN424" s="72">
        <v>20</v>
      </c>
      <c r="BO424" s="72">
        <v>20</v>
      </c>
      <c r="BP424" s="72">
        <v>20</v>
      </c>
      <c r="BQ424" s="72">
        <v>20</v>
      </c>
      <c r="BR424" s="72">
        <v>20</v>
      </c>
      <c r="BS424" s="72">
        <v>20</v>
      </c>
      <c r="BT424" s="72">
        <v>20</v>
      </c>
      <c r="BU424" s="72">
        <v>20</v>
      </c>
      <c r="BV424" s="72">
        <v>20</v>
      </c>
      <c r="BW424" s="72">
        <v>20</v>
      </c>
      <c r="BX424" s="72">
        <v>20</v>
      </c>
      <c r="BY424" s="72">
        <v>20</v>
      </c>
      <c r="BZ424" s="72">
        <v>20</v>
      </c>
      <c r="CA424" s="72">
        <v>20</v>
      </c>
      <c r="CB424" s="72">
        <v>20</v>
      </c>
      <c r="CC424" s="72">
        <v>20</v>
      </c>
      <c r="CD424" s="72">
        <v>20</v>
      </c>
      <c r="CE424" s="72">
        <v>20</v>
      </c>
      <c r="CF424" s="72">
        <v>20</v>
      </c>
      <c r="CG424" s="72">
        <v>20</v>
      </c>
      <c r="CH424" s="72">
        <v>20</v>
      </c>
      <c r="CI424" s="72">
        <v>20</v>
      </c>
      <c r="CJ424" s="72">
        <v>20</v>
      </c>
      <c r="CK424" s="72">
        <v>20</v>
      </c>
      <c r="CL424" s="72">
        <v>20</v>
      </c>
      <c r="CM424" s="72">
        <v>20</v>
      </c>
      <c r="CN424" s="72">
        <v>20</v>
      </c>
      <c r="CO424" s="72">
        <v>20</v>
      </c>
      <c r="CP424" s="72">
        <v>20</v>
      </c>
      <c r="CQ424" s="72">
        <v>20</v>
      </c>
      <c r="CR424" s="72">
        <v>20</v>
      </c>
      <c r="CS424" s="72">
        <v>20</v>
      </c>
      <c r="CT424" s="72">
        <v>20</v>
      </c>
      <c r="CU424" s="72">
        <v>20</v>
      </c>
      <c r="CV424" s="72">
        <v>20</v>
      </c>
      <c r="CW424" s="72">
        <v>20</v>
      </c>
      <c r="CX424" s="72">
        <v>20</v>
      </c>
      <c r="CY424" s="72">
        <v>20</v>
      </c>
      <c r="CZ424" s="72">
        <v>20</v>
      </c>
      <c r="DA424" s="72">
        <v>20</v>
      </c>
      <c r="DB424" s="72">
        <v>20</v>
      </c>
      <c r="DC424" s="72">
        <v>20</v>
      </c>
      <c r="DD424" s="72">
        <v>20</v>
      </c>
      <c r="DE424" s="72">
        <v>20</v>
      </c>
      <c r="DF424" s="72">
        <v>20</v>
      </c>
      <c r="DG424" s="72">
        <v>20</v>
      </c>
      <c r="DH424" s="72">
        <v>20</v>
      </c>
      <c r="DI424" s="72">
        <v>20</v>
      </c>
      <c r="DJ424" s="72">
        <v>20</v>
      </c>
      <c r="DK424" s="72">
        <v>20</v>
      </c>
      <c r="DL424" s="72">
        <v>20</v>
      </c>
    </row>
    <row r="425" spans="1:116" x14ac:dyDescent="0.35">
      <c r="A425" s="7"/>
      <c r="B425" s="8" t="s">
        <v>719</v>
      </c>
      <c r="C425" s="9" t="s">
        <v>720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2</v>
      </c>
      <c r="J425" s="10"/>
      <c r="K425" s="10" t="s">
        <v>42</v>
      </c>
      <c r="L425" s="8" t="s">
        <v>721</v>
      </c>
      <c r="M425" s="12">
        <v>184</v>
      </c>
      <c r="N425" s="12">
        <f t="shared" si="9"/>
        <v>0</v>
      </c>
      <c r="O425" s="11">
        <v>2</v>
      </c>
      <c r="P425" s="11">
        <v>2</v>
      </c>
      <c r="Q425" s="11">
        <v>2</v>
      </c>
      <c r="R425" s="11">
        <v>2</v>
      </c>
      <c r="S425" s="11">
        <v>2</v>
      </c>
      <c r="T425" s="11">
        <v>2</v>
      </c>
      <c r="U425" s="11">
        <v>2</v>
      </c>
      <c r="V425" s="11">
        <v>2</v>
      </c>
      <c r="W425" s="11">
        <v>2</v>
      </c>
      <c r="X425" s="11">
        <v>2</v>
      </c>
      <c r="Y425" s="11">
        <v>2</v>
      </c>
      <c r="Z425" s="11">
        <v>2</v>
      </c>
      <c r="AA425" s="11">
        <v>2</v>
      </c>
      <c r="AB425" s="11">
        <v>2</v>
      </c>
      <c r="AC425" s="11">
        <v>2</v>
      </c>
      <c r="AD425" s="11">
        <v>2</v>
      </c>
      <c r="AE425" s="11">
        <v>2</v>
      </c>
      <c r="AF425" s="11">
        <v>2</v>
      </c>
      <c r="AG425" s="11">
        <v>2</v>
      </c>
      <c r="AH425" s="11">
        <v>2</v>
      </c>
      <c r="AI425" s="11">
        <v>2</v>
      </c>
      <c r="AJ425" s="11">
        <v>2</v>
      </c>
      <c r="AK425" s="11">
        <v>2</v>
      </c>
      <c r="AL425" s="11">
        <v>2</v>
      </c>
      <c r="AM425" s="11">
        <v>2</v>
      </c>
      <c r="AN425" s="72">
        <v>2</v>
      </c>
      <c r="AO425" s="72">
        <v>2</v>
      </c>
      <c r="AP425" s="72">
        <v>2</v>
      </c>
      <c r="AQ425" s="72">
        <v>2</v>
      </c>
      <c r="AR425" s="72">
        <v>2</v>
      </c>
      <c r="AS425" s="72">
        <v>2</v>
      </c>
      <c r="AT425" s="72">
        <v>2</v>
      </c>
      <c r="AU425" s="72">
        <v>2</v>
      </c>
      <c r="AV425" s="72">
        <v>2</v>
      </c>
      <c r="AW425" s="72">
        <v>2</v>
      </c>
      <c r="AX425" s="72">
        <v>2</v>
      </c>
      <c r="AY425" s="72">
        <v>2</v>
      </c>
      <c r="AZ425" s="72">
        <v>2</v>
      </c>
      <c r="BA425" s="72">
        <v>2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</row>
    <row r="426" spans="1:116" x14ac:dyDescent="0.35">
      <c r="A426" s="7"/>
      <c r="B426" s="8" t="s">
        <v>722</v>
      </c>
      <c r="C426" s="9" t="s">
        <v>723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8</v>
      </c>
      <c r="J426" s="10"/>
      <c r="K426" s="10" t="s">
        <v>42</v>
      </c>
      <c r="L426" s="8"/>
      <c r="M426" s="12">
        <v>227</v>
      </c>
      <c r="N426" s="12">
        <f t="shared" si="9"/>
        <v>1135</v>
      </c>
      <c r="O426" s="11">
        <v>8</v>
      </c>
      <c r="P426" s="11">
        <v>8</v>
      </c>
      <c r="Q426" s="11">
        <v>8</v>
      </c>
      <c r="R426" s="11">
        <v>8</v>
      </c>
      <c r="S426" s="11">
        <v>8</v>
      </c>
      <c r="T426" s="11">
        <v>8</v>
      </c>
      <c r="U426" s="11">
        <v>8</v>
      </c>
      <c r="V426" s="11">
        <v>8</v>
      </c>
      <c r="W426" s="11">
        <v>8</v>
      </c>
      <c r="X426" s="11">
        <v>8</v>
      </c>
      <c r="Y426" s="11">
        <v>8</v>
      </c>
      <c r="Z426" s="11">
        <v>8</v>
      </c>
      <c r="AA426" s="11">
        <v>8</v>
      </c>
      <c r="AB426" s="11">
        <v>8</v>
      </c>
      <c r="AC426" s="11">
        <v>8</v>
      </c>
      <c r="AD426" s="11">
        <v>8</v>
      </c>
      <c r="AE426" s="11">
        <v>8</v>
      </c>
      <c r="AF426" s="11">
        <v>8</v>
      </c>
      <c r="AG426" s="11">
        <v>8</v>
      </c>
      <c r="AH426" s="11">
        <v>8</v>
      </c>
      <c r="AI426" s="11">
        <v>8</v>
      </c>
      <c r="AJ426" s="11">
        <v>8</v>
      </c>
      <c r="AK426" s="11">
        <v>8</v>
      </c>
      <c r="AL426" s="11">
        <v>8</v>
      </c>
      <c r="AM426" s="11">
        <v>8</v>
      </c>
      <c r="AN426" s="72">
        <v>8</v>
      </c>
      <c r="AO426" s="72">
        <v>8</v>
      </c>
      <c r="AP426" s="72">
        <v>8</v>
      </c>
      <c r="AQ426" s="72">
        <v>8</v>
      </c>
      <c r="AR426" s="72">
        <v>8</v>
      </c>
      <c r="AS426" s="72">
        <v>8</v>
      </c>
      <c r="AT426" s="72">
        <v>7</v>
      </c>
      <c r="AU426" s="72">
        <v>7</v>
      </c>
      <c r="AV426" s="72">
        <v>7</v>
      </c>
      <c r="AW426" s="72">
        <v>7</v>
      </c>
      <c r="AX426" s="72">
        <v>5</v>
      </c>
      <c r="AY426" s="72">
        <v>5</v>
      </c>
      <c r="AZ426" s="72">
        <v>5</v>
      </c>
      <c r="BA426" s="72">
        <v>5</v>
      </c>
      <c r="BB426" s="72">
        <v>5</v>
      </c>
      <c r="BC426" s="72">
        <v>5</v>
      </c>
      <c r="BD426" s="72">
        <v>5</v>
      </c>
      <c r="BE426" s="72">
        <v>5</v>
      </c>
      <c r="BF426" s="72">
        <v>5</v>
      </c>
      <c r="BG426" s="72">
        <v>5</v>
      </c>
      <c r="BH426" s="72">
        <v>5</v>
      </c>
      <c r="BI426" s="72">
        <v>5</v>
      </c>
      <c r="BJ426" s="72">
        <v>5</v>
      </c>
      <c r="BK426" s="72">
        <v>5</v>
      </c>
      <c r="BL426" s="72">
        <v>5</v>
      </c>
      <c r="BM426" s="72">
        <v>5</v>
      </c>
      <c r="BN426" s="72">
        <v>5</v>
      </c>
      <c r="BO426" s="72">
        <v>5</v>
      </c>
      <c r="BP426" s="72">
        <v>5</v>
      </c>
      <c r="BQ426" s="72">
        <v>5</v>
      </c>
      <c r="BR426" s="72">
        <v>5</v>
      </c>
      <c r="BS426" s="72">
        <v>5</v>
      </c>
      <c r="BT426" s="72">
        <v>5</v>
      </c>
      <c r="BU426" s="72">
        <v>5</v>
      </c>
      <c r="BV426" s="72">
        <v>5</v>
      </c>
      <c r="BW426" s="72">
        <v>5</v>
      </c>
      <c r="BX426" s="72">
        <v>5</v>
      </c>
      <c r="BY426" s="72">
        <v>5</v>
      </c>
      <c r="BZ426" s="72">
        <v>5</v>
      </c>
      <c r="CA426" s="72">
        <v>5</v>
      </c>
      <c r="CB426" s="72">
        <v>5</v>
      </c>
      <c r="CC426" s="72">
        <v>5</v>
      </c>
      <c r="CD426" s="72">
        <v>5</v>
      </c>
      <c r="CE426" s="72">
        <v>5</v>
      </c>
      <c r="CF426" s="72">
        <v>5</v>
      </c>
      <c r="CG426" s="72">
        <v>5</v>
      </c>
      <c r="CH426" s="72">
        <v>5</v>
      </c>
      <c r="CI426" s="72">
        <v>5</v>
      </c>
      <c r="CJ426" s="72">
        <v>5</v>
      </c>
      <c r="CK426" s="72">
        <v>5</v>
      </c>
      <c r="CL426" s="72">
        <v>5</v>
      </c>
      <c r="CM426" s="72">
        <v>5</v>
      </c>
      <c r="CN426" s="72">
        <v>5</v>
      </c>
      <c r="CO426" s="72">
        <v>5</v>
      </c>
      <c r="CP426" s="72">
        <v>5</v>
      </c>
      <c r="CQ426" s="72">
        <v>5</v>
      </c>
      <c r="CR426" s="72">
        <v>5</v>
      </c>
      <c r="CS426" s="72">
        <v>5</v>
      </c>
      <c r="CT426" s="72">
        <v>5</v>
      </c>
      <c r="CU426" s="72">
        <v>5</v>
      </c>
      <c r="CV426" s="72">
        <v>5</v>
      </c>
      <c r="CW426" s="72">
        <v>5</v>
      </c>
      <c r="CX426" s="72">
        <v>5</v>
      </c>
      <c r="CY426" s="72">
        <v>5</v>
      </c>
      <c r="CZ426" s="72">
        <v>5</v>
      </c>
      <c r="DA426" s="72">
        <v>5</v>
      </c>
      <c r="DB426" s="72">
        <v>5</v>
      </c>
      <c r="DC426" s="72">
        <v>5</v>
      </c>
      <c r="DD426" s="72">
        <v>5</v>
      </c>
      <c r="DE426" s="72">
        <v>5</v>
      </c>
      <c r="DF426" s="72">
        <v>5</v>
      </c>
      <c r="DG426" s="72">
        <v>5</v>
      </c>
      <c r="DH426" s="72">
        <v>5</v>
      </c>
      <c r="DI426" s="72">
        <v>5</v>
      </c>
      <c r="DJ426" s="72">
        <v>5</v>
      </c>
      <c r="DK426" s="72">
        <v>5</v>
      </c>
      <c r="DL426" s="72">
        <v>5</v>
      </c>
    </row>
    <row r="427" spans="1:116" x14ac:dyDescent="0.35">
      <c r="A427" s="7"/>
      <c r="B427" s="8" t="s">
        <v>724</v>
      </c>
      <c r="C427" s="9" t="s">
        <v>725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3</v>
      </c>
      <c r="J427" s="10"/>
      <c r="K427" s="10"/>
      <c r="L427" s="8"/>
      <c r="M427" s="12">
        <v>400</v>
      </c>
      <c r="N427" s="12">
        <f t="shared" si="9"/>
        <v>1200</v>
      </c>
      <c r="O427" s="11">
        <v>3</v>
      </c>
      <c r="P427" s="11">
        <v>3</v>
      </c>
      <c r="Q427" s="11">
        <v>3</v>
      </c>
      <c r="R427" s="11">
        <v>3</v>
      </c>
      <c r="S427" s="11">
        <v>3</v>
      </c>
      <c r="T427" s="11">
        <v>3</v>
      </c>
      <c r="U427" s="11">
        <v>3</v>
      </c>
      <c r="V427" s="11">
        <v>3</v>
      </c>
      <c r="W427" s="11">
        <v>3</v>
      </c>
      <c r="X427" s="11">
        <v>3</v>
      </c>
      <c r="Y427" s="11">
        <v>3</v>
      </c>
      <c r="Z427" s="11">
        <v>3</v>
      </c>
      <c r="AA427" s="11">
        <v>3</v>
      </c>
      <c r="AB427" s="11">
        <v>3</v>
      </c>
      <c r="AC427" s="11">
        <v>3</v>
      </c>
      <c r="AD427" s="11">
        <v>3</v>
      </c>
      <c r="AE427" s="11">
        <v>3</v>
      </c>
      <c r="AF427" s="11">
        <v>3</v>
      </c>
      <c r="AG427" s="11">
        <v>3</v>
      </c>
      <c r="AH427" s="11">
        <v>3</v>
      </c>
      <c r="AI427" s="11">
        <v>3</v>
      </c>
      <c r="AJ427" s="11">
        <v>3</v>
      </c>
      <c r="AK427" s="11">
        <v>3</v>
      </c>
      <c r="AL427" s="11">
        <v>3</v>
      </c>
      <c r="AM427" s="11">
        <v>3</v>
      </c>
      <c r="AN427" s="72">
        <v>3</v>
      </c>
      <c r="AO427" s="72">
        <v>3</v>
      </c>
      <c r="AP427" s="72">
        <v>3</v>
      </c>
      <c r="AQ427" s="72">
        <v>3</v>
      </c>
      <c r="AR427" s="72">
        <v>3</v>
      </c>
      <c r="AS427" s="72">
        <v>3</v>
      </c>
      <c r="AT427" s="72">
        <v>3</v>
      </c>
      <c r="AU427" s="72">
        <v>3</v>
      </c>
      <c r="AV427" s="72">
        <v>3</v>
      </c>
      <c r="AW427" s="72">
        <v>3</v>
      </c>
      <c r="AX427" s="72">
        <v>3</v>
      </c>
      <c r="AY427" s="72">
        <v>3</v>
      </c>
      <c r="AZ427" s="72">
        <v>3</v>
      </c>
      <c r="BA427" s="72">
        <v>3</v>
      </c>
      <c r="BB427" s="72">
        <v>3</v>
      </c>
      <c r="BC427" s="72">
        <v>3</v>
      </c>
      <c r="BD427" s="72">
        <v>3</v>
      </c>
      <c r="BE427" s="72">
        <v>3</v>
      </c>
      <c r="BF427" s="72">
        <v>3</v>
      </c>
      <c r="BG427" s="72">
        <v>3</v>
      </c>
      <c r="BH427" s="72">
        <v>3</v>
      </c>
      <c r="BI427" s="72">
        <v>3</v>
      </c>
      <c r="BJ427" s="72">
        <v>3</v>
      </c>
      <c r="BK427" s="72">
        <v>3</v>
      </c>
      <c r="BL427" s="72">
        <v>3</v>
      </c>
      <c r="BM427" s="72">
        <v>3</v>
      </c>
      <c r="BN427" s="72">
        <v>3</v>
      </c>
      <c r="BO427" s="72">
        <v>3</v>
      </c>
      <c r="BP427" s="72">
        <v>3</v>
      </c>
      <c r="BQ427" s="72">
        <v>3</v>
      </c>
      <c r="BR427" s="72">
        <v>3</v>
      </c>
      <c r="BS427" s="72">
        <v>3</v>
      </c>
      <c r="BT427" s="72">
        <v>3</v>
      </c>
      <c r="BU427" s="72">
        <v>3</v>
      </c>
      <c r="BV427" s="72">
        <v>3</v>
      </c>
      <c r="BW427" s="72">
        <v>3</v>
      </c>
      <c r="BX427" s="72">
        <v>3</v>
      </c>
      <c r="BY427" s="72">
        <v>3</v>
      </c>
      <c r="BZ427" s="72">
        <v>3</v>
      </c>
      <c r="CA427" s="72">
        <v>3</v>
      </c>
      <c r="CB427" s="72">
        <v>3</v>
      </c>
      <c r="CC427" s="72">
        <v>3</v>
      </c>
      <c r="CD427" s="72">
        <v>3</v>
      </c>
      <c r="CE427" s="72">
        <v>3</v>
      </c>
      <c r="CF427" s="72">
        <v>3</v>
      </c>
      <c r="CG427" s="72">
        <v>3</v>
      </c>
      <c r="CH427" s="72">
        <v>3</v>
      </c>
      <c r="CI427" s="72">
        <v>3</v>
      </c>
      <c r="CJ427" s="72">
        <v>3</v>
      </c>
      <c r="CK427" s="72">
        <v>3</v>
      </c>
      <c r="CL427" s="72">
        <v>3</v>
      </c>
      <c r="CM427" s="72">
        <v>3</v>
      </c>
      <c r="CN427" s="72">
        <v>3</v>
      </c>
      <c r="CO427" s="72">
        <v>3</v>
      </c>
      <c r="CP427" s="72">
        <v>3</v>
      </c>
      <c r="CQ427" s="72">
        <v>3</v>
      </c>
      <c r="CR427" s="72">
        <v>3</v>
      </c>
      <c r="CS427" s="72">
        <v>3</v>
      </c>
      <c r="CT427" s="72">
        <v>3</v>
      </c>
      <c r="CU427" s="72">
        <v>3</v>
      </c>
      <c r="CV427" s="72">
        <v>3</v>
      </c>
      <c r="CW427" s="72">
        <v>3</v>
      </c>
      <c r="CX427" s="72">
        <v>3</v>
      </c>
      <c r="CY427" s="72">
        <v>3</v>
      </c>
      <c r="CZ427" s="72">
        <v>3</v>
      </c>
      <c r="DA427" s="72">
        <v>3</v>
      </c>
      <c r="DB427" s="72">
        <v>3</v>
      </c>
      <c r="DC427" s="72">
        <v>3</v>
      </c>
      <c r="DD427" s="72">
        <v>3</v>
      </c>
      <c r="DE427" s="72">
        <v>3</v>
      </c>
      <c r="DF427" s="72">
        <v>3</v>
      </c>
      <c r="DG427" s="72">
        <v>3</v>
      </c>
      <c r="DH427" s="72">
        <v>3</v>
      </c>
      <c r="DI427" s="72">
        <v>3</v>
      </c>
      <c r="DJ427" s="72">
        <v>3</v>
      </c>
      <c r="DK427" s="72">
        <v>3</v>
      </c>
      <c r="DL427" s="72">
        <v>3</v>
      </c>
    </row>
    <row r="428" spans="1:116" x14ac:dyDescent="0.35">
      <c r="A428" s="7"/>
      <c r="B428" s="8" t="s">
        <v>726</v>
      </c>
      <c r="C428" s="35" t="s">
        <v>727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4</v>
      </c>
      <c r="J428" s="10"/>
      <c r="K428" s="10"/>
      <c r="L428" s="8"/>
      <c r="M428" s="12">
        <v>883</v>
      </c>
      <c r="N428" s="12">
        <f t="shared" si="9"/>
        <v>3532</v>
      </c>
      <c r="O428" s="11">
        <v>5</v>
      </c>
      <c r="P428" s="11">
        <v>4</v>
      </c>
      <c r="Q428" s="11">
        <v>4</v>
      </c>
      <c r="R428" s="11">
        <v>4</v>
      </c>
      <c r="S428" s="11">
        <v>4</v>
      </c>
      <c r="T428" s="11">
        <v>4</v>
      </c>
      <c r="U428" s="11">
        <v>4</v>
      </c>
      <c r="V428" s="11">
        <v>4</v>
      </c>
      <c r="W428" s="11">
        <v>4</v>
      </c>
      <c r="X428" s="11">
        <v>4</v>
      </c>
      <c r="Y428" s="11">
        <v>4</v>
      </c>
      <c r="Z428" s="11">
        <v>4</v>
      </c>
      <c r="AA428" s="11">
        <v>4</v>
      </c>
      <c r="AB428" s="11">
        <v>4</v>
      </c>
      <c r="AC428" s="11">
        <v>4</v>
      </c>
      <c r="AD428" s="11">
        <v>4</v>
      </c>
      <c r="AE428" s="11">
        <v>4</v>
      </c>
      <c r="AF428" s="11">
        <v>4</v>
      </c>
      <c r="AG428" s="11">
        <v>4</v>
      </c>
      <c r="AH428" s="11">
        <v>4</v>
      </c>
      <c r="AI428" s="11">
        <v>4</v>
      </c>
      <c r="AJ428" s="11">
        <v>4</v>
      </c>
      <c r="AK428" s="11">
        <v>4</v>
      </c>
      <c r="AL428" s="11">
        <v>4</v>
      </c>
      <c r="AM428" s="11">
        <v>4</v>
      </c>
      <c r="AN428" s="72">
        <v>4</v>
      </c>
      <c r="AO428" s="72">
        <v>4</v>
      </c>
      <c r="AP428" s="72">
        <v>4</v>
      </c>
      <c r="AQ428" s="72">
        <v>4</v>
      </c>
      <c r="AR428" s="72">
        <v>4</v>
      </c>
      <c r="AS428" s="72">
        <v>4</v>
      </c>
      <c r="AT428" s="72">
        <v>4</v>
      </c>
      <c r="AU428" s="72">
        <v>4</v>
      </c>
      <c r="AV428" s="72">
        <v>4</v>
      </c>
      <c r="AW428" s="72">
        <v>4</v>
      </c>
      <c r="AX428" s="72">
        <v>4</v>
      </c>
      <c r="AY428" s="72">
        <v>4</v>
      </c>
      <c r="AZ428" s="72">
        <v>4</v>
      </c>
      <c r="BA428" s="72">
        <v>4</v>
      </c>
      <c r="BB428" s="72">
        <v>4</v>
      </c>
      <c r="BC428" s="72">
        <v>4</v>
      </c>
      <c r="BD428" s="72">
        <v>4</v>
      </c>
      <c r="BE428" s="72">
        <v>4</v>
      </c>
      <c r="BF428" s="72">
        <v>4</v>
      </c>
      <c r="BG428" s="72">
        <v>4</v>
      </c>
      <c r="BH428" s="72">
        <v>4</v>
      </c>
      <c r="BI428" s="72">
        <v>4</v>
      </c>
      <c r="BJ428" s="72">
        <v>4</v>
      </c>
      <c r="BK428" s="72">
        <v>4</v>
      </c>
      <c r="BL428" s="72">
        <v>4</v>
      </c>
      <c r="BM428" s="72">
        <v>4</v>
      </c>
      <c r="BN428" s="72">
        <v>4</v>
      </c>
      <c r="BO428" s="72">
        <v>4</v>
      </c>
      <c r="BP428" s="72">
        <v>4</v>
      </c>
      <c r="BQ428" s="72">
        <v>4</v>
      </c>
      <c r="BR428" s="72">
        <v>4</v>
      </c>
      <c r="BS428" s="72">
        <v>4</v>
      </c>
      <c r="BT428" s="72">
        <v>4</v>
      </c>
      <c r="BU428" s="72">
        <v>4</v>
      </c>
      <c r="BV428" s="72">
        <v>4</v>
      </c>
      <c r="BW428" s="72">
        <v>4</v>
      </c>
      <c r="BX428" s="72">
        <v>4</v>
      </c>
      <c r="BY428" s="72">
        <v>4</v>
      </c>
      <c r="BZ428" s="72">
        <v>4</v>
      </c>
      <c r="CA428" s="72">
        <v>4</v>
      </c>
      <c r="CB428" s="72">
        <v>4</v>
      </c>
      <c r="CC428" s="72">
        <v>4</v>
      </c>
      <c r="CD428" s="72">
        <v>4</v>
      </c>
      <c r="CE428" s="72">
        <v>4</v>
      </c>
      <c r="CF428" s="72">
        <v>4</v>
      </c>
      <c r="CG428" s="72">
        <v>4</v>
      </c>
      <c r="CH428" s="72">
        <v>4</v>
      </c>
      <c r="CI428" s="72">
        <v>4</v>
      </c>
      <c r="CJ428" s="72">
        <v>4</v>
      </c>
      <c r="CK428" s="72">
        <v>4</v>
      </c>
      <c r="CL428" s="72">
        <v>4</v>
      </c>
      <c r="CM428" s="72">
        <v>4</v>
      </c>
      <c r="CN428" s="72">
        <v>4</v>
      </c>
      <c r="CO428" s="72">
        <v>4</v>
      </c>
      <c r="CP428" s="72">
        <v>4</v>
      </c>
      <c r="CQ428" s="72">
        <v>4</v>
      </c>
      <c r="CR428" s="72">
        <v>4</v>
      </c>
      <c r="CS428" s="72">
        <v>4</v>
      </c>
      <c r="CT428" s="72">
        <v>4</v>
      </c>
      <c r="CU428" s="72">
        <v>4</v>
      </c>
      <c r="CV428" s="72">
        <v>4</v>
      </c>
      <c r="CW428" s="72">
        <v>4</v>
      </c>
      <c r="CX428" s="72">
        <v>4</v>
      </c>
      <c r="CY428" s="72">
        <v>4</v>
      </c>
      <c r="CZ428" s="72">
        <v>4</v>
      </c>
      <c r="DA428" s="72">
        <v>4</v>
      </c>
      <c r="DB428" s="72">
        <v>4</v>
      </c>
      <c r="DC428" s="72">
        <v>4</v>
      </c>
      <c r="DD428" s="72">
        <v>4</v>
      </c>
      <c r="DE428" s="72">
        <v>4</v>
      </c>
      <c r="DF428" s="72">
        <v>4</v>
      </c>
      <c r="DG428" s="72">
        <v>4</v>
      </c>
      <c r="DH428" s="72">
        <v>4</v>
      </c>
      <c r="DI428" s="72">
        <v>4</v>
      </c>
      <c r="DJ428" s="72">
        <v>4</v>
      </c>
      <c r="DK428" s="72">
        <v>4</v>
      </c>
      <c r="DL428" s="72">
        <v>4</v>
      </c>
    </row>
    <row r="429" spans="1:116" x14ac:dyDescent="0.35">
      <c r="A429" s="7"/>
      <c r="B429" s="14" t="s">
        <v>728</v>
      </c>
      <c r="C429" s="9" t="s">
        <v>729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11</v>
      </c>
      <c r="J429" s="10"/>
      <c r="K429" s="10" t="s">
        <v>42</v>
      </c>
      <c r="L429" s="8"/>
      <c r="M429" s="12">
        <v>805</v>
      </c>
      <c r="N429" s="12">
        <f t="shared" si="9"/>
        <v>7245</v>
      </c>
      <c r="O429" s="11">
        <v>11</v>
      </c>
      <c r="P429" s="11">
        <v>11</v>
      </c>
      <c r="Q429" s="11">
        <v>11</v>
      </c>
      <c r="R429" s="11">
        <v>11</v>
      </c>
      <c r="S429" s="11">
        <v>11</v>
      </c>
      <c r="T429" s="11">
        <v>11</v>
      </c>
      <c r="U429" s="11">
        <v>11</v>
      </c>
      <c r="V429" s="11">
        <v>11</v>
      </c>
      <c r="W429" s="11">
        <v>11</v>
      </c>
      <c r="X429" s="11">
        <v>11</v>
      </c>
      <c r="Y429" s="11">
        <v>11</v>
      </c>
      <c r="Z429" s="11">
        <v>11</v>
      </c>
      <c r="AA429" s="11">
        <v>11</v>
      </c>
      <c r="AB429" s="11">
        <v>11</v>
      </c>
      <c r="AC429" s="11">
        <v>11</v>
      </c>
      <c r="AD429" s="11">
        <v>11</v>
      </c>
      <c r="AE429" s="11">
        <v>11</v>
      </c>
      <c r="AF429" s="11">
        <v>11</v>
      </c>
      <c r="AG429" s="11">
        <v>11</v>
      </c>
      <c r="AH429" s="11">
        <v>11</v>
      </c>
      <c r="AI429" s="11">
        <v>11</v>
      </c>
      <c r="AJ429" s="11">
        <v>11</v>
      </c>
      <c r="AK429" s="11">
        <v>11</v>
      </c>
      <c r="AL429" s="11">
        <v>11</v>
      </c>
      <c r="AM429" s="11">
        <v>11</v>
      </c>
      <c r="AN429" s="72">
        <v>11</v>
      </c>
      <c r="AO429" s="72">
        <v>11</v>
      </c>
      <c r="AP429" s="72">
        <v>11</v>
      </c>
      <c r="AQ429" s="72">
        <v>11</v>
      </c>
      <c r="AR429" s="72">
        <v>11</v>
      </c>
      <c r="AS429" s="72">
        <v>11</v>
      </c>
      <c r="AT429" s="72">
        <v>11</v>
      </c>
      <c r="AU429" s="72">
        <v>11</v>
      </c>
      <c r="AV429" s="72">
        <v>11</v>
      </c>
      <c r="AW429" s="72">
        <v>11</v>
      </c>
      <c r="AX429" s="72">
        <v>10</v>
      </c>
      <c r="AY429" s="72">
        <v>10</v>
      </c>
      <c r="AZ429" s="72">
        <v>10</v>
      </c>
      <c r="BA429" s="72">
        <v>10</v>
      </c>
      <c r="BB429" s="72">
        <v>10</v>
      </c>
      <c r="BC429" s="72">
        <v>10</v>
      </c>
      <c r="BD429" s="72">
        <v>10</v>
      </c>
      <c r="BE429" s="72">
        <v>10</v>
      </c>
      <c r="BF429" s="72">
        <v>10</v>
      </c>
      <c r="BG429" s="72">
        <v>10</v>
      </c>
      <c r="BH429" s="72">
        <v>9</v>
      </c>
      <c r="BI429" s="72">
        <v>9</v>
      </c>
      <c r="BJ429" s="72">
        <v>9</v>
      </c>
      <c r="BK429" s="72">
        <v>9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9</v>
      </c>
      <c r="BR429" s="72">
        <v>9</v>
      </c>
      <c r="BS429" s="72">
        <v>9</v>
      </c>
      <c r="BT429" s="72">
        <v>9</v>
      </c>
      <c r="BU429" s="72">
        <v>9</v>
      </c>
      <c r="BV429" s="72">
        <v>9</v>
      </c>
      <c r="BW429" s="72">
        <v>9</v>
      </c>
      <c r="BX429" s="72">
        <v>9</v>
      </c>
      <c r="BY429" s="72">
        <v>9</v>
      </c>
      <c r="BZ429" s="72">
        <v>9</v>
      </c>
      <c r="CA429" s="72">
        <v>9</v>
      </c>
      <c r="CB429" s="72">
        <v>9</v>
      </c>
      <c r="CC429" s="72">
        <v>9</v>
      </c>
      <c r="CD429" s="72">
        <v>9</v>
      </c>
      <c r="CE429" s="72">
        <v>9</v>
      </c>
      <c r="CF429" s="72">
        <v>9</v>
      </c>
      <c r="CG429" s="72">
        <v>9</v>
      </c>
      <c r="CH429" s="72">
        <v>9</v>
      </c>
      <c r="CI429" s="72">
        <v>9</v>
      </c>
      <c r="CJ429" s="72">
        <v>9</v>
      </c>
      <c r="CK429" s="72">
        <v>9</v>
      </c>
      <c r="CL429" s="72">
        <v>9</v>
      </c>
      <c r="CM429" s="72">
        <v>9</v>
      </c>
      <c r="CN429" s="72">
        <v>9</v>
      </c>
      <c r="CO429" s="72">
        <v>9</v>
      </c>
      <c r="CP429" s="72">
        <v>9</v>
      </c>
      <c r="CQ429" s="72">
        <v>9</v>
      </c>
      <c r="CR429" s="72">
        <v>9</v>
      </c>
      <c r="CS429" s="72">
        <v>9</v>
      </c>
      <c r="CT429" s="72">
        <v>9</v>
      </c>
      <c r="CU429" s="72">
        <v>9</v>
      </c>
      <c r="CV429" s="72">
        <v>9</v>
      </c>
      <c r="CW429" s="72">
        <v>9</v>
      </c>
      <c r="CX429" s="72">
        <v>9</v>
      </c>
      <c r="CY429" s="72">
        <v>9</v>
      </c>
      <c r="CZ429" s="72">
        <v>9</v>
      </c>
      <c r="DA429" s="72">
        <v>9</v>
      </c>
      <c r="DB429" s="72">
        <v>9</v>
      </c>
      <c r="DC429" s="72">
        <v>9</v>
      </c>
      <c r="DD429" s="72">
        <v>9</v>
      </c>
      <c r="DE429" s="72">
        <v>9</v>
      </c>
      <c r="DF429" s="72">
        <v>9</v>
      </c>
      <c r="DG429" s="72">
        <v>9</v>
      </c>
      <c r="DH429" s="72">
        <v>9</v>
      </c>
      <c r="DI429" s="72">
        <v>9</v>
      </c>
      <c r="DJ429" s="72">
        <v>9</v>
      </c>
      <c r="DK429" s="72">
        <v>9</v>
      </c>
      <c r="DL429" s="72">
        <v>9</v>
      </c>
    </row>
    <row r="430" spans="1:116" x14ac:dyDescent="0.35">
      <c r="A430" s="7"/>
      <c r="B430" s="8" t="s">
        <v>730</v>
      </c>
      <c r="C430" s="9" t="s">
        <v>731</v>
      </c>
      <c r="D430" s="10" t="s">
        <v>697</v>
      </c>
      <c r="E430" s="8" t="s">
        <v>1203</v>
      </c>
      <c r="F430" s="10">
        <v>1002</v>
      </c>
      <c r="G430" s="10" t="s">
        <v>40</v>
      </c>
      <c r="H430" s="10" t="s">
        <v>41</v>
      </c>
      <c r="I430" s="11">
        <v>12</v>
      </c>
      <c r="J430" s="10"/>
      <c r="K430" s="10" t="s">
        <v>42</v>
      </c>
      <c r="L430" s="8"/>
      <c r="M430" s="12">
        <v>1108</v>
      </c>
      <c r="N430" s="12">
        <f t="shared" si="9"/>
        <v>12188</v>
      </c>
      <c r="O430" s="11">
        <v>12</v>
      </c>
      <c r="P430" s="11">
        <v>12</v>
      </c>
      <c r="Q430" s="11">
        <v>12</v>
      </c>
      <c r="R430" s="11">
        <v>12</v>
      </c>
      <c r="S430" s="11">
        <v>12</v>
      </c>
      <c r="T430" s="11">
        <v>12</v>
      </c>
      <c r="U430" s="11">
        <v>12</v>
      </c>
      <c r="V430" s="11">
        <v>12</v>
      </c>
      <c r="W430" s="11">
        <v>12</v>
      </c>
      <c r="X430" s="11">
        <v>12</v>
      </c>
      <c r="Y430" s="11">
        <v>12</v>
      </c>
      <c r="Z430" s="11">
        <v>12</v>
      </c>
      <c r="AA430" s="11">
        <v>12</v>
      </c>
      <c r="AB430" s="11">
        <v>12</v>
      </c>
      <c r="AC430" s="11">
        <v>12</v>
      </c>
      <c r="AD430" s="11">
        <v>12</v>
      </c>
      <c r="AE430" s="11">
        <v>12</v>
      </c>
      <c r="AF430" s="11">
        <v>12</v>
      </c>
      <c r="AG430" s="11">
        <v>12</v>
      </c>
      <c r="AH430" s="11">
        <v>12</v>
      </c>
      <c r="AI430" s="11">
        <v>12</v>
      </c>
      <c r="AJ430" s="11">
        <v>12</v>
      </c>
      <c r="AK430" s="11">
        <v>12</v>
      </c>
      <c r="AL430" s="11">
        <v>12</v>
      </c>
      <c r="AM430" s="11">
        <v>12</v>
      </c>
      <c r="AN430" s="72">
        <v>12</v>
      </c>
      <c r="AO430" s="72">
        <v>12</v>
      </c>
      <c r="AP430" s="72">
        <v>12</v>
      </c>
      <c r="AQ430" s="72">
        <v>12</v>
      </c>
      <c r="AR430" s="72">
        <v>12</v>
      </c>
      <c r="AS430" s="72">
        <v>12</v>
      </c>
      <c r="AT430" s="72">
        <v>11</v>
      </c>
      <c r="AU430" s="72">
        <v>11</v>
      </c>
      <c r="AV430" s="72">
        <v>11</v>
      </c>
      <c r="AW430" s="72">
        <v>11</v>
      </c>
      <c r="AX430" s="72">
        <v>11</v>
      </c>
      <c r="AY430" s="72">
        <v>11</v>
      </c>
      <c r="AZ430" s="72">
        <v>11</v>
      </c>
      <c r="BA430" s="72">
        <v>11</v>
      </c>
      <c r="BB430" s="72">
        <v>11</v>
      </c>
      <c r="BC430" s="72">
        <v>11</v>
      </c>
      <c r="BD430" s="72">
        <v>11</v>
      </c>
      <c r="BE430" s="72">
        <v>11</v>
      </c>
      <c r="BF430" s="72">
        <v>11</v>
      </c>
      <c r="BG430" s="72">
        <v>11</v>
      </c>
      <c r="BH430" s="72">
        <v>11</v>
      </c>
      <c r="BI430" s="72">
        <v>11</v>
      </c>
      <c r="BJ430" s="72">
        <v>11</v>
      </c>
      <c r="BK430" s="72">
        <v>11</v>
      </c>
      <c r="BL430" s="72">
        <v>11</v>
      </c>
      <c r="BM430" s="72">
        <v>11</v>
      </c>
      <c r="BN430" s="72">
        <v>11</v>
      </c>
      <c r="BO430" s="72">
        <v>11</v>
      </c>
      <c r="BP430" s="72">
        <v>11</v>
      </c>
      <c r="BQ430" s="72">
        <v>11</v>
      </c>
      <c r="BR430" s="72">
        <v>11</v>
      </c>
      <c r="BS430" s="72">
        <v>11</v>
      </c>
      <c r="BT430" s="72">
        <v>11</v>
      </c>
      <c r="BU430" s="72">
        <v>11</v>
      </c>
      <c r="BV430" s="72">
        <v>11</v>
      </c>
      <c r="BW430" s="72">
        <v>11</v>
      </c>
      <c r="BX430" s="72">
        <v>11</v>
      </c>
      <c r="BY430" s="72">
        <v>11</v>
      </c>
      <c r="BZ430" s="72">
        <v>11</v>
      </c>
      <c r="CA430" s="72">
        <v>11</v>
      </c>
      <c r="CB430" s="72">
        <v>11</v>
      </c>
      <c r="CC430" s="72">
        <v>11</v>
      </c>
      <c r="CD430" s="72">
        <v>11</v>
      </c>
      <c r="CE430" s="72">
        <v>11</v>
      </c>
      <c r="CF430" s="72">
        <v>11</v>
      </c>
      <c r="CG430" s="72">
        <v>11</v>
      </c>
      <c r="CH430" s="72">
        <v>11</v>
      </c>
      <c r="CI430" s="72">
        <v>11</v>
      </c>
      <c r="CJ430" s="72">
        <v>11</v>
      </c>
      <c r="CK430" s="72">
        <v>11</v>
      </c>
      <c r="CL430" s="72">
        <v>11</v>
      </c>
      <c r="CM430" s="72">
        <v>11</v>
      </c>
      <c r="CN430" s="72">
        <v>11</v>
      </c>
      <c r="CO430" s="72">
        <v>11</v>
      </c>
      <c r="CP430" s="72">
        <v>11</v>
      </c>
      <c r="CQ430" s="72">
        <v>11</v>
      </c>
      <c r="CR430" s="72">
        <v>11</v>
      </c>
      <c r="CS430" s="72">
        <v>11</v>
      </c>
      <c r="CT430" s="72">
        <v>11</v>
      </c>
      <c r="CU430" s="72">
        <v>11</v>
      </c>
      <c r="CV430" s="72">
        <v>11</v>
      </c>
      <c r="CW430" s="72">
        <v>11</v>
      </c>
      <c r="CX430" s="72">
        <v>11</v>
      </c>
      <c r="CY430" s="72">
        <v>11</v>
      </c>
      <c r="CZ430" s="72">
        <v>11</v>
      </c>
      <c r="DA430" s="72">
        <v>11</v>
      </c>
      <c r="DB430" s="72">
        <v>11</v>
      </c>
      <c r="DC430" s="72">
        <v>11</v>
      </c>
      <c r="DD430" s="72">
        <v>11</v>
      </c>
      <c r="DE430" s="72">
        <v>11</v>
      </c>
      <c r="DF430" s="72">
        <v>11</v>
      </c>
      <c r="DG430" s="72">
        <v>11</v>
      </c>
      <c r="DH430" s="72">
        <v>11</v>
      </c>
      <c r="DI430" s="72">
        <v>11</v>
      </c>
      <c r="DJ430" s="72">
        <v>11</v>
      </c>
      <c r="DK430" s="72">
        <v>11</v>
      </c>
      <c r="DL430" s="72">
        <v>11</v>
      </c>
    </row>
    <row r="431" spans="1:116" x14ac:dyDescent="0.35">
      <c r="A431" s="7"/>
      <c r="B431" s="8" t="s">
        <v>732</v>
      </c>
      <c r="C431" s="9" t="s">
        <v>733</v>
      </c>
      <c r="D431" s="10" t="s">
        <v>697</v>
      </c>
      <c r="E431" s="8" t="s">
        <v>1060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930</v>
      </c>
      <c r="N431" s="12">
        <f t="shared" si="9"/>
        <v>930</v>
      </c>
      <c r="O431" s="11">
        <v>1</v>
      </c>
      <c r="P431" s="11">
        <v>1</v>
      </c>
      <c r="Q431" s="11">
        <v>1</v>
      </c>
      <c r="R431" s="11">
        <v>1</v>
      </c>
      <c r="S431" s="11">
        <v>1</v>
      </c>
      <c r="T431" s="11">
        <v>1</v>
      </c>
      <c r="U431" s="11">
        <v>1</v>
      </c>
      <c r="V431" s="11">
        <v>1</v>
      </c>
      <c r="W431" s="11">
        <v>1</v>
      </c>
      <c r="X431" s="11">
        <v>1</v>
      </c>
      <c r="Y431" s="11">
        <v>1</v>
      </c>
      <c r="Z431" s="11">
        <v>1</v>
      </c>
      <c r="AA431" s="11">
        <v>1</v>
      </c>
      <c r="AB431" s="11">
        <v>1</v>
      </c>
      <c r="AC431" s="11">
        <v>1</v>
      </c>
      <c r="AD431" s="11">
        <v>1</v>
      </c>
      <c r="AE431" s="11">
        <v>1</v>
      </c>
      <c r="AF431" s="11">
        <v>1</v>
      </c>
      <c r="AG431" s="11">
        <v>1</v>
      </c>
      <c r="AH431" s="11">
        <v>1</v>
      </c>
      <c r="AI431" s="11">
        <v>1</v>
      </c>
      <c r="AJ431" s="11">
        <v>1</v>
      </c>
      <c r="AK431" s="11">
        <v>1</v>
      </c>
      <c r="AL431" s="11">
        <v>1</v>
      </c>
      <c r="AM431" s="11">
        <v>1</v>
      </c>
      <c r="AN431" s="72">
        <v>1</v>
      </c>
      <c r="AO431" s="72">
        <v>1</v>
      </c>
      <c r="AP431" s="72">
        <v>1</v>
      </c>
      <c r="AQ431" s="72">
        <v>1</v>
      </c>
      <c r="AR431" s="72">
        <v>1</v>
      </c>
      <c r="AS431" s="72">
        <v>1</v>
      </c>
      <c r="AT431" s="72">
        <v>1</v>
      </c>
      <c r="AU431" s="72">
        <v>1</v>
      </c>
      <c r="AV431" s="72">
        <v>1</v>
      </c>
      <c r="AW431" s="72">
        <v>1</v>
      </c>
      <c r="AX431" s="72">
        <v>1</v>
      </c>
      <c r="AY431" s="72">
        <v>1</v>
      </c>
      <c r="AZ431" s="72">
        <v>1</v>
      </c>
      <c r="BA431" s="72">
        <v>1</v>
      </c>
      <c r="BB431" s="72">
        <v>1</v>
      </c>
      <c r="BC431" s="72">
        <v>1</v>
      </c>
      <c r="BD431" s="72">
        <v>1</v>
      </c>
      <c r="BE431" s="72">
        <v>1</v>
      </c>
      <c r="BF431" s="72">
        <v>1</v>
      </c>
      <c r="BG431" s="72">
        <v>1</v>
      </c>
      <c r="BH431" s="72">
        <v>1</v>
      </c>
      <c r="BI431" s="72">
        <v>1</v>
      </c>
      <c r="BJ431" s="72">
        <v>1</v>
      </c>
      <c r="BK431" s="72">
        <v>1</v>
      </c>
      <c r="BL431" s="72">
        <v>1</v>
      </c>
      <c r="BM431" s="72">
        <v>1</v>
      </c>
      <c r="BN431" s="72">
        <v>1</v>
      </c>
      <c r="BO431" s="72">
        <v>1</v>
      </c>
      <c r="BP431" s="72">
        <v>1</v>
      </c>
      <c r="BQ431" s="72">
        <v>1</v>
      </c>
      <c r="BR431" s="72">
        <v>1</v>
      </c>
      <c r="BS431" s="72">
        <v>1</v>
      </c>
      <c r="BT431" s="72">
        <v>1</v>
      </c>
      <c r="BU431" s="72">
        <v>1</v>
      </c>
      <c r="BV431" s="72">
        <v>1</v>
      </c>
      <c r="BW431" s="72">
        <v>1</v>
      </c>
      <c r="BX431" s="72">
        <v>1</v>
      </c>
      <c r="BY431" s="72">
        <v>1</v>
      </c>
      <c r="BZ431" s="72">
        <v>1</v>
      </c>
      <c r="CA431" s="72">
        <v>1</v>
      </c>
      <c r="CB431" s="72">
        <v>1</v>
      </c>
      <c r="CC431" s="72">
        <v>1</v>
      </c>
      <c r="CD431" s="72">
        <v>1</v>
      </c>
      <c r="CE431" s="72">
        <v>1</v>
      </c>
      <c r="CF431" s="72">
        <v>1</v>
      </c>
      <c r="CG431" s="72">
        <v>1</v>
      </c>
      <c r="CH431" s="72">
        <v>1</v>
      </c>
      <c r="CI431" s="72">
        <v>1</v>
      </c>
      <c r="CJ431" s="72">
        <v>1</v>
      </c>
      <c r="CK431" s="72">
        <v>1</v>
      </c>
      <c r="CL431" s="72">
        <v>1</v>
      </c>
      <c r="CM431" s="72">
        <v>1</v>
      </c>
      <c r="CN431" s="72">
        <v>1</v>
      </c>
      <c r="CO431" s="72">
        <v>1</v>
      </c>
      <c r="CP431" s="72">
        <v>1</v>
      </c>
      <c r="CQ431" s="72">
        <v>1</v>
      </c>
      <c r="CR431" s="72">
        <v>1</v>
      </c>
      <c r="CS431" s="72">
        <v>1</v>
      </c>
      <c r="CT431" s="72">
        <v>1</v>
      </c>
      <c r="CU431" s="72">
        <v>1</v>
      </c>
      <c r="CV431" s="72">
        <v>1</v>
      </c>
      <c r="CW431" s="72">
        <v>1</v>
      </c>
      <c r="CX431" s="72">
        <v>1</v>
      </c>
      <c r="CY431" s="72">
        <v>1</v>
      </c>
      <c r="CZ431" s="72">
        <v>1</v>
      </c>
      <c r="DA431" s="72">
        <v>1</v>
      </c>
      <c r="DB431" s="72">
        <v>1</v>
      </c>
      <c r="DC431" s="72">
        <v>1</v>
      </c>
      <c r="DD431" s="72">
        <v>1</v>
      </c>
      <c r="DE431" s="72">
        <v>1</v>
      </c>
      <c r="DF431" s="72">
        <v>1</v>
      </c>
      <c r="DG431" s="72">
        <v>1</v>
      </c>
      <c r="DH431" s="72">
        <v>1</v>
      </c>
      <c r="DI431" s="72">
        <v>1</v>
      </c>
      <c r="DJ431" s="72">
        <v>1</v>
      </c>
      <c r="DK431" s="72">
        <v>1</v>
      </c>
      <c r="DL431" s="72">
        <v>1</v>
      </c>
    </row>
    <row r="432" spans="1:116" x14ac:dyDescent="0.35">
      <c r="A432" s="7"/>
      <c r="B432" s="8" t="s">
        <v>734</v>
      </c>
      <c r="C432" s="9" t="s">
        <v>735</v>
      </c>
      <c r="D432" s="10" t="s">
        <v>697</v>
      </c>
      <c r="E432" s="8" t="s">
        <v>1205</v>
      </c>
      <c r="F432" s="10">
        <v>1006</v>
      </c>
      <c r="G432" s="10" t="s">
        <v>40</v>
      </c>
      <c r="H432" s="10" t="s">
        <v>41</v>
      </c>
      <c r="I432" s="11">
        <v>16</v>
      </c>
      <c r="J432" s="10"/>
      <c r="K432" s="10"/>
      <c r="L432" s="8"/>
      <c r="M432" s="12">
        <v>98</v>
      </c>
      <c r="N432" s="12">
        <f t="shared" si="9"/>
        <v>1568</v>
      </c>
      <c r="O432" s="11">
        <v>20</v>
      </c>
      <c r="P432" s="11">
        <v>20</v>
      </c>
      <c r="Q432" s="11">
        <v>20</v>
      </c>
      <c r="R432" s="11">
        <v>20</v>
      </c>
      <c r="S432" s="11">
        <v>20</v>
      </c>
      <c r="T432" s="11">
        <v>20</v>
      </c>
      <c r="U432" s="11">
        <v>16</v>
      </c>
      <c r="V432" s="11">
        <v>16</v>
      </c>
      <c r="W432" s="11">
        <v>16</v>
      </c>
      <c r="X432" s="11">
        <v>16</v>
      </c>
      <c r="Y432" s="11">
        <v>16</v>
      </c>
      <c r="Z432" s="11">
        <v>16</v>
      </c>
      <c r="AA432" s="11">
        <v>16</v>
      </c>
      <c r="AB432" s="11">
        <v>16</v>
      </c>
      <c r="AC432" s="11">
        <v>16</v>
      </c>
      <c r="AD432" s="11">
        <v>16</v>
      </c>
      <c r="AE432" s="11">
        <v>16</v>
      </c>
      <c r="AF432" s="11">
        <v>16</v>
      </c>
      <c r="AG432" s="11">
        <v>16</v>
      </c>
      <c r="AH432" s="11">
        <v>16</v>
      </c>
      <c r="AI432" s="11">
        <v>16</v>
      </c>
      <c r="AJ432" s="11">
        <v>16</v>
      </c>
      <c r="AK432" s="11">
        <v>16</v>
      </c>
      <c r="AL432" s="11">
        <v>16</v>
      </c>
      <c r="AM432" s="11">
        <v>16</v>
      </c>
      <c r="AN432" s="72">
        <v>16</v>
      </c>
      <c r="AO432" s="72">
        <v>16</v>
      </c>
      <c r="AP432" s="72">
        <v>16</v>
      </c>
      <c r="AQ432" s="72">
        <v>16</v>
      </c>
      <c r="AR432" s="72">
        <v>16</v>
      </c>
      <c r="AS432" s="72">
        <v>16</v>
      </c>
      <c r="AT432" s="72">
        <v>16</v>
      </c>
      <c r="AU432" s="72">
        <v>16</v>
      </c>
      <c r="AV432" s="72">
        <v>16</v>
      </c>
      <c r="AW432" s="72">
        <v>16</v>
      </c>
      <c r="AX432" s="72">
        <v>16</v>
      </c>
      <c r="AY432" s="72">
        <v>16</v>
      </c>
      <c r="AZ432" s="72">
        <v>16</v>
      </c>
      <c r="BA432" s="72">
        <v>16</v>
      </c>
      <c r="BB432" s="72">
        <v>16</v>
      </c>
      <c r="BC432" s="72">
        <v>16</v>
      </c>
      <c r="BD432" s="72">
        <v>16</v>
      </c>
      <c r="BE432" s="72">
        <v>16</v>
      </c>
      <c r="BF432" s="72">
        <v>16</v>
      </c>
      <c r="BG432" s="72">
        <v>16</v>
      </c>
      <c r="BH432" s="72">
        <v>16</v>
      </c>
      <c r="BI432" s="72">
        <v>16</v>
      </c>
      <c r="BJ432" s="72">
        <v>16</v>
      </c>
      <c r="BK432" s="72">
        <v>16</v>
      </c>
      <c r="BL432" s="72">
        <v>16</v>
      </c>
      <c r="BM432" s="72">
        <v>16</v>
      </c>
      <c r="BN432" s="72">
        <v>16</v>
      </c>
      <c r="BO432" s="72">
        <v>16</v>
      </c>
      <c r="BP432" s="72">
        <v>16</v>
      </c>
      <c r="BQ432" s="72">
        <v>16</v>
      </c>
      <c r="BR432" s="72">
        <v>16</v>
      </c>
      <c r="BS432" s="72">
        <v>16</v>
      </c>
      <c r="BT432" s="72">
        <v>16</v>
      </c>
      <c r="BU432" s="72">
        <v>16</v>
      </c>
      <c r="BV432" s="72">
        <v>16</v>
      </c>
      <c r="BW432" s="72">
        <v>16</v>
      </c>
      <c r="BX432" s="72">
        <v>16</v>
      </c>
      <c r="BY432" s="72">
        <v>16</v>
      </c>
      <c r="BZ432" s="72">
        <v>16</v>
      </c>
      <c r="CA432" s="72">
        <v>16</v>
      </c>
      <c r="CB432" s="72">
        <v>16</v>
      </c>
      <c r="CC432" s="72">
        <v>16</v>
      </c>
      <c r="CD432" s="72">
        <v>16</v>
      </c>
      <c r="CE432" s="72">
        <v>16</v>
      </c>
      <c r="CF432" s="72">
        <v>16</v>
      </c>
      <c r="CG432" s="72">
        <v>16</v>
      </c>
      <c r="CH432" s="72">
        <v>16</v>
      </c>
      <c r="CI432" s="72">
        <v>16</v>
      </c>
      <c r="CJ432" s="72">
        <v>16</v>
      </c>
      <c r="CK432" s="72">
        <v>16</v>
      </c>
      <c r="CL432" s="72">
        <v>16</v>
      </c>
      <c r="CM432" s="72">
        <v>16</v>
      </c>
      <c r="CN432" s="72">
        <v>16</v>
      </c>
      <c r="CO432" s="72">
        <v>16</v>
      </c>
      <c r="CP432" s="72">
        <v>16</v>
      </c>
      <c r="CQ432" s="72">
        <v>16</v>
      </c>
      <c r="CR432" s="72">
        <v>16</v>
      </c>
      <c r="CS432" s="72">
        <v>16</v>
      </c>
      <c r="CT432" s="72">
        <v>16</v>
      </c>
      <c r="CU432" s="72">
        <v>16</v>
      </c>
      <c r="CV432" s="72">
        <v>16</v>
      </c>
      <c r="CW432" s="72">
        <v>16</v>
      </c>
      <c r="CX432" s="72">
        <v>16</v>
      </c>
      <c r="CY432" s="72">
        <v>16</v>
      </c>
      <c r="CZ432" s="72">
        <v>16</v>
      </c>
      <c r="DA432" s="72">
        <v>16</v>
      </c>
      <c r="DB432" s="72">
        <v>16</v>
      </c>
      <c r="DC432" s="72">
        <v>16</v>
      </c>
      <c r="DD432" s="72">
        <v>16</v>
      </c>
      <c r="DE432" s="72">
        <v>16</v>
      </c>
      <c r="DF432" s="72">
        <v>16</v>
      </c>
      <c r="DG432" s="72">
        <v>16</v>
      </c>
      <c r="DH432" s="72">
        <v>16</v>
      </c>
      <c r="DI432" s="72">
        <v>16</v>
      </c>
      <c r="DJ432" s="72">
        <v>16</v>
      </c>
      <c r="DK432" s="72">
        <v>16</v>
      </c>
      <c r="DL432" s="72">
        <v>16</v>
      </c>
    </row>
    <row r="433" spans="1:116" x14ac:dyDescent="0.35">
      <c r="A433" s="7"/>
      <c r="B433" s="8" t="s">
        <v>736</v>
      </c>
      <c r="C433" s="9" t="s">
        <v>737</v>
      </c>
      <c r="D433" s="10" t="s">
        <v>697</v>
      </c>
      <c r="E433" s="8" t="s">
        <v>1207</v>
      </c>
      <c r="F433" s="10">
        <v>1006</v>
      </c>
      <c r="G433" s="10" t="s">
        <v>40</v>
      </c>
      <c r="H433" s="10" t="s">
        <v>41</v>
      </c>
      <c r="I433" s="11">
        <v>54</v>
      </c>
      <c r="J433" s="10"/>
      <c r="K433" s="10" t="s">
        <v>526</v>
      </c>
      <c r="L433" s="8"/>
      <c r="M433" s="12">
        <v>71.38</v>
      </c>
      <c r="N433" s="12">
        <f t="shared" si="9"/>
        <v>3854.5199999999995</v>
      </c>
      <c r="O433" s="11">
        <v>54</v>
      </c>
      <c r="P433" s="11">
        <v>54</v>
      </c>
      <c r="Q433" s="11">
        <v>54</v>
      </c>
      <c r="R433" s="11">
        <v>54</v>
      </c>
      <c r="S433" s="11">
        <v>54</v>
      </c>
      <c r="T433" s="11">
        <v>54</v>
      </c>
      <c r="U433" s="11">
        <v>54</v>
      </c>
      <c r="V433" s="11">
        <v>54</v>
      </c>
      <c r="W433" s="11">
        <v>54</v>
      </c>
      <c r="X433" s="11">
        <v>54</v>
      </c>
      <c r="Y433" s="11">
        <v>54</v>
      </c>
      <c r="Z433" s="11">
        <v>54</v>
      </c>
      <c r="AA433" s="11">
        <v>54</v>
      </c>
      <c r="AB433" s="11">
        <v>54</v>
      </c>
      <c r="AC433" s="11">
        <v>54</v>
      </c>
      <c r="AD433" s="11">
        <v>54</v>
      </c>
      <c r="AE433" s="11">
        <v>54</v>
      </c>
      <c r="AF433" s="11">
        <v>54</v>
      </c>
      <c r="AG433" s="11">
        <v>54</v>
      </c>
      <c r="AH433" s="11">
        <v>54</v>
      </c>
      <c r="AI433" s="11">
        <v>54</v>
      </c>
      <c r="AJ433" s="11">
        <v>54</v>
      </c>
      <c r="AK433" s="11">
        <v>54</v>
      </c>
      <c r="AL433" s="11">
        <v>54</v>
      </c>
      <c r="AM433" s="11">
        <v>54</v>
      </c>
      <c r="AN433" s="72">
        <v>54</v>
      </c>
      <c r="AO433" s="72">
        <v>54</v>
      </c>
      <c r="AP433" s="72">
        <v>54</v>
      </c>
      <c r="AQ433" s="72">
        <v>54</v>
      </c>
      <c r="AR433" s="72">
        <v>54</v>
      </c>
      <c r="AS433" s="72">
        <v>54</v>
      </c>
      <c r="AT433" s="72">
        <v>54</v>
      </c>
      <c r="AU433" s="72">
        <v>54</v>
      </c>
      <c r="AV433" s="72">
        <v>54</v>
      </c>
      <c r="AW433" s="72">
        <v>54</v>
      </c>
      <c r="AX433" s="72">
        <v>54</v>
      </c>
      <c r="AY433" s="72">
        <v>54</v>
      </c>
      <c r="AZ433" s="72">
        <v>54</v>
      </c>
      <c r="BA433" s="72">
        <v>54</v>
      </c>
      <c r="BB433" s="72">
        <v>54</v>
      </c>
      <c r="BC433" s="72">
        <v>54</v>
      </c>
      <c r="BD433" s="72">
        <v>54</v>
      </c>
      <c r="BE433" s="72">
        <v>54</v>
      </c>
      <c r="BF433" s="72">
        <v>54</v>
      </c>
      <c r="BG433" s="72">
        <v>54</v>
      </c>
      <c r="BH433" s="72">
        <v>54</v>
      </c>
      <c r="BI433" s="72">
        <v>54</v>
      </c>
      <c r="BJ433" s="72">
        <v>54</v>
      </c>
      <c r="BK433" s="72">
        <v>54</v>
      </c>
      <c r="BL433" s="72">
        <v>54</v>
      </c>
      <c r="BM433" s="72">
        <v>54</v>
      </c>
      <c r="BN433" s="72">
        <v>54</v>
      </c>
      <c r="BO433" s="72">
        <v>54</v>
      </c>
      <c r="BP433" s="72">
        <v>54</v>
      </c>
      <c r="BQ433" s="72">
        <v>54</v>
      </c>
      <c r="BR433" s="72">
        <v>54</v>
      </c>
      <c r="BS433" s="72">
        <v>54</v>
      </c>
      <c r="BT433" s="72">
        <v>54</v>
      </c>
      <c r="BU433" s="72">
        <v>54</v>
      </c>
      <c r="BV433" s="72">
        <v>54</v>
      </c>
      <c r="BW433" s="72">
        <v>54</v>
      </c>
      <c r="BX433" s="72">
        <v>54</v>
      </c>
      <c r="BY433" s="72">
        <v>54</v>
      </c>
      <c r="BZ433" s="72">
        <v>54</v>
      </c>
      <c r="CA433" s="72">
        <v>54</v>
      </c>
      <c r="CB433" s="72">
        <v>54</v>
      </c>
      <c r="CC433" s="72">
        <v>54</v>
      </c>
      <c r="CD433" s="72">
        <v>54</v>
      </c>
      <c r="CE433" s="72">
        <v>54</v>
      </c>
      <c r="CF433" s="72">
        <v>54</v>
      </c>
      <c r="CG433" s="72">
        <v>54</v>
      </c>
      <c r="CH433" s="72">
        <v>54</v>
      </c>
      <c r="CI433" s="72">
        <v>54</v>
      </c>
      <c r="CJ433" s="72">
        <v>54</v>
      </c>
      <c r="CK433" s="72">
        <v>54</v>
      </c>
      <c r="CL433" s="72">
        <v>54</v>
      </c>
      <c r="CM433" s="72">
        <v>54</v>
      </c>
      <c r="CN433" s="72">
        <v>54</v>
      </c>
      <c r="CO433" s="72">
        <v>54</v>
      </c>
      <c r="CP433" s="72">
        <v>54</v>
      </c>
      <c r="CQ433" s="72">
        <v>54</v>
      </c>
      <c r="CR433" s="72">
        <v>54</v>
      </c>
      <c r="CS433" s="72">
        <v>54</v>
      </c>
      <c r="CT433" s="72">
        <v>54</v>
      </c>
      <c r="CU433" s="72">
        <v>54</v>
      </c>
      <c r="CV433" s="72">
        <v>54</v>
      </c>
      <c r="CW433" s="72">
        <v>54</v>
      </c>
      <c r="CX433" s="72">
        <v>54</v>
      </c>
      <c r="CY433" s="72">
        <v>54</v>
      </c>
      <c r="CZ433" s="72">
        <v>54</v>
      </c>
      <c r="DA433" s="72">
        <v>54</v>
      </c>
      <c r="DB433" s="72">
        <v>54</v>
      </c>
      <c r="DC433" s="72">
        <v>54</v>
      </c>
      <c r="DD433" s="72">
        <v>54</v>
      </c>
      <c r="DE433" s="72">
        <v>54</v>
      </c>
      <c r="DF433" s="72">
        <v>54</v>
      </c>
      <c r="DG433" s="72">
        <v>54</v>
      </c>
      <c r="DH433" s="72">
        <v>54</v>
      </c>
      <c r="DI433" s="72">
        <v>54</v>
      </c>
      <c r="DJ433" s="72">
        <v>54</v>
      </c>
      <c r="DK433" s="72">
        <v>54</v>
      </c>
      <c r="DL433" s="72">
        <v>54</v>
      </c>
    </row>
    <row r="434" spans="1:116" x14ac:dyDescent="0.35">
      <c r="A434" s="7"/>
      <c r="B434" s="77" t="s">
        <v>1122</v>
      </c>
      <c r="C434" s="78" t="s">
        <v>1375</v>
      </c>
      <c r="D434" s="10" t="s">
        <v>697</v>
      </c>
      <c r="E434" s="8" t="s">
        <v>1207</v>
      </c>
      <c r="F434" s="10"/>
      <c r="G434" s="10"/>
      <c r="H434" s="10" t="s">
        <v>41</v>
      </c>
      <c r="I434" s="11"/>
      <c r="J434" s="10"/>
      <c r="K434" s="10"/>
      <c r="L434" s="8"/>
      <c r="M434" s="12">
        <v>46</v>
      </c>
      <c r="N434" s="12">
        <f t="shared" si="9"/>
        <v>460</v>
      </c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>
        <v>10</v>
      </c>
      <c r="BN434" s="72">
        <v>10</v>
      </c>
      <c r="BO434" s="72">
        <v>10</v>
      </c>
      <c r="BP434" s="72">
        <v>10</v>
      </c>
      <c r="BQ434" s="72">
        <v>10</v>
      </c>
      <c r="BR434" s="72">
        <v>10</v>
      </c>
      <c r="BS434" s="72">
        <v>10</v>
      </c>
      <c r="BT434" s="72">
        <v>10</v>
      </c>
      <c r="BU434" s="72">
        <v>10</v>
      </c>
      <c r="BV434" s="72">
        <v>10</v>
      </c>
      <c r="BW434" s="72">
        <v>10</v>
      </c>
      <c r="BX434" s="72">
        <v>10</v>
      </c>
      <c r="BY434" s="72">
        <v>10</v>
      </c>
      <c r="BZ434" s="72">
        <v>10</v>
      </c>
      <c r="CA434" s="72">
        <v>10</v>
      </c>
      <c r="CB434" s="72">
        <v>10</v>
      </c>
      <c r="CC434" s="72">
        <v>10</v>
      </c>
      <c r="CD434" s="72">
        <v>10</v>
      </c>
      <c r="CE434" s="72">
        <v>10</v>
      </c>
      <c r="CF434" s="72">
        <v>10</v>
      </c>
      <c r="CG434" s="72">
        <v>10</v>
      </c>
      <c r="CH434" s="72">
        <v>10</v>
      </c>
      <c r="CI434" s="72">
        <v>10</v>
      </c>
      <c r="CJ434" s="72">
        <v>10</v>
      </c>
      <c r="CK434" s="72">
        <v>10</v>
      </c>
      <c r="CL434" s="72">
        <v>10</v>
      </c>
      <c r="CM434" s="72">
        <v>10</v>
      </c>
      <c r="CN434" s="72">
        <v>10</v>
      </c>
      <c r="CO434" s="72">
        <v>10</v>
      </c>
      <c r="CP434" s="72">
        <v>10</v>
      </c>
      <c r="CQ434" s="72">
        <v>10</v>
      </c>
      <c r="CR434" s="72">
        <v>10</v>
      </c>
      <c r="CS434" s="72">
        <v>10</v>
      </c>
      <c r="CT434" s="72">
        <v>10</v>
      </c>
      <c r="CU434" s="72">
        <v>10</v>
      </c>
      <c r="CV434" s="72">
        <v>10</v>
      </c>
      <c r="CW434" s="72">
        <v>10</v>
      </c>
      <c r="CX434" s="72">
        <v>10</v>
      </c>
      <c r="CY434" s="72">
        <v>10</v>
      </c>
      <c r="CZ434" s="72">
        <v>10</v>
      </c>
      <c r="DA434" s="72">
        <v>10</v>
      </c>
      <c r="DB434" s="72">
        <v>10</v>
      </c>
      <c r="DC434" s="72">
        <v>10</v>
      </c>
      <c r="DD434" s="72">
        <v>10</v>
      </c>
      <c r="DE434" s="72">
        <v>10</v>
      </c>
      <c r="DF434" s="72">
        <v>10</v>
      </c>
      <c r="DG434" s="72">
        <v>10</v>
      </c>
      <c r="DH434" s="72">
        <v>10</v>
      </c>
      <c r="DI434" s="72">
        <v>10</v>
      </c>
      <c r="DJ434" s="72">
        <v>10</v>
      </c>
      <c r="DK434" s="72">
        <v>10</v>
      </c>
      <c r="DL434" s="72">
        <v>10</v>
      </c>
    </row>
    <row r="435" spans="1:116" x14ac:dyDescent="0.35">
      <c r="A435" s="7"/>
      <c r="B435" s="14" t="s">
        <v>738</v>
      </c>
      <c r="C435" s="9" t="s">
        <v>739</v>
      </c>
      <c r="D435" s="10" t="s">
        <v>697</v>
      </c>
      <c r="E435" s="8" t="s">
        <v>1203</v>
      </c>
      <c r="F435" s="10">
        <v>1002</v>
      </c>
      <c r="G435" s="10" t="s">
        <v>40</v>
      </c>
      <c r="H435" s="10" t="s">
        <v>41</v>
      </c>
      <c r="I435" s="11">
        <v>2</v>
      </c>
      <c r="J435" s="10"/>
      <c r="K435" s="10" t="s">
        <v>42</v>
      </c>
      <c r="L435" s="8"/>
      <c r="M435" s="12">
        <v>213.5</v>
      </c>
      <c r="N435" s="12">
        <f t="shared" si="9"/>
        <v>213.5</v>
      </c>
      <c r="O435" s="11">
        <v>2</v>
      </c>
      <c r="P435" s="11">
        <v>2</v>
      </c>
      <c r="Q435" s="11">
        <v>2</v>
      </c>
      <c r="R435" s="11">
        <v>2</v>
      </c>
      <c r="S435" s="11">
        <v>2</v>
      </c>
      <c r="T435" s="11">
        <v>2</v>
      </c>
      <c r="U435" s="11">
        <v>2</v>
      </c>
      <c r="V435" s="11">
        <v>2</v>
      </c>
      <c r="W435" s="11">
        <v>2</v>
      </c>
      <c r="X435" s="11">
        <v>2</v>
      </c>
      <c r="Y435" s="11">
        <v>2</v>
      </c>
      <c r="Z435" s="11">
        <v>2</v>
      </c>
      <c r="AA435" s="11">
        <v>2</v>
      </c>
      <c r="AB435" s="11">
        <v>2</v>
      </c>
      <c r="AC435" s="11">
        <v>2</v>
      </c>
      <c r="AD435" s="11">
        <v>2</v>
      </c>
      <c r="AE435" s="11">
        <v>2</v>
      </c>
      <c r="AF435" s="11">
        <v>2</v>
      </c>
      <c r="AG435" s="11">
        <v>2</v>
      </c>
      <c r="AH435" s="11">
        <v>2</v>
      </c>
      <c r="AI435" s="11">
        <v>2</v>
      </c>
      <c r="AJ435" s="11">
        <v>2</v>
      </c>
      <c r="AK435" s="11">
        <v>2</v>
      </c>
      <c r="AL435" s="11">
        <v>2</v>
      </c>
      <c r="AM435" s="11">
        <v>2</v>
      </c>
      <c r="AN435" s="72">
        <v>2</v>
      </c>
      <c r="AO435" s="72">
        <v>2</v>
      </c>
      <c r="AP435" s="72">
        <v>2</v>
      </c>
      <c r="AQ435" s="72">
        <v>2</v>
      </c>
      <c r="AR435" s="72">
        <v>2</v>
      </c>
      <c r="AS435" s="72">
        <v>2</v>
      </c>
      <c r="AT435" s="72">
        <v>2</v>
      </c>
      <c r="AU435" s="72">
        <v>2</v>
      </c>
      <c r="AV435" s="72">
        <v>2</v>
      </c>
      <c r="AW435" s="72">
        <v>2</v>
      </c>
      <c r="AX435" s="72">
        <v>2</v>
      </c>
      <c r="AY435" s="72">
        <v>2</v>
      </c>
      <c r="AZ435" s="72">
        <v>2</v>
      </c>
      <c r="BA435" s="72">
        <v>2</v>
      </c>
      <c r="BB435" s="72">
        <v>2</v>
      </c>
      <c r="BC435" s="72">
        <v>2</v>
      </c>
      <c r="BD435" s="72">
        <v>2</v>
      </c>
      <c r="BE435" s="72">
        <v>2</v>
      </c>
      <c r="BF435" s="72">
        <v>2</v>
      </c>
      <c r="BG435" s="72">
        <v>2</v>
      </c>
      <c r="BH435" s="72">
        <v>2</v>
      </c>
      <c r="BI435" s="72">
        <v>2</v>
      </c>
      <c r="BJ435" s="72">
        <v>2</v>
      </c>
      <c r="BK435" s="72">
        <v>2</v>
      </c>
      <c r="BL435" s="72">
        <v>2</v>
      </c>
      <c r="BM435" s="72">
        <v>2</v>
      </c>
      <c r="BN435" s="72">
        <v>2</v>
      </c>
      <c r="BO435" s="72">
        <v>2</v>
      </c>
      <c r="BP435" s="72">
        <v>2</v>
      </c>
      <c r="BQ435" s="72">
        <v>2</v>
      </c>
      <c r="BR435" s="72">
        <v>2</v>
      </c>
      <c r="BS435" s="72">
        <v>2</v>
      </c>
      <c r="BT435" s="72">
        <v>2</v>
      </c>
      <c r="BU435" s="72">
        <v>2</v>
      </c>
      <c r="BV435" s="72">
        <v>2</v>
      </c>
      <c r="BW435" s="72">
        <v>2</v>
      </c>
      <c r="BX435" s="72">
        <v>2</v>
      </c>
      <c r="BY435" s="72">
        <v>1</v>
      </c>
      <c r="BZ435" s="72">
        <v>1</v>
      </c>
      <c r="CA435" s="72">
        <v>1</v>
      </c>
      <c r="CB435" s="72">
        <v>1</v>
      </c>
      <c r="CC435" s="72">
        <v>1</v>
      </c>
      <c r="CD435" s="72">
        <v>1</v>
      </c>
      <c r="CE435" s="72">
        <v>1</v>
      </c>
      <c r="CF435" s="72">
        <v>1</v>
      </c>
      <c r="CG435" s="72">
        <v>1</v>
      </c>
      <c r="CH435" s="72">
        <v>1</v>
      </c>
      <c r="CI435" s="72">
        <v>1</v>
      </c>
      <c r="CJ435" s="72">
        <v>1</v>
      </c>
      <c r="CK435" s="72">
        <v>1</v>
      </c>
      <c r="CL435" s="72">
        <v>1</v>
      </c>
      <c r="CM435" s="72">
        <v>1</v>
      </c>
      <c r="CN435" s="72">
        <v>1</v>
      </c>
      <c r="CO435" s="72">
        <v>1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1</v>
      </c>
      <c r="DG435" s="72">
        <v>1</v>
      </c>
      <c r="DH435" s="72">
        <v>1</v>
      </c>
      <c r="DI435" s="72">
        <v>1</v>
      </c>
      <c r="DJ435" s="72">
        <v>1</v>
      </c>
      <c r="DK435" s="72">
        <v>1</v>
      </c>
      <c r="DL435" s="72">
        <v>1</v>
      </c>
    </row>
    <row r="436" spans="1:116" x14ac:dyDescent="0.35">
      <c r="A436" s="7"/>
      <c r="B436" s="90">
        <v>3310016001</v>
      </c>
      <c r="C436" s="9" t="s">
        <v>1261</v>
      </c>
      <c r="D436" s="10" t="s">
        <v>1259</v>
      </c>
      <c r="E436" s="8" t="s">
        <v>1260</v>
      </c>
      <c r="F436" s="10"/>
      <c r="G436" s="10" t="s">
        <v>40</v>
      </c>
      <c r="H436" s="10" t="s">
        <v>41</v>
      </c>
      <c r="I436" s="11"/>
      <c r="J436" s="10"/>
      <c r="K436" s="10"/>
      <c r="L436" s="8"/>
      <c r="M436" s="12"/>
      <c r="N436" s="12">
        <f t="shared" si="9"/>
        <v>0</v>
      </c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72"/>
      <c r="AO436" s="72"/>
      <c r="AP436" s="72"/>
      <c r="AQ436" s="72"/>
      <c r="AR436" s="72"/>
      <c r="AS436" s="72"/>
      <c r="AT436" s="72"/>
      <c r="AU436" s="72"/>
      <c r="AV436" s="72">
        <v>1</v>
      </c>
      <c r="AW436" s="72">
        <v>1</v>
      </c>
      <c r="AX436" s="72">
        <v>1</v>
      </c>
      <c r="AY436" s="72">
        <v>1</v>
      </c>
      <c r="AZ436" s="72">
        <v>1</v>
      </c>
      <c r="BA436" s="72">
        <v>1</v>
      </c>
      <c r="BB436" s="72">
        <v>0</v>
      </c>
      <c r="BC436" s="72">
        <v>0</v>
      </c>
      <c r="BD436" s="72">
        <v>0</v>
      </c>
      <c r="BE436" s="72">
        <v>0</v>
      </c>
      <c r="BF436" s="72">
        <v>0</v>
      </c>
      <c r="BG436" s="72">
        <v>0</v>
      </c>
      <c r="BH436" s="72">
        <v>0</v>
      </c>
      <c r="BI436" s="72">
        <v>0</v>
      </c>
      <c r="BJ436" s="72">
        <v>0</v>
      </c>
      <c r="BK436" s="72">
        <v>0</v>
      </c>
      <c r="BL436" s="72">
        <v>0</v>
      </c>
      <c r="BM436" s="72">
        <v>0</v>
      </c>
      <c r="BN436" s="72">
        <v>0</v>
      </c>
      <c r="BO436" s="72">
        <v>0</v>
      </c>
      <c r="BP436" s="72">
        <v>0</v>
      </c>
      <c r="BQ436" s="72">
        <v>0</v>
      </c>
      <c r="BR436" s="72">
        <v>0</v>
      </c>
      <c r="BS436" s="72">
        <v>0</v>
      </c>
      <c r="BT436" s="72">
        <v>0</v>
      </c>
      <c r="BU436" s="72">
        <v>0</v>
      </c>
      <c r="BV436" s="72">
        <v>0</v>
      </c>
      <c r="BW436" s="72">
        <v>0</v>
      </c>
      <c r="BX436" s="72">
        <v>0</v>
      </c>
      <c r="BY436" s="72">
        <v>0</v>
      </c>
      <c r="BZ436" s="72">
        <v>0</v>
      </c>
      <c r="CA436" s="72">
        <v>0</v>
      </c>
      <c r="CB436" s="72">
        <v>0</v>
      </c>
      <c r="CC436" s="72">
        <v>0</v>
      </c>
      <c r="CD436" s="72">
        <v>0</v>
      </c>
      <c r="CE436" s="72">
        <v>0</v>
      </c>
      <c r="CF436" s="72">
        <v>0</v>
      </c>
      <c r="CG436" s="72">
        <v>0</v>
      </c>
      <c r="CH436" s="72">
        <v>0</v>
      </c>
      <c r="CI436" s="72">
        <v>0</v>
      </c>
      <c r="CJ436" s="72">
        <v>0</v>
      </c>
      <c r="CK436" s="72">
        <v>0</v>
      </c>
      <c r="CL436" s="72">
        <v>0</v>
      </c>
      <c r="CM436" s="72">
        <v>0</v>
      </c>
      <c r="CN436" s="72">
        <v>0</v>
      </c>
      <c r="CO436" s="72">
        <v>0</v>
      </c>
      <c r="CP436" s="72">
        <v>0</v>
      </c>
      <c r="CQ436" s="72">
        <v>0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  <c r="DK436" s="72">
        <v>0</v>
      </c>
      <c r="DL436" s="72">
        <v>0</v>
      </c>
    </row>
    <row r="437" spans="1:116" x14ac:dyDescent="0.35">
      <c r="A437" s="7"/>
      <c r="B437" s="8" t="s">
        <v>740</v>
      </c>
      <c r="C437" s="9" t="s">
        <v>741</v>
      </c>
      <c r="D437" s="10" t="s">
        <v>742</v>
      </c>
      <c r="E437" s="8" t="s">
        <v>1205</v>
      </c>
      <c r="F437" s="10">
        <v>1005</v>
      </c>
      <c r="G437" s="10" t="s">
        <v>40</v>
      </c>
      <c r="H437" s="10" t="s">
        <v>41</v>
      </c>
      <c r="I437" s="11">
        <v>2</v>
      </c>
      <c r="J437" s="10"/>
      <c r="K437" s="10" t="s">
        <v>566</v>
      </c>
      <c r="L437" s="8"/>
      <c r="M437" s="12"/>
      <c r="N437" s="12">
        <f t="shared" si="9"/>
        <v>0</v>
      </c>
      <c r="O437" s="11">
        <v>2</v>
      </c>
      <c r="P437" s="11">
        <v>2</v>
      </c>
      <c r="Q437" s="11">
        <v>2</v>
      </c>
      <c r="R437" s="11">
        <v>2</v>
      </c>
      <c r="S437" s="11">
        <v>2</v>
      </c>
      <c r="T437" s="11">
        <v>2</v>
      </c>
      <c r="U437" s="11">
        <v>2</v>
      </c>
      <c r="V437" s="11">
        <v>2</v>
      </c>
      <c r="W437" s="11">
        <v>2</v>
      </c>
      <c r="X437" s="11">
        <v>2</v>
      </c>
      <c r="Y437" s="11">
        <v>2</v>
      </c>
      <c r="Z437" s="11">
        <v>2</v>
      </c>
      <c r="AA437" s="11">
        <v>2</v>
      </c>
      <c r="AB437" s="11">
        <v>2</v>
      </c>
      <c r="AC437" s="11">
        <v>2</v>
      </c>
      <c r="AD437" s="11">
        <v>2</v>
      </c>
      <c r="AE437" s="11">
        <v>2</v>
      </c>
      <c r="AF437" s="11">
        <v>2</v>
      </c>
      <c r="AG437" s="11">
        <v>2</v>
      </c>
      <c r="AH437" s="11">
        <v>2</v>
      </c>
      <c r="AI437" s="11">
        <v>2</v>
      </c>
      <c r="AJ437" s="11">
        <v>2</v>
      </c>
      <c r="AK437" s="11">
        <v>2</v>
      </c>
      <c r="AL437" s="11">
        <v>2</v>
      </c>
      <c r="AM437" s="11">
        <v>2</v>
      </c>
      <c r="AN437" s="72">
        <v>2</v>
      </c>
      <c r="AO437" s="72">
        <v>2</v>
      </c>
      <c r="AP437" s="72">
        <v>2</v>
      </c>
      <c r="AQ437" s="72">
        <v>2</v>
      </c>
      <c r="AR437" s="72">
        <v>2</v>
      </c>
      <c r="AS437" s="72">
        <v>2</v>
      </c>
      <c r="AT437" s="72">
        <v>2</v>
      </c>
      <c r="AU437" s="72">
        <v>2</v>
      </c>
      <c r="AV437" s="72">
        <v>2</v>
      </c>
      <c r="AW437" s="72">
        <v>2</v>
      </c>
      <c r="AX437" s="72">
        <v>2</v>
      </c>
      <c r="AY437" s="72">
        <v>2</v>
      </c>
      <c r="AZ437" s="72">
        <v>2</v>
      </c>
      <c r="BA437" s="72">
        <v>2</v>
      </c>
      <c r="BB437" s="72">
        <v>2</v>
      </c>
      <c r="BC437" s="72">
        <v>2</v>
      </c>
      <c r="BD437" s="72">
        <v>2</v>
      </c>
      <c r="BE437" s="72">
        <v>2</v>
      </c>
      <c r="BF437" s="72">
        <v>2</v>
      </c>
      <c r="BG437" s="72">
        <v>2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2</v>
      </c>
      <c r="BN437" s="72">
        <v>2</v>
      </c>
      <c r="BO437" s="72">
        <v>2</v>
      </c>
      <c r="BP437" s="72">
        <v>2</v>
      </c>
      <c r="BQ437" s="72">
        <v>2</v>
      </c>
      <c r="BR437" s="72">
        <v>2</v>
      </c>
      <c r="BS437" s="72">
        <v>2</v>
      </c>
      <c r="BT437" s="72">
        <v>2</v>
      </c>
      <c r="BU437" s="72">
        <v>2</v>
      </c>
      <c r="BV437" s="72">
        <v>2</v>
      </c>
      <c r="BW437" s="72">
        <v>2</v>
      </c>
      <c r="BX437" s="72">
        <v>2</v>
      </c>
      <c r="BY437" s="72">
        <v>2</v>
      </c>
      <c r="BZ437" s="72">
        <v>2</v>
      </c>
      <c r="CA437" s="72">
        <v>2</v>
      </c>
      <c r="CB437" s="72">
        <v>2</v>
      </c>
      <c r="CC437" s="72">
        <v>2</v>
      </c>
      <c r="CD437" s="72">
        <v>2</v>
      </c>
      <c r="CE437" s="72">
        <v>2</v>
      </c>
      <c r="CF437" s="72">
        <v>2</v>
      </c>
      <c r="CG437" s="72">
        <v>2</v>
      </c>
      <c r="CH437" s="72">
        <v>2</v>
      </c>
      <c r="CI437" s="72">
        <v>2</v>
      </c>
      <c r="CJ437" s="72">
        <v>2</v>
      </c>
      <c r="CK437" s="72">
        <v>2</v>
      </c>
      <c r="CL437" s="72">
        <v>2</v>
      </c>
      <c r="CM437" s="72">
        <v>2</v>
      </c>
      <c r="CN437" s="72">
        <v>2</v>
      </c>
      <c r="CO437" s="72">
        <v>2</v>
      </c>
      <c r="CP437" s="72">
        <v>2</v>
      </c>
      <c r="CQ437" s="72">
        <v>2</v>
      </c>
      <c r="CR437" s="72">
        <v>2</v>
      </c>
      <c r="CS437" s="72">
        <v>2</v>
      </c>
      <c r="CT437" s="72">
        <v>2</v>
      </c>
      <c r="CU437" s="72">
        <v>2</v>
      </c>
      <c r="CV437" s="72">
        <v>2</v>
      </c>
      <c r="CW437" s="72">
        <v>2</v>
      </c>
      <c r="CX437" s="72">
        <v>2</v>
      </c>
      <c r="CY437" s="72">
        <v>2</v>
      </c>
      <c r="CZ437" s="72">
        <v>2</v>
      </c>
      <c r="DA437" s="72">
        <v>2</v>
      </c>
      <c r="DB437" s="72">
        <v>2</v>
      </c>
      <c r="DC437" s="72">
        <v>2</v>
      </c>
      <c r="DD437" s="72">
        <v>2</v>
      </c>
      <c r="DE437" s="72">
        <v>2</v>
      </c>
      <c r="DF437" s="72">
        <v>2</v>
      </c>
      <c r="DG437" s="72">
        <v>2</v>
      </c>
      <c r="DH437" s="72">
        <v>2</v>
      </c>
      <c r="DI437" s="72">
        <v>2</v>
      </c>
      <c r="DJ437" s="72">
        <v>2</v>
      </c>
      <c r="DK437" s="72">
        <v>2</v>
      </c>
      <c r="DL437" s="72">
        <v>2</v>
      </c>
    </row>
    <row r="438" spans="1:116" x14ac:dyDescent="0.35">
      <c r="A438" s="7"/>
      <c r="B438" s="8" t="s">
        <v>743</v>
      </c>
      <c r="C438" s="9" t="s">
        <v>744</v>
      </c>
      <c r="D438" s="10" t="s">
        <v>745</v>
      </c>
      <c r="E438" s="8" t="s">
        <v>1229</v>
      </c>
      <c r="F438" s="10"/>
      <c r="G438" s="10" t="s">
        <v>40</v>
      </c>
      <c r="H438" s="10" t="s">
        <v>41</v>
      </c>
      <c r="I438" s="11">
        <v>4</v>
      </c>
      <c r="J438" s="10">
        <v>2</v>
      </c>
      <c r="K438" s="10"/>
      <c r="L438" s="8" t="s">
        <v>746</v>
      </c>
      <c r="M438" s="12"/>
      <c r="N438" s="12">
        <f t="shared" si="9"/>
        <v>0</v>
      </c>
      <c r="O438" s="11"/>
      <c r="P438" s="11"/>
      <c r="Q438" s="11"/>
      <c r="R438" s="11"/>
      <c r="S438" s="11"/>
      <c r="T438" s="11"/>
      <c r="U438" s="11">
        <v>0</v>
      </c>
      <c r="V438" s="11"/>
      <c r="W438" s="11">
        <v>0</v>
      </c>
      <c r="X438" s="11"/>
      <c r="Y438" s="11"/>
      <c r="Z438" s="11">
        <v>0</v>
      </c>
      <c r="AA438" s="11"/>
      <c r="AB438" s="11">
        <v>0</v>
      </c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4</v>
      </c>
      <c r="AJ438" s="11">
        <v>4</v>
      </c>
      <c r="AK438" s="11">
        <v>4</v>
      </c>
      <c r="AL438" s="11">
        <v>4</v>
      </c>
      <c r="AM438" s="11">
        <v>4</v>
      </c>
      <c r="AN438" s="72">
        <v>4</v>
      </c>
      <c r="AO438" s="72">
        <v>4</v>
      </c>
      <c r="AP438" s="72">
        <v>4</v>
      </c>
      <c r="AQ438" s="72">
        <v>4</v>
      </c>
      <c r="AR438" s="72">
        <v>4</v>
      </c>
      <c r="AS438" s="72">
        <v>4</v>
      </c>
      <c r="AT438" s="72">
        <v>4</v>
      </c>
      <c r="AU438" s="72">
        <v>4</v>
      </c>
      <c r="AV438" s="72">
        <v>4</v>
      </c>
      <c r="AW438" s="72">
        <v>4</v>
      </c>
      <c r="AX438" s="72">
        <v>4</v>
      </c>
      <c r="AY438" s="72">
        <v>4</v>
      </c>
      <c r="AZ438" s="72">
        <v>4</v>
      </c>
      <c r="BA438" s="72">
        <v>4</v>
      </c>
      <c r="BB438" s="72">
        <v>4</v>
      </c>
      <c r="BC438" s="72">
        <v>4</v>
      </c>
      <c r="BD438" s="72">
        <v>4</v>
      </c>
      <c r="BE438" s="72">
        <v>4</v>
      </c>
      <c r="BF438" s="72">
        <v>4</v>
      </c>
      <c r="BG438" s="72">
        <v>4</v>
      </c>
      <c r="BH438" s="72">
        <v>4</v>
      </c>
      <c r="BI438" s="72">
        <v>4</v>
      </c>
      <c r="BJ438" s="72">
        <v>4</v>
      </c>
      <c r="BK438" s="72">
        <v>0</v>
      </c>
      <c r="BL438" s="72">
        <v>0</v>
      </c>
      <c r="BM438" s="72">
        <v>0</v>
      </c>
      <c r="BN438" s="72">
        <v>0</v>
      </c>
      <c r="BO438" s="72">
        <v>0</v>
      </c>
      <c r="BP438" s="72">
        <v>0</v>
      </c>
      <c r="BQ438" s="72">
        <v>0</v>
      </c>
      <c r="BR438" s="72">
        <v>0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  <c r="DK438" s="72">
        <v>0</v>
      </c>
      <c r="DL438" s="72">
        <v>0</v>
      </c>
    </row>
    <row r="439" spans="1:116" x14ac:dyDescent="0.35">
      <c r="A439" s="7"/>
      <c r="B439" s="8" t="s">
        <v>747</v>
      </c>
      <c r="C439" s="35" t="s">
        <v>1159</v>
      </c>
      <c r="D439" s="10" t="s">
        <v>748</v>
      </c>
      <c r="E439" s="8" t="s">
        <v>1229</v>
      </c>
      <c r="F439" s="10"/>
      <c r="G439" s="10" t="s">
        <v>40</v>
      </c>
      <c r="H439" s="10" t="s">
        <v>41</v>
      </c>
      <c r="I439" s="11">
        <v>2</v>
      </c>
      <c r="J439" s="10"/>
      <c r="K439" s="10" t="s">
        <v>550</v>
      </c>
      <c r="L439" s="8"/>
      <c r="M439" s="12"/>
      <c r="N439" s="12">
        <f t="shared" si="9"/>
        <v>0</v>
      </c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>
        <v>3</v>
      </c>
      <c r="AA439" s="11"/>
      <c r="AB439" s="11"/>
      <c r="AC439" s="11">
        <v>0</v>
      </c>
      <c r="AD439" s="11">
        <v>0</v>
      </c>
      <c r="AE439" s="11">
        <v>0</v>
      </c>
      <c r="AF439" s="11">
        <v>0</v>
      </c>
      <c r="AG439" s="11">
        <v>0</v>
      </c>
      <c r="AH439" s="11">
        <v>0</v>
      </c>
      <c r="AI439" s="11">
        <v>2</v>
      </c>
      <c r="AJ439" s="11">
        <v>2</v>
      </c>
      <c r="AK439" s="11">
        <v>2</v>
      </c>
      <c r="AL439" s="11">
        <v>1</v>
      </c>
      <c r="AM439" s="11">
        <v>1</v>
      </c>
      <c r="AN439" s="72">
        <v>1</v>
      </c>
      <c r="AO439" s="72">
        <v>1</v>
      </c>
      <c r="AP439" s="72">
        <v>1</v>
      </c>
      <c r="AQ439" s="72">
        <v>1</v>
      </c>
      <c r="AR439" s="72">
        <v>1</v>
      </c>
      <c r="AS439" s="72">
        <v>1</v>
      </c>
      <c r="AT439" s="72">
        <v>1</v>
      </c>
      <c r="AU439" s="72">
        <v>1</v>
      </c>
      <c r="AV439" s="72">
        <v>1</v>
      </c>
      <c r="AW439" s="72">
        <v>1</v>
      </c>
      <c r="AX439" s="72">
        <v>1</v>
      </c>
      <c r="AY439" s="72">
        <v>1</v>
      </c>
      <c r="AZ439" s="72">
        <v>1</v>
      </c>
      <c r="BA439" s="72">
        <v>1</v>
      </c>
      <c r="BB439" s="72">
        <v>1</v>
      </c>
      <c r="BC439" s="72">
        <v>1</v>
      </c>
      <c r="BD439" s="72">
        <v>1</v>
      </c>
      <c r="BE439" s="72">
        <v>1</v>
      </c>
      <c r="BF439" s="72">
        <v>1</v>
      </c>
      <c r="BG439" s="72">
        <v>1</v>
      </c>
      <c r="BH439" s="72">
        <v>1</v>
      </c>
      <c r="BI439" s="72">
        <v>1</v>
      </c>
      <c r="BJ439" s="72">
        <v>1</v>
      </c>
      <c r="BK439" s="72">
        <v>1</v>
      </c>
      <c r="BL439" s="72">
        <v>1</v>
      </c>
      <c r="BM439" s="72">
        <v>1</v>
      </c>
      <c r="BN439" s="72">
        <v>1</v>
      </c>
      <c r="BO439" s="72">
        <v>1</v>
      </c>
      <c r="BP439" s="72">
        <v>1</v>
      </c>
      <c r="BQ439" s="72">
        <v>1</v>
      </c>
      <c r="BR439" s="72">
        <v>1</v>
      </c>
      <c r="BS439" s="72">
        <v>0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3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Stok!I284:AP284</xm:f>
              <xm:sqref>A283</xm:sqref>
            </x14:sparkline>
            <x14:sparkline>
              <xm:f>Stok!I286:AP286</xm:f>
              <xm:sqref>A284</xm:sqref>
            </x14:sparkline>
            <x14:sparkline>
              <xm:f>Stok!I287:AP287</xm:f>
              <xm:sqref>A285</xm:sqref>
            </x14:sparkline>
            <x14:sparkline>
              <xm:f>Stok!I287:AP287</xm:f>
              <xm:sqref>A286</xm:sqref>
            </x14:sparkline>
            <x14:sparkline>
              <xm:f>Stok!I289:AP289</xm:f>
              <xm:sqref>A287</xm:sqref>
            </x14:sparkline>
            <x14:sparkline>
              <xm:f>Stok!I290:AP290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Stok!I292:AP292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Stok!I298:AP298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Stok!I300:AP300</xm:f>
              <xm:sqref>A299</xm:sqref>
            </x14:sparkline>
            <x14:sparkline>
              <xm:sqref>A300</xm:sqref>
            </x14:sparkline>
            <x14:sparkline>
              <xm:f>Stok!I303:AP303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Stok!I307:AP307</xm:f>
              <xm:sqref>A305</xm:sqref>
            </x14:sparkline>
            <x14:sparkline>
              <xm:f>Stok!I308:AP308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f>Stok!I314:AP314</xm:f>
              <xm:sqref>A313</xm:sqref>
            </x14:sparkline>
            <x14:sparkline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Stok!I330:AP330</xm:f>
              <xm:sqref>A324</xm:sqref>
            </x14:sparkline>
            <x14:sparkline>
              <xm:f>Stok!I331:AP331</xm:f>
              <xm:sqref>A325</xm:sqref>
            </x14:sparkline>
            <x14:sparkline>
              <xm:f>Stok!I331:AP331</xm:f>
              <xm:sqref>A326</xm:sqref>
            </x14:sparkline>
            <x14:sparkline>
              <xm:f>Stok!I331:AP331</xm:f>
              <xm:sqref>A327</xm:sqref>
            </x14:sparkline>
            <x14:sparkline>
              <xm:f>Stok!I331:AP331</xm:f>
              <xm:sqref>A328</xm:sqref>
            </x14:sparkline>
            <x14:sparkline>
              <xm:f>Stok!I331:AP331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Stok!I337:AP337</xm:f>
              <xm:sqref>A334</xm:sqref>
            </x14:sparkline>
            <x14:sparkline>
              <xm:f>Stok!I338:AP338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Stok!I346:AP346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Stok!I350:AP350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Stok!I354:AP354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Stok!I359:AP359</xm:f>
              <xm:sqref>A358</xm:sqref>
            </x14:sparkline>
            <x14:sparkline>
              <xm:f>Stok!I361:AP361</xm:f>
              <xm:sqref>A359</xm:sqref>
            </x14:sparkline>
            <x14:sparkline>
              <xm:f>Stok!I362:AP362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Stok!I371:AP371</xm:f>
              <xm:sqref>A369</xm:sqref>
            </x14:sparkline>
            <x14:sparkline>
              <xm:f>Stok!I373:AP373</xm:f>
              <xm:sqref>A370</xm:sqref>
            </x14:sparkline>
            <x14:sparkline>
              <xm:f>Stok!I373:AP373</xm:f>
              <xm:sqref>A371</xm:sqref>
            </x14:sparkline>
            <x14:sparkline>
              <xm:f>Stok!I374:AP374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Stok!I380:AP380</xm:f>
              <xm:sqref>A379</xm:sqref>
            </x14:sparkline>
            <x14:sparkline>
              <xm:f>Stok!I382:AP382</xm:f>
              <xm:sqref>A380</xm:sqref>
            </x14:sparkline>
            <x14:sparkline>
              <xm:f>Stok!I384:AP384</xm:f>
              <xm:sqref>A381</xm:sqref>
            </x14:sparkline>
            <x14:sparkline>
              <xm:sqref>A382</xm:sqref>
            </x14:sparkline>
            <x14:sparkline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Stok!I389:AP389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Stok!I399:AP399</xm:f>
              <xm:sqref>A396</xm:sqref>
            </x14:sparkline>
            <x14:sparkline>
              <xm:f>Stok!I400:AP400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Stok!I417:AP417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Stok!I422:AP422</xm:f>
              <xm:sqref>A419</xm:sqref>
            </x14:sparkline>
            <x14:sparkline>
              <xm:f>Stok!I424:AP424</xm:f>
              <xm:sqref>A420</xm:sqref>
            </x14:sparkline>
            <x14:sparkline>
              <xm:f>Stok!I425:AP425</xm:f>
              <xm:sqref>A421</xm:sqref>
            </x14:sparkline>
            <x14:sparkline>
              <xm:f>Stok!I425:AP425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Stok!I435:AP435</xm:f>
              <xm:sqref>A432</xm:sqref>
            </x14:sparkline>
            <x14:sparkline>
              <xm:f>Stok!I437:AP437</xm:f>
              <xm:sqref>A433</xm:sqref>
            </x14:sparkline>
            <x14:sparkline>
              <xm:f>Stok!I438:AP438</xm:f>
              <xm:sqref>A434</xm:sqref>
            </x14:sparkline>
            <x14:sparkline>
              <xm:f>Stok!I438:AP438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sqref>A438</xm:sqref>
            </x14:sparkline>
            <x14:sparkline>
              <xm:sqref>A439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2026-08-10T12:54:39Z</dcterms:modified>
</cp:coreProperties>
</file>