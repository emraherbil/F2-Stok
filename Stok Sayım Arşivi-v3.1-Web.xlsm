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135C8A18-0FAD-4757-84BA-26A765E6A925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DO346" i="2" l="1"/>
  <c r="DO142" i="2"/>
  <c r="L7" i="6" l="1"/>
  <c r="L8" i="6"/>
  <c r="DN346" i="2"/>
  <c r="DN142" i="2"/>
  <c r="L9" i="6" l="1"/>
  <c r="DM346" i="2" l="1"/>
  <c r="DM142" i="2"/>
  <c r="L10" i="6" l="1"/>
  <c r="DL346" i="2"/>
  <c r="DL142" i="2"/>
  <c r="DK346" i="2"/>
  <c r="DK142" i="2"/>
  <c r="L11" i="6" l="1"/>
  <c r="DJ346" i="2"/>
  <c r="DJ142" i="2"/>
  <c r="L12" i="6" l="1"/>
  <c r="DI346" i="2"/>
  <c r="DI142" i="2"/>
  <c r="L13" i="6" l="1"/>
  <c r="L14" i="6"/>
  <c r="DH346" i="2" l="1"/>
  <c r="DH142" i="2"/>
  <c r="DG346" i="2"/>
  <c r="DG142" i="2"/>
  <c r="L15" i="6" l="1"/>
  <c r="DF346" i="2"/>
  <c r="DF142" i="2"/>
  <c r="L16" i="6" l="1"/>
  <c r="L17" i="6"/>
  <c r="DE346" i="2"/>
  <c r="DE142" i="2"/>
  <c r="L18" i="6" l="1"/>
  <c r="DD346" i="2"/>
  <c r="DD142" i="2"/>
  <c r="L19" i="6"/>
  <c r="DC142" i="2" l="1"/>
  <c r="DB142" i="2"/>
  <c r="L20" i="6" l="1"/>
  <c r="L21" i="6"/>
  <c r="DA142" i="2"/>
  <c r="L22" i="6" l="1"/>
  <c r="CZ142" i="2"/>
  <c r="L23" i="6" l="1"/>
  <c r="L24" i="6"/>
  <c r="L25" i="6" l="1"/>
  <c r="L26" i="6" l="1"/>
  <c r="L27" i="6" l="1"/>
  <c r="L28" i="6" l="1"/>
  <c r="L29" i="6"/>
  <c r="L30" i="6" l="1"/>
  <c r="L31" i="6" l="1"/>
  <c r="L32" i="6"/>
  <c r="L33" i="6" l="1"/>
  <c r="L34" i="6" l="1"/>
  <c r="L35" i="6" l="1"/>
  <c r="L36" i="6"/>
  <c r="L37" i="6" l="1"/>
  <c r="L38" i="6"/>
  <c r="L39" i="6" l="1"/>
  <c r="L40" i="6" l="1"/>
  <c r="L41" i="6"/>
  <c r="L42" i="6" l="1"/>
  <c r="L43" i="6" l="1"/>
  <c r="L44" i="6" l="1"/>
  <c r="L45" i="6" l="1"/>
  <c r="L46" i="6"/>
  <c r="L47" i="6" l="1"/>
  <c r="L48" i="6" l="1"/>
  <c r="L49" i="6" l="1"/>
  <c r="L50" i="6" l="1"/>
  <c r="L51" i="6" l="1"/>
  <c r="L52" i="6" l="1"/>
  <c r="L53" i="6" l="1"/>
  <c r="BU144" i="2"/>
  <c r="L54" i="6" l="1"/>
  <c r="L55" i="6" l="1"/>
  <c r="BS191" i="2" l="1"/>
  <c r="L56" i="6" l="1"/>
  <c r="L57" i="6" l="1"/>
  <c r="L58" i="6" l="1"/>
  <c r="L59" i="6"/>
  <c r="L60" i="6"/>
  <c r="L61" i="6" l="1"/>
  <c r="L62" i="6"/>
  <c r="L63" i="6" l="1"/>
  <c r="L64" i="6"/>
  <c r="L109" i="6" l="1"/>
  <c r="L65" i="6" l="1"/>
  <c r="L66" i="6" l="1"/>
  <c r="L67" i="6" l="1"/>
  <c r="L68" i="6" l="1"/>
  <c r="L69" i="6" l="1"/>
  <c r="L70" i="6"/>
  <c r="L71" i="6" l="1"/>
  <c r="L72" i="6"/>
  <c r="L73" i="6" l="1"/>
  <c r="G2" i="6" l="1"/>
  <c r="L74" i="6" l="1"/>
  <c r="L75" i="6" l="1"/>
  <c r="L76" i="6" l="1"/>
  <c r="L77" i="6" l="1"/>
  <c r="L78" i="6" l="1"/>
  <c r="L112" i="6" l="1"/>
  <c r="L111" i="6"/>
  <c r="L110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0" i="6"/>
  <c r="L79" i="6"/>
  <c r="L81" i="6"/>
  <c r="L82" i="6" l="1"/>
  <c r="L83" i="6" l="1"/>
  <c r="L84" i="6" l="1"/>
  <c r="L37" i="3" l="1"/>
</calcChain>
</file>

<file path=xl/sharedStrings.xml><?xml version="1.0" encoding="utf-8"?>
<sst xmlns="http://schemas.openxmlformats.org/spreadsheetml/2006/main" count="4717" uniqueCount="1586">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</sst>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Dashboard!$L$6:$L$112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2.733547569442" createdVersion="8" refreshedVersion="8" minRefreshableVersion="3" recordCount="448" xr:uid="{C0E1110C-5E4F-4E2D-9A77-AE6F30D56943}">
  <cacheSource type="worksheet">
    <worksheetSource ref="A1:DP449" sheet="Stok"/>
  </cacheSource>
  <cacheFields count="120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0307102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Secure Mounting Bracket for R-series"/>
    <x v="33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DDEBD-16B9-4462-8D1A-27B6F93F2A89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92" firstHeaderRow="0" firstDataRow="1" firstDataCol="1"/>
  <pivotFields count="120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7.09.2026" fld="119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4"/>
          </reference>
        </references>
      </pivotArea>
    </format>
    <format dxfId="111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030710275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030710275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2" totalsRowShown="0" headerRowDxfId="99" dataDxfId="97" headerRowBorderDxfId="98" tableBorderDxfId="96" totalsRowBorderDxfId="95">
  <autoFilter ref="K5:L112" xr:uid="{E5E02A0B-EBAC-497B-8F95-E1A614B153BB}">
    <filterColumn colId="0" hiddenButton="1"/>
    <filterColumn colId="1" hiddenButton="1"/>
  </autoFilter>
  <sortState xmlns:xlrd2="http://schemas.microsoft.com/office/spreadsheetml/2017/richdata2" ref="K6:L112">
    <sortCondition descending="1" ref="K84:K112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7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1585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46272</v>
      </c>
      <c r="L6" s="59" t="str">
        <f>IFERROR(VLOOKUP($A$2,Stok!$B$1:$DP$449,119,0),"")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46265</v>
      </c>
      <c r="L7" s="59" t="str">
        <f>IFERROR(VLOOKUP($A$2,Stok!$B$1:$DO$447,118,0),"")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46258</v>
      </c>
      <c r="L8" s="59" t="str">
        <f>IFERROR(VLOOKUP($A$2,Stok!$B$1:$DN$449,117,0),"")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46251</v>
      </c>
      <c r="L9" s="59" t="str">
        <f>IFERROR(VLOOKUP($A$2,Stok!$B$1:$DM$449,116,0),"")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46244</v>
      </c>
      <c r="L10" s="59" t="str">
        <f>IFERROR(VLOOKUP($A$2,Stok!$B$1:$DL$449,115,0),"")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46237</v>
      </c>
      <c r="L11" s="59" t="str">
        <f>IFERROR(VLOOKUP($A$2,Stok!$B$1:$DK$449,114,0),"")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46223</v>
      </c>
      <c r="L12" s="59" t="str">
        <f>IFERROR(VLOOKUP($A$2,Stok!$B$1:$DJ$449,113,0),"")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46216</v>
      </c>
      <c r="L13" s="59" t="str">
        <f>IFERROR(VLOOKUP($A$2,Stok!$B$1:$DI$449,112,0),"")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46209</v>
      </c>
      <c r="L14" s="59" t="str">
        <f>IFERROR(VLOOKUP($A$2,Stok!$B$1:$DH$449,111,0),"")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46202</v>
      </c>
      <c r="L15" s="59" t="str">
        <f>IFERROR(VLOOKUP($A$2,Stok!$B$1:$DG$449,110,0),"")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46195</v>
      </c>
      <c r="L16" s="59" t="str">
        <f>IFERROR(VLOOKUP($A$2,Stok!$B$1:$DF$449,109,0),"")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46188</v>
      </c>
      <c r="L17" s="59" t="str">
        <f>IFERROR(VLOOKUP($A$2,Stok!$B$1:$DE$449,108,0),"")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46181</v>
      </c>
      <c r="L18" s="59" t="str">
        <f>IFERROR(VLOOKUP($A$2,Stok!$B$1:$DD$449,107,0),"")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46174</v>
      </c>
      <c r="L19" s="59" t="str">
        <f>IFERROR(VLOOKUP($A$2,Stok!$B$1:$DC$449,106,0),"")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46160</v>
      </c>
      <c r="L20" s="59" t="str">
        <f>IFERROR(VLOOKUP($A$2,Stok!$B$1:$DB$449,105,0),"")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46153</v>
      </c>
      <c r="L21" s="59" t="str">
        <f>IFERROR(VLOOKUP($A$2,Stok!$B$1:$DA$449,104,0),"")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46146</v>
      </c>
      <c r="L22" s="59" t="str">
        <f>IFERROR(VLOOKUP($A$2,Stok!$B$1:$CZ$449,103,0),"")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46139</v>
      </c>
      <c r="L23" s="59" t="str">
        <f>IFERROR(VLOOKUP($A$2,Stok!$B$1:$CY$449,102,0),"")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46132</v>
      </c>
      <c r="L24" s="59" t="str">
        <f>IFERROR(VLOOKUP($A$2,Stok!$B$1:$CX$449,101,0),"")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46125</v>
      </c>
      <c r="L25" s="59" t="str">
        <f>IFERROR(VLOOKUP($A$2,Stok!$B$1:$CW$449,100,0),"")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46118</v>
      </c>
      <c r="L26" s="59" t="str">
        <f>IFERROR(VLOOKUP($A$2,Stok!$B$1:$CV$449,99,0),"")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46111</v>
      </c>
      <c r="L27" s="59" t="str">
        <f>IFERROR(VLOOKUP($A$2,Stok!$B$1:$CU$449,98,0),"")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46104</v>
      </c>
      <c r="L28" s="59" t="str">
        <f>IFERROR(VLOOKUP($A$2,Stok!$B$1:$CT$449,97,0),"")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46097</v>
      </c>
      <c r="L29" s="59" t="str">
        <f>IFERROR(VLOOKUP($A$2,Stok!$B$1:$CS$449,96,0),"")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46090</v>
      </c>
      <c r="L30" s="59" t="str">
        <f>IFERROR(VLOOKUP($A$2,Stok!$B$1:$CR$449,95,0),"")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46083</v>
      </c>
      <c r="L31" s="59" t="str">
        <f>IFERROR(VLOOKUP($A$2,Stok!$B$1:$CQ$449,94,0),"")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46076</v>
      </c>
      <c r="L32" s="59" t="str">
        <f>IFERROR(VLOOKUP($A$2,Stok!$B$1:$CP$449,93,0),"")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46069</v>
      </c>
      <c r="L33" s="59" t="str">
        <f>IFERROR(VLOOKUP($A$2,Stok!$B$1:$CO$449,92,0),"")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46062</v>
      </c>
      <c r="L34" s="59" t="str">
        <f>IFERROR(VLOOKUP($A$2,Stok!$B$1:$CN$449,91,0),"")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46055</v>
      </c>
      <c r="L35" s="59" t="str">
        <f>IFERROR(VLOOKUP($A$2,Stok!$B$1:$CM$449,90,0),"")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46048</v>
      </c>
      <c r="L36" s="59" t="str">
        <f>IFERROR(VLOOKUP($A$2,Stok!$B$1:$CL$449,89,0),"")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46041</v>
      </c>
      <c r="L37" s="59" t="str">
        <f>IFERROR(VLOOKUP($A$2,Stok!$B$1:$CK$449,88,0),"")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46034</v>
      </c>
      <c r="L38" s="59" t="str">
        <f>IFERROR(VLOOKUP($A$2,Stok!$B$1:$CJ$449,87,0),"")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46027</v>
      </c>
      <c r="L39" s="59" t="str">
        <f>IFERROR(VLOOKUP($A$2,Stok!$B$1:$CI$449,86,0),"")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46020</v>
      </c>
      <c r="L40" s="59" t="str">
        <f>IFERROR(VLOOKUP($A$2,Stok!$B$1:$CH$449,85,0),"")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46013</v>
      </c>
      <c r="L41" s="59" t="str">
        <f>IFERROR(VLOOKUP($A$2,Stok!$B$1:$CG$449,84,0),"")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46006</v>
      </c>
      <c r="L42" s="59" t="str">
        <f>IFERROR(VLOOKUP($A$2,Stok!$B$1:$CF$449,83,0),"")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45999</v>
      </c>
      <c r="L43" s="59" t="str">
        <f>IFERROR(VLOOKUP($A$2,Stok!$B$1:$CE$449,82,0),"")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45992</v>
      </c>
      <c r="L44" s="59" t="str">
        <f>IFERROR(VLOOKUP($A$2,Stok!$B$1:$CD$449,81,0),"")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45985</v>
      </c>
      <c r="L45" s="59" t="str">
        <f>IFERROR(VLOOKUP($A$2,Stok!$B$1:$CC$449,80,0),"")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45978</v>
      </c>
      <c r="L46" s="59" t="str">
        <f>IFERROR(VLOOKUP($A$2,Stok!$B$1:$CB$449,79,0),"")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45971</v>
      </c>
      <c r="L47" s="59" t="str">
        <f>IFERROR(VLOOKUP($A$2,Stok!$B$1:$CA$449,78,0),"")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45964</v>
      </c>
      <c r="L48" s="59" t="str">
        <f>IFERROR(VLOOKUP($A$2,Stok!$B$1:$BZ$449,77,0),"")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45950</v>
      </c>
      <c r="L49" s="59" t="str">
        <f>IFERROR(VLOOKUP($A$2,Stok!$B$1:$BY$449,76,0),"")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45943</v>
      </c>
      <c r="L50" s="59" t="str">
        <f>IFERROR(VLOOKUP($A$2,Stok!$B$1:$BX$449,75,0),"")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45936</v>
      </c>
      <c r="L51" s="59" t="str">
        <f>IFERROR(VLOOKUP($A$2,Stok!$B$1:$BW$449,74,0),"")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45929</v>
      </c>
      <c r="L52" s="59" t="str">
        <f>IFERROR(VLOOKUP($A$2,Stok!$B$1:$BV$449,73,0),"")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45919</v>
      </c>
      <c r="L53" s="59" t="str">
        <f>IFERROR(VLOOKUP($A$2,Stok!$B$1:$BU$449,72,0),"")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45908</v>
      </c>
      <c r="L54" s="59" t="str">
        <f>IFERROR(VLOOKUP($A$2,Stok!$B$1:$BT$449,71,0),"")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45896</v>
      </c>
      <c r="L55" s="59" t="str">
        <f>IFERROR(VLOOKUP($A$2,Stok!$B$1:$BS$449,70,0),"")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45866</v>
      </c>
      <c r="L56" s="59" t="str">
        <f>IFERROR(VLOOKUP($A$2,Stok!$B$1:$BR$449,69,0),"")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45840</v>
      </c>
      <c r="L57" s="59" t="str">
        <f>IFERROR(VLOOKUP($A$2,Stok!$B$1:$BQ$449,68,0),"")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45824</v>
      </c>
      <c r="L58" s="59" t="str">
        <f>IFERROR(VLOOKUP($A$2,Stok!$B$1:$BP$449,67,0),"")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45805</v>
      </c>
      <c r="L59" s="59" t="str">
        <f>IFERROR(VLOOKUP($A$2,Stok!$B$1:$BO$449,66,0),"")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45797</v>
      </c>
      <c r="L60" s="59" t="str">
        <f>IFERROR(VLOOKUP($A$2,Stok!$B$1:$BN$449,65,0),"")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45783</v>
      </c>
      <c r="L61" s="59" t="str">
        <f>IFERROR(VLOOKUP($A$2,Stok!$B$1:$BM$449,64,0),"")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45769</v>
      </c>
      <c r="L62" s="59" t="str">
        <f>IFERROR(VLOOKUP($A$2,Stok!$B$1:$BL$449,63,0),"")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45762</v>
      </c>
      <c r="L63" s="59" t="str">
        <f>IFERROR(VLOOKUP($A$2,Stok!$B$1:$BK$449,62,0),"")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45750</v>
      </c>
      <c r="L64" s="59" t="str">
        <f>IFERROR(VLOOKUP($A$2,Stok!$B$1:$BJ$449,61,0),"")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45741</v>
      </c>
      <c r="L65" s="59" t="str">
        <f>IFERROR(VLOOKUP($A$2,Stok!$B$1:$BI$449,60,0),"")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45736</v>
      </c>
      <c r="L66" s="59" t="str">
        <f>IFERROR(VLOOKUP($A$2,Stok!$B$1:$BH$449,59,0),"")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45726</v>
      </c>
      <c r="L67" s="59" t="str">
        <f>IFERROR(VLOOKUP($A$2,Stok!$B$1:$BG$449,58,0),"")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45723</v>
      </c>
      <c r="L68" s="59" t="str">
        <f>IFERROR(VLOOKUP($A$2,Stok!$B$1:$BF$449,57,0),"")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45716</v>
      </c>
      <c r="L69" s="59" t="str">
        <f>IFERROR(VLOOKUP($A$2,Stok!$B$1:$BE$449,56,0),"")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45712</v>
      </c>
      <c r="L70" s="59" t="str">
        <f>IFERROR(VLOOKUP($A$2,Stok!$B$1:$BD$449,55,0),"")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45705</v>
      </c>
      <c r="L71" s="59" t="str">
        <f>IFERROR(VLOOKUP($A$2,Stok!$B$1:$BC$449,54,0),"")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45702</v>
      </c>
      <c r="L72" s="59" t="str">
        <f>IFERROR(VLOOKUP($A$2,Stok!$B$1:$BB$449,53,0),"")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45698</v>
      </c>
      <c r="L73" s="59" t="str">
        <f>IFERROR(VLOOKUP($A$2,Stok!$B$1:$BA$449,52,0),"")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45691</v>
      </c>
      <c r="L74" s="59" t="str">
        <f>IFERROR(VLOOKUP($A$2,Stok!$B$1:$AZ$449,51,0),"")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45684</v>
      </c>
      <c r="L75" s="59" t="str">
        <f>IFERROR(VLOOKUP($A$2,Stok!$B$1:$AY$449,50,0),"")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45677</v>
      </c>
      <c r="L76" s="59" t="str">
        <f>IFERROR(VLOOKUP($A$2,Stok!$B$1:$AX$449,49,0),"")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45672</v>
      </c>
      <c r="L77" s="59" t="str">
        <f>IFERROR(VLOOKUP($A$2,Stok!$B$1:$AW$449,48,0),"")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45656</v>
      </c>
      <c r="L78" s="59" t="str">
        <f>IFERROR(VLOOKUP($A$2,Stok!$B$1:$AV$449,47,0),"")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45649</v>
      </c>
      <c r="L79" s="59" t="str">
        <f>IFERROR(VLOOKUP($A$2,Stok!$B$1:$AU$449,46,0),"")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45642</v>
      </c>
      <c r="L80" s="59" t="str">
        <f>IFERROR(VLOOKUP($A$2,Stok!$B$1:$AT$449,45,0),"")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45635</v>
      </c>
      <c r="L81" s="59" t="str">
        <f>IFERROR(VLOOKUP($A$2,Stok!$B$1:$AS$449,44,0),"")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45630</v>
      </c>
      <c r="L82" s="59" t="str">
        <f>IFERROR(VLOOKUP($A$2,Stok!$B$1:$AR$449,43,0),"")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45614</v>
      </c>
      <c r="L83" s="59" t="str">
        <f>IFERROR(VLOOKUP($A$2,Stok!$B$1:$AQ$449,42,0),"")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45608</v>
      </c>
      <c r="L84" s="59" t="str">
        <f>IFERROR(VLOOKUP($A$2,Stok!$B$1:$AP$449,41,0),"")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45596</v>
      </c>
      <c r="L85" s="59" t="str">
        <f>IFERROR(VLOOKUP($A$2,Stok!$B$1:$AO$449,40,0),"")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45580</v>
      </c>
      <c r="L86" s="59" t="str">
        <f>IFERROR(VLOOKUP($A$2,Stok!$B$1:$AN$449,39,0),"")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45570</v>
      </c>
      <c r="L87" s="59" t="str">
        <f>IFERROR(VLOOKUP($A$2,Stok!$B$1:$AM$449,38,0),"")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45563</v>
      </c>
      <c r="L88" s="59" t="str">
        <f>IFERROR(VLOOKUP($A$2,Stok!$B$1:$AL$449,37,0),"")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45552</v>
      </c>
      <c r="L89" s="59" t="str">
        <f>IFERROR(VLOOKUP($A$2,Stok!$B$1:$AK$449,36,0),"")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45539</v>
      </c>
      <c r="L90" s="59" t="str">
        <f>IFERROR(VLOOKUP($A$2,Stok!$B$1:$AJ$449,35,0),"")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45524</v>
      </c>
      <c r="L91" s="59" t="str">
        <f>IFERROR(VLOOKUP($A$2,Stok!$B$1:$AI$449,34,0),"")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45511</v>
      </c>
      <c r="L92" s="59" t="str">
        <f>IFERROR(VLOOKUP($A$2,Stok!$B$1:$AH$449,33,0),"")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45500</v>
      </c>
      <c r="L93" s="59" t="str">
        <f>IFERROR(VLOOKUP($A$2,Stok!$B$1:$AG$449,32,0),"")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45490</v>
      </c>
      <c r="L94" s="59" t="str">
        <f>IFERROR(VLOOKUP($A$2,Stok!$B$1:$AF$449,31,0),"")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45478</v>
      </c>
      <c r="L95" s="59" t="str">
        <f>IFERROR(VLOOKUP($A$2,Stok!$B$1:$AE$449,30,0),"")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45467</v>
      </c>
      <c r="L96" s="59" t="str">
        <f>IFERROR(VLOOKUP($A$2,Stok!$B$1:$AD$449,29,0),"")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45455</v>
      </c>
      <c r="L97" s="59" t="str">
        <f>IFERROR(VLOOKUP($A$2,Stok!$B$1:$AC$449,28,0),"")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45442</v>
      </c>
      <c r="L98" s="59" t="str">
        <f>IFERROR(VLOOKUP($A$2,Stok!$B$1:$AB$449,27,0),"")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45427</v>
      </c>
      <c r="L99" s="59" t="str">
        <f>IFERROR(VLOOKUP($A$2,Stok!$B$1:$AA$449,25,0),"")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45427</v>
      </c>
      <c r="L100" s="59" t="str">
        <f>IFERROR(VLOOKUP($A$2,Stok!$B$1:$AA$449,26,0),"")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45411</v>
      </c>
      <c r="L101" s="59" t="str">
        <f>IFERROR(VLOOKUP($A$2,Stok!$B$1:$AA$449,24,0),"")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45397</v>
      </c>
      <c r="L102" s="59" t="str">
        <f>IFERROR(VLOOKUP($A$2,Stok!$B$1:$AA$449,23,0),"")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45376</v>
      </c>
      <c r="L103" s="59" t="str">
        <f>IFERROR(VLOOKUP($A$2,Stok!$B$1:$AA$449,22,0),"")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45364</v>
      </c>
      <c r="L104" s="59" t="str">
        <f>IFERROR(VLOOKUP($A$2,Stok!$B$1:$AA$449,21,0),"")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45352</v>
      </c>
      <c r="L105" s="59" t="str">
        <f>IFERROR(VLOOKUP($A$2,Stok!$B$1:$AA$449,20,0),"")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58">
        <v>45334</v>
      </c>
      <c r="L106" s="59" t="str">
        <f>IFERROR(VLOOKUP($A$2,Stok!$B$1:$AA$449,19,0),"")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58">
        <v>45320</v>
      </c>
      <c r="L107" s="59" t="str">
        <f>IFERROR(VLOOKUP($A$2,Stok!$B$1:$AA$449,18,0),"")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58">
        <v>45313</v>
      </c>
      <c r="L108" s="59" t="str">
        <f>IFERROR(VLOOKUP($A$2,Stok!$B$1:$AA$449,17,0),"")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60">
        <v>45293</v>
      </c>
      <c r="L109" s="59" t="str">
        <f>IFERROR(VLOOKUP($A$2,Stok!$B$1:$AA$449,16,0),"")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60">
        <v>45285</v>
      </c>
      <c r="L110" s="70" t="str">
        <f>IFERROR(VLOOKUP($A$2,Stok!$B$1:$AA$449,15,0),"")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58">
        <v>45275</v>
      </c>
      <c r="L111" s="70" t="str">
        <f>IFERROR(VLOOKUP($A$2,Stok!$B$1:$AA$449,14,0),"")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60">
        <v>45173</v>
      </c>
      <c r="L112" s="70" t="str">
        <f>IFERROR(VLOOKUP($A$2,Stok!$B$1:$AA$449,8,0),"")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1401.3609854400001</v>
      </c>
      <c r="H121" s="125">
        <v>59678.051625200023</v>
      </c>
      <c r="I121" s="133">
        <v>54399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3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3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3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3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3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3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3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3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3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3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33">
        <v>312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3">
        <v>8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3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33">
        <v>135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16.34</v>
      </c>
      <c r="H275" s="125">
        <v>7712.48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33">
        <v>5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33">
        <v>2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48124.484000000004</v>
      </c>
      <c r="H349" s="125">
        <v>183279.8</v>
      </c>
      <c r="I349" s="133">
        <v>630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28235.52</v>
      </c>
      <c r="I362" s="133">
        <v>72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>
        <v>16.45</v>
      </c>
      <c r="H371" s="125">
        <v>855.4</v>
      </c>
      <c r="I371" s="133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33">
        <v>257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0</v>
      </c>
      <c r="I377" s="133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10998</v>
      </c>
      <c r="I407" s="133">
        <v>6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237618.11</v>
      </c>
      <c r="I475" s="133">
        <v>1223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27147.96</v>
      </c>
      <c r="I476" s="133">
        <v>266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33">
        <v>6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33">
        <v>0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33">
        <v>0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33">
        <v>16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33">
        <v>8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33">
        <v>8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4" t="s">
        <v>1583</v>
      </c>
      <c r="G490" s="125">
        <v>22</v>
      </c>
      <c r="H490" s="125">
        <v>88</v>
      </c>
      <c r="I490" s="133">
        <v>4</v>
      </c>
      <c r="K490" s="53"/>
      <c r="L490" s="53"/>
    </row>
    <row r="491" spans="1:74" x14ac:dyDescent="0.35">
      <c r="F491" s="126" t="s">
        <v>1580</v>
      </c>
      <c r="G491" s="125">
        <v>22</v>
      </c>
      <c r="H491" s="125">
        <v>88</v>
      </c>
      <c r="I491" s="133">
        <v>4</v>
      </c>
      <c r="K491" s="53"/>
      <c r="L491" s="53"/>
    </row>
    <row r="492" spans="1:74" x14ac:dyDescent="0.35">
      <c r="F492" s="128" t="s">
        <v>1155</v>
      </c>
      <c r="G492" s="127">
        <v>90017.680517621338</v>
      </c>
      <c r="H492" s="127">
        <v>592781.74595738144</v>
      </c>
      <c r="I492" s="137">
        <v>63351</v>
      </c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  <row r="495" spans="1:74" x14ac:dyDescent="0.35">
      <c r="K495" s="53"/>
      <c r="L495" s="53"/>
    </row>
    <row r="496" spans="1:74" x14ac:dyDescent="0.35">
      <c r="K496" s="53"/>
      <c r="L496" s="53"/>
    </row>
    <row r="497" spans="11:12" x14ac:dyDescent="0.35">
      <c r="K497" s="53"/>
      <c r="L497" s="53"/>
    </row>
  </sheetData>
  <mergeCells count="2">
    <mergeCell ref="Y1:AE1"/>
    <mergeCell ref="X2:AB2"/>
  </mergeCells>
  <pageMargins left="0.7" right="0.7" top="0.75" bottom="0.75" header="0.3" footer="0.3"/>
  <ignoredErrors>
    <ignoredError sqref="L6:L112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P449"/>
  <sheetViews>
    <sheetView topLeftCell="B1"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customWidth="1"/>
    <col min="11" max="11" width="28.36328125" style="37" customWidth="1"/>
    <col min="12" max="12" width="55.54296875" style="36" customWidth="1"/>
    <col min="13" max="13" width="10.08984375" style="13" customWidth="1"/>
    <col min="14" max="14" width="15.36328125" style="13" customWidth="1"/>
    <col min="15" max="36" width="10.54296875" style="38" customWidth="1"/>
    <col min="37" max="39" width="12.36328125" style="38" customWidth="1"/>
    <col min="40" max="89" width="12.36328125" style="76" customWidth="1"/>
    <col min="90" max="120" width="14.26953125" style="76" customWidth="1"/>
    <col min="121" max="16384" width="8.90625" style="13"/>
  </cols>
  <sheetData>
    <row r="1" spans="1:120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</row>
    <row r="2" spans="1:120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</row>
    <row r="3" spans="1:120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</row>
    <row r="4" spans="1:120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</row>
    <row r="5" spans="1:120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</row>
    <row r="6" spans="1:120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</row>
    <row r="7" spans="1:120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</row>
    <row r="8" spans="1:120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</row>
    <row r="9" spans="1:120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</row>
    <row r="10" spans="1:120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</row>
    <row r="11" spans="1:120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</row>
    <row r="12" spans="1:120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</row>
    <row r="13" spans="1:120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</row>
    <row r="14" spans="1:120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</row>
    <row r="15" spans="1:120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</row>
    <row r="16" spans="1:120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</row>
    <row r="17" spans="1:120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</row>
    <row r="18" spans="1:120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</row>
    <row r="19" spans="1:120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</row>
    <row r="20" spans="1:120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</row>
    <row r="21" spans="1:120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</row>
    <row r="22" spans="1:120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</row>
    <row r="23" spans="1:120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</row>
    <row r="24" spans="1:120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</row>
    <row r="25" spans="1:120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</row>
    <row r="26" spans="1:120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</row>
    <row r="27" spans="1:120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</row>
    <row r="28" spans="1:120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</row>
    <row r="29" spans="1:120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</row>
    <row r="30" spans="1:120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</row>
    <row r="31" spans="1:120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</row>
    <row r="32" spans="1:120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</row>
    <row r="33" spans="1:120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</row>
    <row r="34" spans="1:120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</row>
    <row r="35" spans="1:120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</row>
    <row r="36" spans="1:120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</row>
    <row r="37" spans="1:120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</row>
    <row r="38" spans="1:120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</row>
    <row r="39" spans="1:120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</row>
    <row r="40" spans="1:120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</row>
    <row r="41" spans="1:120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</row>
    <row r="42" spans="1:120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</row>
    <row r="43" spans="1:120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</row>
    <row r="44" spans="1:120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</row>
    <row r="45" spans="1:120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</row>
    <row r="46" spans="1:120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</row>
    <row r="47" spans="1:120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</row>
    <row r="48" spans="1:120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</row>
    <row r="49" spans="1:120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</row>
    <row r="50" spans="1:120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</row>
    <row r="51" spans="1:120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</row>
    <row r="52" spans="1:120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</row>
    <row r="53" spans="1:120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</row>
    <row r="54" spans="1:120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</row>
    <row r="55" spans="1:120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</row>
    <row r="56" spans="1:120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</row>
    <row r="57" spans="1:120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</row>
    <row r="58" spans="1:120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</row>
    <row r="59" spans="1:120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</row>
    <row r="60" spans="1:120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</row>
    <row r="61" spans="1:120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</row>
    <row r="62" spans="1:120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</row>
    <row r="63" spans="1:120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</row>
    <row r="64" spans="1:120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</row>
    <row r="65" spans="1:120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</row>
    <row r="66" spans="1:120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</row>
    <row r="67" spans="1:120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</row>
    <row r="68" spans="1:120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</row>
    <row r="69" spans="1:120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</row>
    <row r="70" spans="1:120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</row>
    <row r="71" spans="1:120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</row>
    <row r="72" spans="1:120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</row>
    <row r="73" spans="1:120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</row>
    <row r="74" spans="1:120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</row>
    <row r="75" spans="1:120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</row>
    <row r="76" spans="1:120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</row>
    <row r="77" spans="1:120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</row>
    <row r="78" spans="1:120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</row>
    <row r="79" spans="1:120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</row>
    <row r="80" spans="1:120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</row>
    <row r="81" spans="1:120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</row>
    <row r="82" spans="1:120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</row>
    <row r="83" spans="1:120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</row>
    <row r="84" spans="1:120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</row>
    <row r="85" spans="1:120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</row>
    <row r="86" spans="1:120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</row>
    <row r="87" spans="1:120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</row>
    <row r="88" spans="1:120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</row>
    <row r="89" spans="1:120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</row>
    <row r="90" spans="1:120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</row>
    <row r="91" spans="1:120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</row>
    <row r="92" spans="1:120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</row>
    <row r="93" spans="1:120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</row>
    <row r="94" spans="1:120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</row>
    <row r="95" spans="1:120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</row>
    <row r="96" spans="1:120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</row>
    <row r="97" spans="1:120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</row>
    <row r="98" spans="1:120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</row>
    <row r="99" spans="1:120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</row>
    <row r="100" spans="1:120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</row>
    <row r="101" spans="1:120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</row>
    <row r="102" spans="1:120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</row>
    <row r="103" spans="1:120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</row>
    <row r="104" spans="1:120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</row>
    <row r="105" spans="1:120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</row>
    <row r="106" spans="1:120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</row>
    <row r="107" spans="1:120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</row>
    <row r="108" spans="1:120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</row>
    <row r="109" spans="1:120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</row>
    <row r="110" spans="1:120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</row>
    <row r="111" spans="1:120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</row>
    <row r="112" spans="1:120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</row>
    <row r="113" spans="1:120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</row>
    <row r="114" spans="1:120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</row>
    <row r="115" spans="1:120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</row>
    <row r="116" spans="1:120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</row>
    <row r="117" spans="1:120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</row>
    <row r="118" spans="1:120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</row>
    <row r="119" spans="1:120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</row>
    <row r="120" spans="1:120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</row>
    <row r="121" spans="1:120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</row>
    <row r="122" spans="1:120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</row>
    <row r="123" spans="1:120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</row>
    <row r="124" spans="1:120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</row>
    <row r="125" spans="1:120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</row>
    <row r="126" spans="1:120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</row>
    <row r="127" spans="1:120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</row>
    <row r="128" spans="1:120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</row>
    <row r="129" spans="1:120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</row>
    <row r="130" spans="1:120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</row>
    <row r="131" spans="1:120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</row>
    <row r="132" spans="1:120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</row>
    <row r="133" spans="1:120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</row>
    <row r="134" spans="1:120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</row>
    <row r="135" spans="1:120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</row>
    <row r="136" spans="1:120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</row>
    <row r="137" spans="1:120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</row>
    <row r="138" spans="1:120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</row>
    <row r="139" spans="1:120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</row>
    <row r="140" spans="1:120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</row>
    <row r="141" spans="1:120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</row>
    <row r="142" spans="1:120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</row>
    <row r="143" spans="1:120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</row>
    <row r="144" spans="1:120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</row>
    <row r="145" spans="1:120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</row>
    <row r="146" spans="1:120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</row>
    <row r="147" spans="1:120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</row>
    <row r="148" spans="1:120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</row>
    <row r="149" spans="1:120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</row>
    <row r="150" spans="1:120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</row>
    <row r="151" spans="1:120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</row>
    <row r="152" spans="1:120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</row>
    <row r="153" spans="1:120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</row>
    <row r="154" spans="1:120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</row>
    <row r="155" spans="1:120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</row>
    <row r="156" spans="1:120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</row>
    <row r="157" spans="1:120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</row>
    <row r="158" spans="1:120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</row>
    <row r="159" spans="1:120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</row>
    <row r="160" spans="1:120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</row>
    <row r="161" spans="1:120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</row>
    <row r="162" spans="1:120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</row>
    <row r="163" spans="1:120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</row>
    <row r="164" spans="1:120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</row>
    <row r="165" spans="1:120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</row>
    <row r="166" spans="1:120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</row>
    <row r="167" spans="1:120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</row>
    <row r="168" spans="1:120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</row>
    <row r="169" spans="1:120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</row>
    <row r="170" spans="1:120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</row>
    <row r="171" spans="1:120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</row>
    <row r="172" spans="1:120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</row>
    <row r="173" spans="1:120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</row>
    <row r="174" spans="1:120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</row>
    <row r="175" spans="1:120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</row>
    <row r="176" spans="1:120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</row>
    <row r="177" spans="1:120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</row>
    <row r="178" spans="1:120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</row>
    <row r="179" spans="1:120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</row>
    <row r="180" spans="1:120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</row>
    <row r="181" spans="1:120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</row>
    <row r="182" spans="1:120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</row>
    <row r="183" spans="1:120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</row>
    <row r="184" spans="1:120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</row>
    <row r="185" spans="1:120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</row>
    <row r="186" spans="1:120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</row>
    <row r="187" spans="1:120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</row>
    <row r="188" spans="1:120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</row>
    <row r="189" spans="1:120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</row>
    <row r="190" spans="1:120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</row>
    <row r="191" spans="1:120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</row>
    <row r="192" spans="1:120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</row>
    <row r="193" spans="1:120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</row>
    <row r="194" spans="1:120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</row>
    <row r="195" spans="1:120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</row>
    <row r="196" spans="1:120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</row>
    <row r="197" spans="1:120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</row>
    <row r="198" spans="1:120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</row>
    <row r="199" spans="1:120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</row>
    <row r="200" spans="1:120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</row>
    <row r="201" spans="1:120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</row>
    <row r="202" spans="1:120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</row>
    <row r="203" spans="1:120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</row>
    <row r="204" spans="1:120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</row>
    <row r="205" spans="1:120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</row>
    <row r="206" spans="1:120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</row>
    <row r="207" spans="1:120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</row>
    <row r="208" spans="1:120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</row>
    <row r="209" spans="1:120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</row>
    <row r="210" spans="1:120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</row>
    <row r="211" spans="1:120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</row>
    <row r="212" spans="1:120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</row>
    <row r="213" spans="1:120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</row>
    <row r="214" spans="1:120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</row>
    <row r="215" spans="1:120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</row>
    <row r="216" spans="1:120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</row>
    <row r="217" spans="1:120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</row>
    <row r="218" spans="1:120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</row>
    <row r="219" spans="1:120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</row>
    <row r="220" spans="1:120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</row>
    <row r="221" spans="1:120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</row>
    <row r="222" spans="1:120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</row>
    <row r="223" spans="1:120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</row>
    <row r="224" spans="1:120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</row>
    <row r="225" spans="1:120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</row>
    <row r="226" spans="1:120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</row>
    <row r="227" spans="1:120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</row>
    <row r="228" spans="1:120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</row>
    <row r="229" spans="1:120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</row>
    <row r="230" spans="1:120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</row>
    <row r="231" spans="1:120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</row>
    <row r="232" spans="1:120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</row>
    <row r="233" spans="1:120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</row>
    <row r="234" spans="1:120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</row>
    <row r="235" spans="1:120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</row>
    <row r="236" spans="1:120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</row>
    <row r="237" spans="1:120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</row>
    <row r="238" spans="1:120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</row>
    <row r="239" spans="1:120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</row>
    <row r="240" spans="1:120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</row>
    <row r="241" spans="1:120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</row>
    <row r="242" spans="1:120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</row>
    <row r="243" spans="1:120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</row>
    <row r="244" spans="1:120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</row>
    <row r="245" spans="1:120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</row>
    <row r="246" spans="1:120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</row>
    <row r="247" spans="1:120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</row>
    <row r="248" spans="1:120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</row>
    <row r="249" spans="1:120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</row>
    <row r="250" spans="1:120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</row>
    <row r="251" spans="1:120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</row>
    <row r="252" spans="1:120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</row>
    <row r="253" spans="1:120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</row>
    <row r="254" spans="1:120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</row>
    <row r="255" spans="1:120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</row>
    <row r="256" spans="1:120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</row>
    <row r="257" spans="1:120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</row>
    <row r="258" spans="1:120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</row>
    <row r="259" spans="1:120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</row>
    <row r="260" spans="1:120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</row>
    <row r="261" spans="1:120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</row>
    <row r="262" spans="1:120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</row>
    <row r="263" spans="1:120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</row>
    <row r="264" spans="1:120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</row>
    <row r="265" spans="1:120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</row>
    <row r="266" spans="1:120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</row>
    <row r="267" spans="1:120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</row>
    <row r="268" spans="1:120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</row>
    <row r="269" spans="1:120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</row>
    <row r="270" spans="1:120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16.34</v>
      </c>
      <c r="N270" s="12">
        <f t="shared" si="6"/>
        <v>7712.48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</row>
    <row r="271" spans="1:120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</row>
    <row r="272" spans="1:120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</row>
    <row r="273" spans="1:120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</row>
    <row r="274" spans="1:120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</row>
    <row r="275" spans="1:120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</row>
    <row r="276" spans="1:120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</row>
    <row r="277" spans="1:120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</row>
    <row r="278" spans="1:120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</row>
    <row r="279" spans="1:120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</row>
    <row r="280" spans="1:120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</row>
    <row r="281" spans="1:120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</row>
    <row r="282" spans="1:120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</row>
    <row r="283" spans="1:120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</row>
    <row r="284" spans="1:120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</row>
    <row r="285" spans="1:120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</row>
    <row r="286" spans="1:120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</row>
    <row r="287" spans="1:120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</row>
    <row r="288" spans="1:120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</row>
    <row r="289" spans="1:120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</row>
    <row r="290" spans="1:120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</row>
    <row r="291" spans="1:120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</row>
    <row r="292" spans="1:120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</row>
    <row r="293" spans="1:120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</row>
    <row r="294" spans="1:120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</row>
    <row r="295" spans="1:120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</row>
    <row r="296" spans="1:120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</row>
    <row r="297" spans="1:120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</row>
    <row r="298" spans="1:120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</row>
    <row r="299" spans="1:120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</row>
    <row r="300" spans="1:120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</row>
    <row r="301" spans="1:120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</row>
    <row r="302" spans="1:120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</row>
    <row r="303" spans="1:120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</row>
    <row r="304" spans="1:120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</row>
    <row r="305" spans="1:120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</row>
    <row r="306" spans="1:120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</row>
    <row r="307" spans="1:120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</row>
    <row r="308" spans="1:120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</row>
    <row r="309" spans="1:120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</row>
    <row r="310" spans="1:120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</row>
    <row r="311" spans="1:120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</row>
    <row r="312" spans="1:120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</row>
    <row r="313" spans="1:120" x14ac:dyDescent="0.35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6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</row>
    <row r="314" spans="1:120" ht="26.55" x14ac:dyDescent="0.3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6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</row>
    <row r="315" spans="1:120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6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</row>
    <row r="316" spans="1:120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</row>
    <row r="317" spans="1:120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</row>
    <row r="318" spans="1:120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</row>
    <row r="319" spans="1:120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</row>
    <row r="320" spans="1:120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</row>
    <row r="321" spans="1:120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</row>
    <row r="322" spans="1:120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6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</row>
    <row r="323" spans="1:120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7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</row>
    <row r="324" spans="1:120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7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</row>
    <row r="325" spans="1:120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7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</row>
    <row r="326" spans="1:120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7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</row>
    <row r="327" spans="1:120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7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</row>
    <row r="328" spans="1:120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</row>
    <row r="329" spans="1:120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</row>
    <row r="330" spans="1:120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</row>
    <row r="331" spans="1:120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</row>
    <row r="332" spans="1:120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</row>
    <row r="333" spans="1:120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</row>
    <row r="334" spans="1:120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7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</row>
    <row r="335" spans="1:120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7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</row>
    <row r="336" spans="1:120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7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</row>
    <row r="337" spans="1:120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7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</row>
    <row r="338" spans="1:120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7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</row>
    <row r="339" spans="1:120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</row>
    <row r="340" spans="1:120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</row>
    <row r="341" spans="1:120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7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</row>
    <row r="342" spans="1:120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</row>
    <row r="343" spans="1:120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7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</row>
    <row r="344" spans="1:120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7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</row>
    <row r="345" spans="1:120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7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</row>
    <row r="346" spans="1:120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7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8">3000-107</f>
        <v>2893</v>
      </c>
      <c r="DE346" s="72">
        <f t="shared" si="8"/>
        <v>2893</v>
      </c>
      <c r="DF346" s="72">
        <f t="shared" si="8"/>
        <v>2893</v>
      </c>
      <c r="DG346" s="72">
        <f t="shared" si="8"/>
        <v>2893</v>
      </c>
      <c r="DH346" s="72">
        <f t="shared" si="8"/>
        <v>2893</v>
      </c>
      <c r="DI346" s="72">
        <f t="shared" si="8"/>
        <v>2893</v>
      </c>
      <c r="DJ346" s="72">
        <f t="shared" ref="DJ346:DO346" si="9">3000-107</f>
        <v>2893</v>
      </c>
      <c r="DK346" s="72">
        <f t="shared" si="9"/>
        <v>2893</v>
      </c>
      <c r="DL346" s="72">
        <f t="shared" si="9"/>
        <v>2893</v>
      </c>
      <c r="DM346" s="72">
        <f t="shared" si="9"/>
        <v>2893</v>
      </c>
      <c r="DN346" s="72">
        <f t="shared" si="9"/>
        <v>2893</v>
      </c>
      <c r="DO346" s="72">
        <f t="shared" si="9"/>
        <v>2893</v>
      </c>
      <c r="DP346" s="72">
        <f>3000-107</f>
        <v>2893</v>
      </c>
    </row>
    <row r="347" spans="1:120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</row>
    <row r="348" spans="1:120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7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</row>
    <row r="349" spans="1:120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7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</row>
    <row r="350" spans="1:120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</row>
    <row r="351" spans="1:120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7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</row>
    <row r="352" spans="1:120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</row>
    <row r="353" spans="1:120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7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</row>
    <row r="354" spans="1:120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7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</row>
    <row r="355" spans="1:120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7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</row>
    <row r="356" spans="1:120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</row>
    <row r="357" spans="1:120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7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</row>
    <row r="358" spans="1:120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</row>
    <row r="359" spans="1:120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7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</row>
    <row r="360" spans="1:120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</row>
    <row r="361" spans="1:120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7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</row>
    <row r="362" spans="1:120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7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</row>
    <row r="363" spans="1:120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</row>
    <row r="364" spans="1:120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7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</row>
    <row r="365" spans="1:120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7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</row>
    <row r="366" spans="1:120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7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</row>
    <row r="367" spans="1:120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7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</row>
    <row r="368" spans="1:120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7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</row>
    <row r="369" spans="1:120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7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</row>
    <row r="370" spans="1:120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7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</row>
    <row r="371" spans="1:120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7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</row>
    <row r="372" spans="1:120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7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</row>
    <row r="373" spans="1:120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7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</row>
    <row r="374" spans="1:120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7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</row>
    <row r="375" spans="1:120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7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</row>
    <row r="376" spans="1:120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7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</row>
    <row r="377" spans="1:120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>
        <v>16.45</v>
      </c>
      <c r="N377" s="12">
        <f t="shared" si="7"/>
        <v>855.4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</row>
    <row r="378" spans="1:120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7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</row>
    <row r="379" spans="1:120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7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</row>
    <row r="380" spans="1:120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</row>
    <row r="381" spans="1:120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7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</row>
    <row r="382" spans="1:120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7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</row>
    <row r="383" spans="1:120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7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</row>
    <row r="384" spans="1:120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7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</row>
    <row r="385" spans="1:120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7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</row>
    <row r="386" spans="1:120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</row>
    <row r="387" spans="1:120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0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</row>
    <row r="388" spans="1:120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0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</row>
    <row r="389" spans="1:120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0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</row>
    <row r="390" spans="1:120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0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</row>
    <row r="391" spans="1:120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0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</row>
    <row r="392" spans="1:120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0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</row>
    <row r="393" spans="1:120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0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</row>
    <row r="394" spans="1:120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0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</row>
    <row r="395" spans="1:120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0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</row>
    <row r="396" spans="1:120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0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</row>
    <row r="397" spans="1:120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0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</row>
    <row r="398" spans="1:120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0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</row>
    <row r="399" spans="1:120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0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</row>
    <row r="400" spans="1:120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0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</row>
    <row r="401" spans="1:120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0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</row>
    <row r="402" spans="1:120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0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</row>
    <row r="403" spans="1:120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0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</row>
    <row r="404" spans="1:120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0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</row>
    <row r="405" spans="1:120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0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</row>
    <row r="406" spans="1:120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0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</row>
    <row r="407" spans="1:120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0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</row>
    <row r="408" spans="1:120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0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</row>
    <row r="409" spans="1:120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0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</row>
    <row r="410" spans="1:120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0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</row>
    <row r="411" spans="1:120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0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</row>
    <row r="412" spans="1:120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0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</row>
    <row r="413" spans="1:120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0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</row>
    <row r="414" spans="1:120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0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</row>
    <row r="415" spans="1:120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0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</row>
    <row r="416" spans="1:120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0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</row>
    <row r="417" spans="1:120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0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</row>
    <row r="418" spans="1:120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0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</row>
    <row r="419" spans="1:120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0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</row>
    <row r="420" spans="1:120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0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</row>
    <row r="421" spans="1:120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0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</row>
    <row r="422" spans="1:120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0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</row>
    <row r="423" spans="1:120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0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</row>
    <row r="424" spans="1:120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0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</row>
    <row r="425" spans="1:120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0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</row>
    <row r="426" spans="1:120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0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</row>
    <row r="427" spans="1:120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0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</row>
    <row r="428" spans="1:120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0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</row>
    <row r="429" spans="1:120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0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</row>
    <row r="430" spans="1:120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0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</row>
    <row r="431" spans="1:120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0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</row>
    <row r="432" spans="1:120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0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</row>
    <row r="433" spans="1:120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0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</row>
    <row r="434" spans="1:120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0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</row>
    <row r="435" spans="1:120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0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</row>
    <row r="436" spans="1:120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0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</row>
    <row r="437" spans="1:120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0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</row>
    <row r="438" spans="1:120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0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</row>
    <row r="439" spans="1:120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0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</row>
    <row r="440" spans="1:120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0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</row>
    <row r="441" spans="1:120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0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</row>
    <row r="442" spans="1:120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0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</row>
    <row r="443" spans="1:120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0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</row>
    <row r="444" spans="1:120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0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</row>
    <row r="445" spans="1:120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0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</row>
    <row r="446" spans="1:120" x14ac:dyDescent="0.35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0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</row>
    <row r="447" spans="1:120" x14ac:dyDescent="0.35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0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</row>
    <row r="448" spans="1:120" x14ac:dyDescent="0.35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0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</row>
    <row r="449" spans="1:120" x14ac:dyDescent="0.35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0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2026-09-07T14:36:21Z</dcterms:modified>
</cp:coreProperties>
</file>