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Güncel Stok-Rezerve Versiyon\"/>
    </mc:Choice>
  </mc:AlternateContent>
  <xr:revisionPtr revIDLastSave="0" documentId="13_ncr:1_{68D0B8B4-A6E9-481A-9FA2-0A7C6357370F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Stok!$A$1:$CJ$449</definedName>
    <definedName name="Dilimleyici_Marka">#N/A</definedName>
    <definedName name="Dilimleyici_Ürün_Grubu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6" l="1"/>
  <c r="Z2" i="6" s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2" i="2"/>
  <c r="DP346" i="2"/>
  <c r="DP142" i="2"/>
  <c r="N346" i="2" l="1"/>
  <c r="N142" i="2"/>
  <c r="DO346" i="2"/>
  <c r="DO142" i="2"/>
  <c r="N7" i="6" l="1"/>
  <c r="N8" i="6"/>
  <c r="DN346" i="2"/>
  <c r="DN142" i="2"/>
  <c r="N9" i="6" l="1"/>
  <c r="DM346" i="2" l="1"/>
  <c r="DM142" i="2"/>
  <c r="N10" i="6" l="1"/>
  <c r="DL346" i="2"/>
  <c r="DL142" i="2"/>
  <c r="DK346" i="2"/>
  <c r="DK142" i="2"/>
  <c r="N11" i="6" l="1"/>
  <c r="DJ346" i="2"/>
  <c r="DJ142" i="2"/>
  <c r="N12" i="6" l="1"/>
  <c r="DI346" i="2"/>
  <c r="DI142" i="2"/>
  <c r="N13" i="6" l="1"/>
  <c r="N14" i="6"/>
  <c r="DH346" i="2" l="1"/>
  <c r="DH142" i="2"/>
  <c r="DG346" i="2"/>
  <c r="DG142" i="2"/>
  <c r="N15" i="6" l="1"/>
  <c r="DF346" i="2"/>
  <c r="DF142" i="2"/>
  <c r="N16" i="6" l="1"/>
  <c r="N17" i="6"/>
  <c r="DE346" i="2"/>
  <c r="DE142" i="2"/>
  <c r="N18" i="6" l="1"/>
  <c r="DD346" i="2"/>
  <c r="DD142" i="2"/>
  <c r="N19" i="6"/>
  <c r="DC142" i="2" l="1"/>
  <c r="DB142" i="2"/>
  <c r="N20" i="6" l="1"/>
  <c r="N21" i="6"/>
  <c r="DA142" i="2"/>
  <c r="N22" i="6" l="1"/>
  <c r="CZ142" i="2"/>
  <c r="N23" i="6" l="1"/>
  <c r="N24" i="6"/>
  <c r="N25" i="6" l="1"/>
  <c r="N26" i="6" l="1"/>
  <c r="N27" i="6" l="1"/>
  <c r="N28" i="6" l="1"/>
  <c r="N29" i="6"/>
  <c r="N30" i="6" l="1"/>
  <c r="N31" i="6" l="1"/>
  <c r="N32" i="6"/>
  <c r="N33" i="6" l="1"/>
  <c r="N34" i="6" l="1"/>
  <c r="N35" i="6" l="1"/>
  <c r="N36" i="6"/>
  <c r="N37" i="6" l="1"/>
  <c r="N38" i="6"/>
  <c r="N39" i="6" l="1"/>
  <c r="N40" i="6" l="1"/>
  <c r="N41" i="6"/>
  <c r="N42" i="6" l="1"/>
  <c r="N43" i="6" l="1"/>
  <c r="N44" i="6" l="1"/>
  <c r="N45" i="6" l="1"/>
  <c r="N46" i="6"/>
  <c r="N47" i="6" l="1"/>
  <c r="N48" i="6" l="1"/>
  <c r="N49" i="6" l="1"/>
  <c r="N50" i="6" l="1"/>
  <c r="N51" i="6" l="1"/>
  <c r="N52" i="6" l="1"/>
  <c r="N53" i="6" l="1"/>
  <c r="BU144" i="2"/>
  <c r="N54" i="6" l="1"/>
  <c r="N55" i="6" l="1"/>
  <c r="BS191" i="2" l="1"/>
  <c r="N56" i="6" l="1"/>
  <c r="N57" i="6" l="1"/>
  <c r="N58" i="6" l="1"/>
  <c r="N59" i="6"/>
  <c r="N60" i="6"/>
  <c r="N61" i="6" l="1"/>
  <c r="N62" i="6"/>
  <c r="N63" i="6" l="1"/>
  <c r="N64" i="6"/>
  <c r="N109" i="6" l="1"/>
  <c r="N65" i="6" l="1"/>
  <c r="N66" i="6" l="1"/>
  <c r="N67" i="6" l="1"/>
  <c r="N68" i="6" l="1"/>
  <c r="N69" i="6" l="1"/>
  <c r="N70" i="6"/>
  <c r="N71" i="6" l="1"/>
  <c r="N72" i="6"/>
  <c r="N73" i="6" l="1"/>
  <c r="G2" i="6" l="1"/>
  <c r="N74" i="6" l="1"/>
  <c r="N75" i="6" l="1"/>
  <c r="N76" i="6" l="1"/>
  <c r="N77" i="6" l="1"/>
  <c r="N78" i="6" l="1"/>
  <c r="N112" i="6" l="1"/>
  <c r="N111" i="6"/>
  <c r="N110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0" i="6"/>
  <c r="N79" i="6"/>
  <c r="N81" i="6"/>
  <c r="N82" i="6" l="1"/>
  <c r="N83" i="6" l="1"/>
  <c r="N84" i="6" l="1"/>
  <c r="L37" i="3" l="1"/>
</calcChain>
</file>

<file path=xl/sharedStrings.xml><?xml version="1.0" encoding="utf-8"?>
<sst xmlns="http://schemas.openxmlformats.org/spreadsheetml/2006/main" count="4731" uniqueCount="1599">
  <si>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</si>
  <si>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</si>
  <si>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</si>
  <si>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</si>
  <si>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</si>
  <si>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</si>
  <si>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</si>
  <si>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</si>
  <si>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</si>
  <si>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</si>
  <si>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</si>
  <si>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</si>
  <si>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</si>
  <si>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</si>
  <si>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</si>
  <si>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</si>
  <si>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</si>
  <si>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</si>
  <si>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</si>
  <si>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</si>
  <si>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</si>
  <si>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</si>
  <si>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</si>
  <si>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</si>
  <si>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</si>
  <si>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</si>
  <si>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</si>
  <si>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</si>
  <si>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</si>
  <si>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</si>
  <si>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</si>
  <si>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</si>
  <si>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</si>
  <si>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</si>
  <si>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</si>
  <si>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</si>
  <si>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</si>
  <si>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</si>
  <si>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</si>
  <si>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</si>
  <si>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</si>
  <si>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</si>
  <si>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</si>
  <si>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</si>
  <si>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</si>
  <si>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</si>
  <si>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</si>
  <si>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</si>
  <si>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</si>
  <si>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</si>
  <si>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</si>
  <si>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</si>
  <si>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</si>
  <si>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</si>
  <si>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</si>
  <si>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</si>
  <si>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</si>
  <si>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</si>
  <si>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</si>
  <si>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</si>
  <si>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</si>
  <si>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</si>
  <si>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</si>
  <si>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</si>
  <si>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</si>
  <si>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</si>
  <si>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</si>
  <si>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</si>
  <si>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</si>
  <si>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</si>
  <si>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</si>
  <si>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</si>
  <si>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</si>
  <si>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</si>
  <si>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</si>
  <si>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</si>
  <si>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</si>
  <si>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</si>
  <si>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</si>
  <si>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</si>
  <si>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</si>
  <si>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</si>
  <si>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</si>
  <si>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</si>
  <si>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</si>
  <si>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</si>
  <si>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</si>
  <si>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</si>
  <si>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</si>
  <si>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</si>
  <si>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</si>
  <si>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</si>
  <si>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</si>
  <si>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</si>
  <si>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</si>
  <si>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</si>
  <si>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</si>
  <si>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</si>
  <si>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</si>
  <si>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</si>
  <si>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</si>
  <si>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</si>
  <si>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</si>
  <si>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</si>
  <si>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</si>
  <si>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</si>
  <si>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</si>
  <si>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</si>
  <si>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</si>
  <si>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</si>
  <si>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</si>
  <si>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</si>
  <si>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</si>
  <si>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</si>
  <si>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</si>
  <si>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</si>
  <si>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</si>
  <si>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</si>
  <si>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</si>
  <si>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</si>
  <si>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</si>
  <si>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</si>
  <si>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</si>
  <si>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</si>
  <si>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</si>
  <si>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</si>
  <si>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</si>
  <si>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</si>
  <si>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</si>
  <si>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</si>
  <si>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</si>
  <si>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</si>
  <si>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</si>
  <si>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</si>
  <si>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</si>
  <si>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</si>
  <si>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</si>
  <si>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</si>
  <si>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</si>
  <si>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</si>
  <si>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</si>
  <si>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</si>
  <si>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</si>
  <si>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</si>
  <si>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</si>
  <si>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</si>
  <si>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</si>
  <si>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</si>
  <si>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</si>
  <si>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</si>
  <si>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</si>
  <si>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</si>
  <si>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</si>
  <si>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</si>
  <si>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</si>
  <si>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</si>
  <si>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</si>
  <si>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</si>
  <si>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</si>
  <si>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</si>
  <si>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</si>
  <si>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</si>
  <si>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</si>
  <si>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</si>
  <si>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</si>
  <si>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</si>
  <si>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</si>
  <si>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</si>
  <si>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</si>
  <si>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</si>
  <si>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</si>
  <si>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</si>
  <si>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</si>
  <si>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</si>
  <si>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</si>
  <si>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</si>
  <si>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</si>
  <si>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</si>
  <si>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</si>
  <si>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</si>
  <si>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</si>
  <si>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</si>
  <si>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</si>
  <si>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</si>
  <si>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</si>
  <si>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</si>
  <si>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</si>
  <si>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</si>
  <si>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</si>
  <si>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</si>
  <si>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</si>
  <si>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</si>
  <si>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</si>
  <si>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</si>
  <si>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</si>
  <si>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</si>
  <si>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</si>
  <si>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</si>
  <si>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</si>
  <si>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</si>
  <si>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</si>
  <si>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</si>
  <si>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</si>
  <si>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</si>
  <si>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</si>
  <si>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</si>
  <si>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</si>
  <si>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</si>
  <si>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</si>
  <si>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</si>
  <si>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</si>
  <si>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</si>
  <si>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</si>
  <si>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</si>
  <si>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</si>
  <si>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</si>
  <si>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</si>
  <si>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</si>
  <si>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</si>
  <si>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</si>
  <si>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</si>
  <si>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</si>
  <si>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</si>
  <si>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</si>
  <si>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</si>
  <si>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</si>
  <si>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</si>
  <si>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</si>
  <si>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</si>
  <si>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</si>
  <si>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</si>
  <si>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</si>
  <si>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</si>
  <si>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</si>
  <si>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</si>
  <si>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</si>
  <si>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</si>
  <si>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</si>
  <si>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</si>
  <si>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</si>
  <si>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</si>
  <si>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</si>
  <si>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</si>
  <si>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</si>
  <si>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</si>
  <si>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</si>
  <si>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</si>
  <si>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</si>
  <si>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</si>
  <si>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</si>
  <si>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</si>
  <si>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</si>
  <si>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</si>
  <si>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</si>
  <si>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</si>
  <si>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</si>
  <si>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</si>
  <si>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</si>
  <si>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</si>
  <si>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</si>
  <si>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</si>
  <si>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</si>
  <si>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</si>
  <si>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</si>
  <si>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</si>
  <si>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</si>
  <si>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</si>
  <si>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</si>
  <si>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</si>
  <si>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</si>
  <si>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</si>
  <si>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</si>
  <si>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</si>
  <si>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</si>
  <si>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</si>
  <si>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</si>
  <si>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</si>
  <si>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</si>
  <si>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</si>
  <si>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</si>
  <si>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</si>
  <si>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</si>
  <si>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</si>
  <si>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</si>
  <si>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</si>
  <si>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</si>
  <si>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</si>
  <si>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</si>
  <si>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</si>
  <si>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</si>
  <si>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</si>
  <si>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</si>
  <si>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</si>
  <si>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</si>
  <si>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</si>
  <si>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</si>
  <si>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</si>
  <si>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</si>
  <si>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</si>
  <si>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</si>
  <si>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</si>
  <si>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</si>
  <si>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</si>
  <si>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</si>
  <si>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</si>
  <si>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</si>
  <si>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</si>
  <si>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</si>
  <si>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</si>
  <si>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</si>
  <si>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</si>
  <si>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</si>
  <si>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</si>
  <si>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</si>
  <si>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</si>
  <si>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</si>
  <si>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</si>
  <si>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</si>
  <si>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</si>
  <si>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</si>
  <si>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</si>
  <si>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</si>
  <si>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</si>
  <si>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</si>
  <si>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</si>
  <si>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</si>
  <si>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</si>
  <si>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</si>
  <si>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</si>
  <si>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</si>
  <si>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</si>
  <si>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</si>
  <si>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</si>
  <si>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</si>
  <si>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</si>
  <si>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</si>
  <si>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</si>
  <si>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</si>
  <si>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</si>
  <si>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</si>
  <si>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</si>
  <si>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</si>
  <si>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</si>
  <si>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</si>
  <si>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</si>
  <si>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</si>
  <si>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</si>
  <si>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</si>
  <si>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</si>
  <si>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</si>
  <si>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</si>
  <si>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</si>
  <si>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</si>
  <si>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</si>
  <si>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</si>
  <si>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</si>
  <si>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</si>
  <si>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</si>
  <si>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</si>
  <si>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</si>
  <si>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</si>
  <si>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</si>
  <si>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</si>
  <si>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</si>
  <si>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</si>
  <si>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</si>
  <si>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</si>
  <si>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</si>
  <si>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</si>
  <si>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</si>
  <si>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</si>
  <si>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</si>
  <si>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</si>
  <si>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</si>
  <si>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</si>
  <si>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</si>
  <si>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</si>
  <si>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</si>
  <si>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</si>
  <si>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</si>
  <si>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</si>
  <si>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</si>
  <si>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</si>
  <si>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</si>
  <si>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</si>
  <si>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</si>
  <si>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</si>
  <si>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</si>
  <si>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</si>
  <si>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</si>
  <si>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</si>
  <si>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</si>
  <si>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</si>
  <si>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</si>
  <si>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</si>
  <si>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</si>
  <si>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</si>
  <si>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</si>
  <si>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</si>
  <si>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</si>
  <si>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</si>
  <si>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</si>
  <si>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</si>
  <si>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</si>
  <si>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</si>
  <si>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</si>
  <si>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</si>
  <si>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</si>
  <si>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</si>
  <si>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</si>
  <si>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</si>
  <si>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</si>
  <si>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</si>
  <si>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</si>
  <si>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</si>
  <si>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</si>
  <si>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</si>
  <si>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</si>
  <si>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</si>
  <si>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</si>
  <si>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</si>
  <si>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</si>
  <si>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</si>
  <si>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</si>
  <si>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</si>
  <si>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</si>
  <si>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</si>
  <si>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</si>
  <si>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</si>
  <si>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</si>
  <si>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</si>
  <si>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</si>
  <si>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</si>
  <si>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</si>
  <si>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</si>
  <si>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</si>
  <si>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</si>
  <si>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</si>
  <si>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</si>
  <si>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</si>
  <si>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</si>
  <si>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</si>
  <si>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</si>
  <si>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</si>
  <si>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</si>
  <si>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</si>
  <si>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</si>
  <si>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</si>
  <si>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</si>
  <si>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</si>
  <si>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</si>
  <si>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</si>
  <si>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</si>
  <si>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</si>
  <si>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</si>
  <si>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</si>
  <si>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</si>
  <si>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</si>
  <si>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</si>
  <si>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</si>
  <si>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</si>
  <si>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</si>
  <si>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</si>
  <si>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</si>
  <si>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</si>
  <si>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</si>
  <si>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</si>
  <si>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</si>
  <si>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</si>
  <si>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</si>
  <si>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</si>
  <si>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</si>
  <si>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</si>
  <si>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</si>
  <si>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</si>
  <si>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</si>
  <si>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</si>
  <si>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</si>
  <si>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</si>
  <si>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</si>
  <si>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</si>
  <si>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</si>
  <si>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</si>
  <si>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</si>
  <si>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</si>
  <si>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</si>
  <si>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</si>
  <si>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</si>
  <si>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</si>
  <si>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</si>
  <si>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</si>
  <si>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</si>
  <si>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</si>
  <si>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</si>
  <si>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</si>
  <si>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</si>
  <si>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</si>
  <si>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</si>
  <si>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</si>
  <si>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</si>
  <si>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</si>
  <si>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</si>
  <si>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</si>
  <si>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</si>
  <si>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</si>
  <si>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</si>
  <si>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</si>
  <si>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</si>
  <si>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</si>
  <si>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</si>
  <si>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</si>
  <si>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</si>
  <si>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</si>
  <si>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</si>
  <si>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</si>
  <si>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</si>
  <si>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</si>
  <si>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</si>
  <si>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</si>
  <si>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</si>
  <si>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</si>
  <si>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</si>
  <si>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</si>
  <si>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</si>
  <si>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</si>
  <si>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</si>
  <si>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</si>
  <si>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</si>
  <si>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</si>
  <si>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</si>
  <si>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</si>
  <si>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</si>
  <si>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</si>
  <si>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</si>
  <si>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</si>
  <si>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</si>
  <si>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</si>
  <si>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</si>
  <si>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</si>
  <si>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</si>
  <si>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</si>
  <si>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</si>
  <si>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</si>
  <si>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</si>
  <si>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</si>
  <si>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</si>
  <si>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</si>
  <si>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</si>
  <si>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</si>
  <si>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</si>
  <si>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</si>
  <si>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</si>
  <si>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</si>
  <si>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</si>
  <si>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</si>
  <si>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</si>
  <si>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</si>
  <si>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</si>
  <si>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</si>
  <si>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</si>
  <si>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</si>
  <si>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</si>
  <si>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</si>
  <si>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</si>
  <si>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</si>
  <si>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</si>
  <si>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</si>
  <si>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</si>
  <si>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</si>
  <si>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</si>
  <si>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</si>
  <si>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</si>
  <si>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</si>
  <si>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</si>
  <si>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</si>
  <si>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</si>
  <si>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</si>
  <si>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</si>
  <si>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</si>
  <si>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</si>
  <si>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</si>
  <si>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</si>
  <si>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</si>
  <si>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</si>
  <si>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</si>
  <si>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</si>
  <si>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</si>
  <si>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</si>
  <si>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</si>
  <si>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</si>
  <si>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</si>
  <si>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</si>
  <si>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</si>
  <si>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</si>
  <si>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</si>
  <si>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</si>
  <si>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</si>
  <si>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</si>
  <si>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</si>
  <si>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</si>
  <si>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</si>
  <si>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</si>
  <si>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</si>
  <si>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</si>
  <si>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</si>
  <si>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</si>
  <si>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</si>
  <si>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</si>
  <si>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</si>
  <si>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</si>
  <si>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</si>
  <si>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</si>
  <si>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</si>
  <si>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</si>
  <si>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</si>
  <si>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</si>
  <si>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</si>
  <si>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</si>
  <si>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</si>
  <si>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</si>
  <si>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</si>
  <si>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</si>
  <si>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</si>
  <si>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</si>
  <si>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</si>
  <si>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</si>
  <si>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</si>
  <si>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</si>
  <si>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</si>
  <si>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</si>
  <si>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</si>
  <si>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</si>
  <si>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</si>
  <si>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</si>
  <si>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</si>
  <si>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</si>
  <si>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</si>
  <si>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</si>
  <si>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</si>
  <si>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</si>
  <si>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</si>
  <si>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</si>
  <si>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</si>
  <si>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</si>
  <si>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</si>
  <si>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</si>
  <si>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</si>
  <si>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</si>
  <si>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</si>
  <si>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</si>
  <si>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</si>
  <si>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</si>
  <si>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</si>
  <si>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</si>
  <si>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</si>
  <si>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</si>
  <si>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</si>
  <si>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</si>
  <si>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</si>
  <si>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</si>
  <si>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</si>
  <si>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</si>
  <si>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</si>
  <si>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</si>
  <si>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</si>
  <si>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</si>
  <si>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</si>
  <si>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</si>
  <si>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</si>
  <si>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</si>
  <si>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</si>
  <si>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</si>
  <si>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</si>
  <si>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</si>
  <si>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</si>
  <si>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</si>
  <si>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</si>
  <si>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</si>
  <si>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</si>
  <si>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</si>
  <si>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</si>
  <si>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</si>
  <si>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</si>
  <si>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</si>
  <si>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</si>
  <si>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</si>
  <si>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</si>
  <si>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</si>
  <si>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</si>
  <si>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</si>
  <si>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</si>
  <si>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</si>
  <si>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</si>
  <si>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</si>
  <si>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</si>
  <si>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</si>
  <si>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</si>
  <si>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</si>
  <si>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</si>
  <si>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</si>
  <si>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</si>
  <si>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</si>
  <si>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</si>
  <si>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</si>
  <si>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</si>
  <si>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</si>
  <si>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</si>
  <si>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</si>
  <si>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</si>
  <si>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</si>
  <si>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</si>
  <si>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</si>
  <si>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</si>
  <si>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</si>
  <si>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</si>
  <si>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</si>
  <si>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</si>
  <si>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</si>
  <si>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</si>
  <si>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</si>
  <si>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</si>
  <si>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</si>
  <si>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</si>
  <si>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</si>
  <si>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</si>
  <si>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</si>
  <si>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</si>
  <si>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</si>
  <si>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</si>
  <si>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</si>
  <si>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</si>
  <si>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</si>
  <si>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</si>
  <si>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</si>
  <si>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</si>
  <si>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</si>
  <si>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</si>
  <si>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</si>
  <si>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</si>
  <si>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</si>
  <si>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</si>
  <si>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</si>
  <si>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</si>
  <si>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</si>
  <si>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</si>
  <si>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</si>
  <si>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</si>
  <si>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</si>
  <si>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</si>
  <si>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</si>
  <si>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</si>
  <si>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</si>
  <si>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</si>
  <si>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</si>
  <si>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</si>
  <si>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</si>
  <si>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</si>
  <si>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</si>
  <si>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</si>
  <si>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</si>
  <si>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</si>
  <si>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</si>
  <si>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</si>
  <si>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</si>
  <si>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</si>
  <si>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</si>
  <si>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</si>
  <si>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</si>
  <si>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</si>
  <si>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</si>
  <si>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</si>
  <si>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</si>
  <si>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</si>
  <si>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</si>
  <si>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</si>
  <si>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</si>
  <si>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</si>
  <si>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</si>
  <si>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</si>
  <si>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</si>
  <si>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</si>
  <si>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</si>
  <si>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</si>
  <si>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</si>
  <si>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</si>
  <si>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</si>
  <si>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</si>
  <si>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</si>
  <si>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</si>
  <si>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</si>
  <si>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</si>
  <si>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</si>
  <si>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</si>
  <si>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</si>
  <si>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</si>
  <si>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</si>
  <si>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</si>
  <si>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</si>
  <si>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</si>
  <si>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</si>
  <si>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</si>
  <si>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</si>
  <si>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</si>
  <si>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</si>
  <si>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</si>
  <si>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</si>
  <si>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</si>
  <si>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</si>
  <si>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</si>
  <si>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</si>
  <si>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</si>
  <si>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</si>
  <si>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</si>
  <si>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</si>
  <si>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</si>
  <si>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</si>
  <si>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</si>
  <si>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</si>
  <si>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</si>
  <si>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</si>
  <si>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</si>
  <si>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</si>
  <si>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</si>
  <si>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</si>
  <si>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</si>
  <si>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</si>
  <si>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</si>
  <si>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</si>
  <si>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</si>
  <si>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</si>
  <si>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</si>
  <si>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</si>
  <si>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</si>
  <si>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</si>
  <si>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</si>
  <si>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</si>
  <si>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</si>
  <si>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</si>
  <si>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</si>
  <si>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</si>
  <si>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</si>
  <si>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</si>
  <si>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</si>
  <si>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</si>
  <si>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</si>
  <si>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</si>
  <si>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</si>
  <si>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</si>
  <si>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</si>
  <si>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</si>
  <si>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</si>
  <si>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</si>
  <si>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</si>
  <si>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</si>
  <si>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</si>
  <si>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</si>
  <si>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</si>
  <si>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</si>
  <si>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</si>
  <si>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</si>
  <si>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</si>
  <si>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</si>
  <si>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</si>
  <si>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</si>
  <si>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</si>
  <si>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</si>
  <si>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</si>
  <si>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</si>
  <si>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</si>
  <si>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</si>
  <si>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</si>
  <si>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</si>
  <si>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</si>
  <si>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</si>
  <si>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</si>
  <si>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</si>
  <si>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</si>
  <si>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</si>
  <si>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</si>
  <si>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</si>
  <si>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</si>
  <si>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</si>
  <si>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</si>
  <si>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</si>
  <si>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</si>
  <si>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</si>
  <si>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</si>
  <si>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</si>
  <si>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</si>
  <si>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</si>
  <si>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</si>
  <si>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</si>
  <si>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</si>
  <si>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</si>
  <si>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</si>
  <si>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</si>
  <si>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</si>
  <si>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</si>
  <si>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</si>
  <si>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</si>
  <si>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</si>
  <si>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</si>
  <si>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</si>
  <si>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</si>
  <si>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</si>
  <si>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</si>
  <si>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</si>
  <si>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</si>
  <si>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</si>
  <si>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</si>
  <si>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</si>
  <si>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</si>
  <si>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</si>
  <si>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</si>
  <si>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</si>
  <si>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</si>
  <si>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</si>
  <si>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</si>
  <si>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</si>
  <si>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</si>
  <si>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</si>
  <si>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</si>
  <si>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</si>
  <si>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</si>
  <si>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</si>
  <si>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</si>
  <si>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</si>
  <si>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</si>
  <si>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</si>
  <si>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</si>
  <si>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</si>
  <si>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</si>
  <si>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</si>
  <si>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</si>
  <si>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</si>
  <si>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</si>
  <si>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</si>
  <si>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</si>
  <si>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</si>
  <si>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</si>
  <si>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</si>
  <si>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</si>
  <si>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</si>
  <si>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</si>
  <si>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</si>
  <si>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</si>
  <si>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</si>
  <si>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</si>
  <si>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</si>
  <si>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</si>
  <si>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</si>
  <si>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</si>
  <si>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</si>
  <si>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</si>
  <si>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</si>
  <si>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</si>
  <si>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</si>
  <si>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</si>
  <si>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</si>
  <si>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</si>
  <si>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</si>
  <si>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</si>
  <si>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</si>
  <si>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</si>
  <si>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</si>
  <si>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</si>
  <si>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</si>
  <si>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</si>
  <si>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</si>
  <si>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</si>
  <si>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</si>
  <si>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</si>
  <si>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</si>
  <si>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</si>
  <si>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</si>
  <si>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</si>
  <si>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</si>
  <si>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</si>
  <si>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</si>
  <si>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</si>
  <si>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</si>
  <si>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</si>
  <si>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</si>
  <si>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</si>
  <si>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</si>
  <si>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</si>
  <si>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</si>
  <si>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</si>
  <si>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</si>
  <si>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</si>
  <si>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</si>
  <si>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</si>
  <si>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</si>
  <si>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</si>
  <si>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</si>
  <si>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</si>
  <si>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</si>
  <si>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</si>
  <si>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</si>
  <si>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</si>
  <si>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</si>
  <si>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</si>
  <si>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</si>
  <si>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</si>
  <si>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</si>
  <si>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</si>
  <si>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</si>
  <si>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</si>
  <si>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</si>
  <si>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</si>
  <si>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</si>
  <si>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</si>
  <si>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</si>
  <si>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</si>
  <si>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</si>
  <si>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</si>
  <si>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</si>
  <si>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</si>
  <si>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</si>
  <si>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</si>
  <si>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</si>
  <si>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</si>
  <si>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</si>
  <si>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</si>
  <si>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</si>
  <si>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</si>
  <si>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</si>
  <si>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</si>
  <si>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</si>
  <si>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</si>
  <si>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</si>
  <si>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</si>
  <si>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</si>
  <si>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</si>
  <si>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</si>
  <si>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</si>
  <si>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</si>
  <si>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</si>
  <si>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</si>
  <si>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</si>
  <si>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</si>
  <si>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</si>
  <si>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</si>
  <si>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</si>
  <si>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</si>
  <si>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</si>
  <si>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</si>
  <si>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</si>
  <si>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</si>
  <si>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</si>
  <si>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</si>
  <si>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</si>
  <si>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</si>
  <si>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</si>
  <si>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</si>
  <si>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</si>
  <si>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</si>
  <si>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</si>
  <si>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</si>
  <si>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</si>
  <si>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</si>
  <si>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</si>
  <si>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</si>
  <si>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</si>
  <si>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</si>
  <si>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</si>
  <si>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</si>
  <si>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</si>
  <si>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</si>
  <si>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</si>
  <si>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</si>
  <si>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</si>
  <si>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</si>
  <si>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</si>
  <si>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</si>
  <si>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</si>
  <si>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</si>
  <si>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</si>
  <si>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</si>
  <si>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</si>
  <si>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</si>
  <si>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</si>
  <si>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</si>
  <si>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</si>
  <si>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</si>
  <si>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</si>
  <si>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</si>
  <si>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</si>
  <si>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</si>
  <si>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</si>
  <si>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</si>
  <si>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</si>
  <si>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</si>
  <si>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</si>
  <si>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</si>
  <si>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</si>
  <si>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</si>
  <si>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</si>
  <si>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</si>
  <si>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</si>
  <si>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</si>
  <si>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</si>
  <si>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</si>
  <si>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</si>
  <si>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</si>
  <si>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</si>
  <si>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</si>
  <si>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</si>
  <si>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</si>
  <si>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</si>
  <si>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</si>
  <si>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</si>
  <si>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</si>
  <si>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</si>
  <si>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</si>
  <si>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</si>
  <si>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</si>
  <si>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</si>
  <si>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</si>
  <si>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</si>
  <si>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</si>
  <si>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</si>
  <si>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</si>
  <si>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</si>
  <si>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</si>
  <si>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</si>
  <si>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</si>
  <si>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</si>
  <si>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</si>
  <si>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</si>
  <si>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</si>
  <si>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</si>
  <si>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</si>
  <si>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</si>
  <si>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</si>
  <si>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</si>
  <si>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</si>
  <si>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</si>
  <si>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</si>
  <si>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</si>
  <si>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</si>
  <si>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</si>
  <si>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</si>
  <si>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</si>
  <si>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</si>
  <si>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</si>
  <si>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</si>
  <si>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</si>
  <si>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</si>
  <si>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</si>
  <si>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</si>
  <si>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</si>
  <si>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</si>
  <si>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</si>
  <si>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</si>
  <si>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</si>
  <si>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</si>
  <si>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</si>
  <si>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</si>
  <si>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</si>
  <si>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</si>
  <si>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</si>
  <si>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</si>
  <si>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</si>
  <si>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</si>
  <si>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</si>
  <si>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</si>
  <si>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</si>
  <si>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</si>
  <si>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</si>
  <si>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</si>
  <si>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</si>
  <si>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</si>
  <si>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</si>
  <si>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</si>
  <si>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</si>
  <si>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</si>
  <si>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</si>
  <si>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</si>
  <si>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</si>
  <si>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</si>
  <si>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</si>
  <si>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</si>
  <si>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</si>
  <si>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</si>
  <si>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</si>
  <si>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</si>
  <si>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</si>
  <si>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</si>
  <si>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</si>
  <si>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</si>
  <si>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</si>
  <si>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</si>
  <si>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</si>
  <si>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</si>
  <si>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</si>
  <si>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</si>
  <si>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</si>
  <si>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</si>
  <si>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</si>
  <si>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</si>
  <si>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</si>
  <si>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</si>
  <si>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</si>
  <si>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</si>
  <si>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</si>
  <si>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</si>
  <si>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</si>
  <si>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</si>
  <si>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</si>
  <si>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</si>
  <si>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</si>
  <si>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</si>
  <si>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</si>
  <si>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</si>
  <si>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</si>
  <si>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</si>
  <si>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</si>
  <si>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</si>
  <si>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</si>
  <si>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</si>
  <si>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</si>
  <si>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</si>
  <si>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</si>
  <si>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</si>
  <si>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</si>
  <si>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</si>
  <si>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</si>
  <si>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</si>
  <si>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</si>
  <si>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</si>
  <si>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</si>
  <si>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</si>
  <si>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</si>
  <si>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</si>
  <si>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</si>
  <si>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</si>
  <si>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</si>
  <si>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</si>
  <si>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</si>
  <si>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</si>
  <si>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</si>
  <si>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</si>
  <si>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</si>
  <si>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</si>
  <si>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</si>
  <si>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</si>
  <si>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</si>
  <si>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</si>
  <si>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</si>
  <si>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</si>
  <si>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</si>
  <si>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</si>
  <si>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</si>
  <si>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</si>
  <si>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</si>
  <si>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</si>
  <si>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</si>
  <si>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</si>
  <si>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</si>
  <si>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</si>
  <si>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</si>
  <si>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</si>
  <si>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</si>
  <si>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</si>
  <si>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</si>
  <si>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</si>
  <si>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</si>
  <si>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</si>
  <si>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</si>
  <si>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</si>
  <si>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</si>
  <si>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</si>
  <si>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</si>
  <si>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</si>
  <si>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</si>
  <si>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</si>
  <si>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</si>
  <si>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</si>
  <si>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</si>
  <si>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</si>
  <si>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</si>
  <si>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</si>
  <si>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</si>
  <si>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</si>
  <si>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</si>
  <si>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</si>
  <si>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</si>
  <si>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</si>
  <si>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</si>
  <si>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</si>
  <si>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</si>
  <si>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</si>
  <si>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</si>
  <si>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</si>
  <si>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</si>
  <si>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</si>
  <si>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</si>
  <si>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</si>
  <si>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</si>
  <si>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</si>
  <si>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</si>
  <si>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</si>
  <si>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</si>
  <si>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</si>
  <si>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</si>
  <si>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</si>
  <si>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</si>
  <si>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</si>
  <si>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</si>
  <si>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</si>
  <si>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</si>
  <si>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</si>
  <si>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</si>
  <si>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</si>
  <si>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</si>
  <si>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</si>
  <si>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</si>
  <si>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</si>
  <si>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</si>
  <si>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</si>
  <si>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</si>
  <si>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</si>
  <si>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</si>
  <si>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</si>
  <si>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</si>
  <si>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</si>
  <si>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</si>
  <si>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</si>
  <si>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</si>
  <si>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</si>
  <si>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</si>
  <si>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</si>
  <si>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</si>
  <si>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</si>
  <si>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</si>
  <si>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</si>
  <si>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</si>
  <si>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</si>
  <si>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</si>
  <si>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</si>
  <si>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</si>
  <si>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</si>
  <si>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</si>
  <si>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</si>
  <si>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</si>
  <si>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</si>
  <si>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</si>
  <si>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</si>
  <si>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</si>
  <si>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</si>
  <si>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</si>
  <si>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</si>
  <si>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</si>
  <si>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</si>
  <si>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</si>
  <si>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</si>
  <si>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</si>
  <si>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</si>
  <si>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</si>
  <si>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</si>
  <si>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</si>
  <si>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</si>
  <si>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</si>
  <si>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</si>
  <si>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</si>
  <si>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</si>
  <si>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</si>
  <si>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</si>
  <si>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</si>
  <si>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</si>
  <si>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</si>
  <si>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</si>
  <si>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</si>
  <si>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</si>
  <si>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</si>
  <si>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</si>
  <si>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</si>
  <si>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</si>
  <si>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</si>
  <si>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</si>
  <si>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</si>
  <si>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</si>
  <si>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</si>
  <si>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</si>
  <si>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</si>
  <si>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</si>
  <si>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</si>
  <si>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</si>
  <si>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</si>
  <si>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</si>
  <si>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</si>
  <si>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</si>
  <si>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</si>
  <si>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</si>
  <si>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</si>
  <si>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</si>
  <si>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</si>
  <si>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</si>
  <si>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</si>
  <si>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</si>
  <si>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</si>
  <si>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</si>
  <si>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</si>
  <si>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</si>
  <si>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</si>
  <si>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</si>
  <si>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</si>
  <si>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</si>
  <si>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</si>
  <si>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</si>
  <si>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</si>
  <si>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</si>
  <si>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</si>
  <si>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</si>
  <si>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</si>
  <si>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</si>
  <si>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</si>
  <si>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</si>
  <si>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</si>
  <si>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</si>
  <si>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</si>
  <si>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</si>
  <si>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</si>
  <si>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</si>
  <si>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</si>
  <si>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</si>
  <si>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</si>
  <si>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</si>
  <si>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</si>
  <si>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</si>
  <si>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</si>
  <si>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</si>
  <si>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</si>
  <si>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</si>
  <si>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</si>
  <si>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</si>
  <si>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</si>
  <si>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</si>
  <si>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</si>
  <si>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</si>
  <si>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</si>
  <si>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</si>
  <si>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</si>
  <si>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</si>
  <si>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</si>
  <si>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</si>
  <si>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</si>
  <si>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</si>
  <si>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</si>
  <si>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</si>
  <si>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</si>
  <si>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</si>
  <si>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</si>
  <si>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</si>
  <si>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</si>
  <si>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</si>
  <si>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</si>
  <si>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</si>
  <si>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</si>
  <si>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</si>
  <si>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</si>
  <si>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</si>
  <si>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</si>
  <si>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</si>
  <si>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</si>
  <si>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</si>
  <si>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</si>
  <si>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</si>
  <si>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</si>
  <si>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</si>
  <si>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</si>
  <si>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</si>
  <si>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</si>
  <si>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</si>
  <si>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</si>
  <si>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</si>
  <si>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</si>
  <si>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</si>
  <si>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</si>
  <si>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</si>
  <si>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</si>
  <si>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</si>
  <si>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</si>
  <si>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</si>
  <si>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</si>
  <si>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</si>
  <si>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</si>
  <si>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</si>
  <si>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</si>
  <si>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</si>
  <si>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</si>
  <si>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</si>
  <si>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</si>
  <si>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</si>
  <si>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</si>
  <si>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</si>
  <si>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</si>
  <si>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</si>
  <si>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</si>
  <si>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</si>
  <si>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</si>
  <si>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</si>
  <si>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</si>
  <si>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</si>
  <si>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</si>
  <si>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</si>
  <si>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</si>
  <si>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</si>
  <si>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</si>
  <si>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</si>
  <si>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</si>
  <si>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</si>
  <si>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</si>
  <si>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</si>
  <si>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</si>
  <si>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</si>
  <si>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</si>
  <si>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</si>
  <si>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</si>
  <si>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</si>
  <si>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</si>
  <si>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</si>
  <si>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</si>
  <si>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</si>
  <si>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</si>
  <si>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</si>
  <si>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</si>
  <si>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</si>
  <si>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</si>
  <si>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</si>
  <si>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</si>
  <si>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</si>
  <si>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</si>
  <si>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</si>
  <si>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</si>
  <si>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</si>
  <si>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</si>
  <si>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</si>
  <si>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</si>
  <si>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</si>
  <si>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</si>
  <si>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</si>
  <si>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</si>
  <si>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</si>
  <si>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</si>
  <si>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</si>
  <si>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</si>
  <si>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</si>
  <si>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</si>
  <si>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</si>
  <si>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</si>
  <si>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</si>
  <si>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</si>
  <si>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</si>
  <si>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</si>
  <si>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</si>
  <si>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</si>
  <si>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</si>
  <si>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</si>
  <si>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</si>
  <si>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</si>
  <si>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</si>
  <si>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</si>
  <si>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</si>
  <si>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</si>
  <si>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</si>
  <si>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</si>
  <si>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</si>
  <si>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</si>
  <si>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</si>
  <si>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</si>
  <si>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</si>
  <si>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</si>
  <si>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</si>
  <si>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</si>
  <si>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</si>
  <si>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</si>
  <si>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</si>
  <si>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</si>
  <si>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</si>
  <si>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</si>
  <si>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</si>
  <si>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</si>
  <si>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Toplam Stok Miktarı
07.09.2026</t>
  </si>
  <si>
    <t>Güncelleme Tarihi 07.09.2026</t>
  </si>
  <si>
    <t>Rezerve Ayrıntıları</t>
  </si>
  <si>
    <t>1x KPS71 1x KPS72</t>
  </si>
  <si>
    <t>4x KPS71 4x KPS72</t>
  </si>
  <si>
    <t>8x KPS71 8x KPS72</t>
  </si>
  <si>
    <t>2x KPS71 2x KPS72</t>
  </si>
  <si>
    <t>2x KPS50 2x KPS54 2x KPS71 2x KPS72</t>
  </si>
  <si>
    <t>3x KPS51 2x KPS2 2x KPS3 3x KPS4 5x KPS71 5x KPS72 1x KPS50 2x KPS65
10x KH Merkez</t>
  </si>
  <si>
    <t>3x KPS2 3x KPS3 1x KPS54 10x KPS4 26x KPS71 26x KPS72 1x KPS50 
3x KPS12 5x KPS65 56x KH Merkez</t>
  </si>
  <si>
    <t>26x KPS71 26x KPS72</t>
  </si>
  <si>
    <t>Rezerve</t>
  </si>
  <si>
    <t>Satışa Açık</t>
  </si>
  <si>
    <t>Toplam Rezerve</t>
  </si>
  <si>
    <t>Toplam Satışa Açık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</si>
</sst>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53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6" fillId="11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/>
    </xf>
    <xf numFmtId="0" fontId="5" fillId="2" borderId="15" xfId="0" applyFont="1" applyFill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 wrapText="1"/>
    </xf>
    <xf numFmtId="0" fontId="5" fillId="11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left" vertical="center" wrapText="1"/>
    </xf>
    <xf numFmtId="0" fontId="4" fillId="11" borderId="1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95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94"/>
      <tableStyleElement type="headerRow" dxfId="193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Dashboard!$N$5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Dashboard!$M$6:$M$112</c:f>
              <c:numCache>
                <c:formatCode>m/d/yyyy</c:formatCode>
                <c:ptCount val="107"/>
                <c:pt idx="0">
                  <c:v>46272</c:v>
                </c:pt>
                <c:pt idx="1">
                  <c:v>46265</c:v>
                </c:pt>
                <c:pt idx="2">
                  <c:v>46258</c:v>
                </c:pt>
                <c:pt idx="3">
                  <c:v>46251</c:v>
                </c:pt>
                <c:pt idx="4">
                  <c:v>46244</c:v>
                </c:pt>
                <c:pt idx="5">
                  <c:v>46237</c:v>
                </c:pt>
                <c:pt idx="6">
                  <c:v>46223</c:v>
                </c:pt>
                <c:pt idx="7">
                  <c:v>46216</c:v>
                </c:pt>
                <c:pt idx="8">
                  <c:v>46209</c:v>
                </c:pt>
                <c:pt idx="9">
                  <c:v>46202</c:v>
                </c:pt>
                <c:pt idx="10">
                  <c:v>46195</c:v>
                </c:pt>
                <c:pt idx="11">
                  <c:v>46188</c:v>
                </c:pt>
                <c:pt idx="12">
                  <c:v>46181</c:v>
                </c:pt>
                <c:pt idx="13">
                  <c:v>46174</c:v>
                </c:pt>
                <c:pt idx="14">
                  <c:v>46160</c:v>
                </c:pt>
                <c:pt idx="15">
                  <c:v>46153</c:v>
                </c:pt>
                <c:pt idx="16">
                  <c:v>46146</c:v>
                </c:pt>
                <c:pt idx="17">
                  <c:v>46139</c:v>
                </c:pt>
                <c:pt idx="18">
                  <c:v>46132</c:v>
                </c:pt>
                <c:pt idx="19">
                  <c:v>46125</c:v>
                </c:pt>
                <c:pt idx="20">
                  <c:v>46118</c:v>
                </c:pt>
                <c:pt idx="21">
                  <c:v>46111</c:v>
                </c:pt>
                <c:pt idx="22">
                  <c:v>46104</c:v>
                </c:pt>
                <c:pt idx="23">
                  <c:v>46097</c:v>
                </c:pt>
                <c:pt idx="24">
                  <c:v>46090</c:v>
                </c:pt>
                <c:pt idx="25">
                  <c:v>46083</c:v>
                </c:pt>
                <c:pt idx="26">
                  <c:v>46076</c:v>
                </c:pt>
                <c:pt idx="27">
                  <c:v>46069</c:v>
                </c:pt>
                <c:pt idx="28">
                  <c:v>46062</c:v>
                </c:pt>
                <c:pt idx="29">
                  <c:v>46055</c:v>
                </c:pt>
                <c:pt idx="30">
                  <c:v>46048</c:v>
                </c:pt>
                <c:pt idx="31">
                  <c:v>46041</c:v>
                </c:pt>
                <c:pt idx="32">
                  <c:v>46034</c:v>
                </c:pt>
                <c:pt idx="33">
                  <c:v>46027</c:v>
                </c:pt>
                <c:pt idx="34">
                  <c:v>46020</c:v>
                </c:pt>
                <c:pt idx="35">
                  <c:v>46013</c:v>
                </c:pt>
                <c:pt idx="36">
                  <c:v>46006</c:v>
                </c:pt>
                <c:pt idx="37">
                  <c:v>45999</c:v>
                </c:pt>
                <c:pt idx="38">
                  <c:v>45992</c:v>
                </c:pt>
                <c:pt idx="39">
                  <c:v>45985</c:v>
                </c:pt>
                <c:pt idx="40">
                  <c:v>45978</c:v>
                </c:pt>
                <c:pt idx="41">
                  <c:v>45971</c:v>
                </c:pt>
                <c:pt idx="42">
                  <c:v>45964</c:v>
                </c:pt>
                <c:pt idx="43">
                  <c:v>45950</c:v>
                </c:pt>
                <c:pt idx="44">
                  <c:v>45943</c:v>
                </c:pt>
                <c:pt idx="45">
                  <c:v>45936</c:v>
                </c:pt>
                <c:pt idx="46">
                  <c:v>45929</c:v>
                </c:pt>
                <c:pt idx="47">
                  <c:v>45919</c:v>
                </c:pt>
                <c:pt idx="48">
                  <c:v>45908</c:v>
                </c:pt>
                <c:pt idx="49">
                  <c:v>45896</c:v>
                </c:pt>
                <c:pt idx="50">
                  <c:v>45866</c:v>
                </c:pt>
                <c:pt idx="51">
                  <c:v>45840</c:v>
                </c:pt>
                <c:pt idx="52">
                  <c:v>45824</c:v>
                </c:pt>
                <c:pt idx="53">
                  <c:v>45805</c:v>
                </c:pt>
                <c:pt idx="54">
                  <c:v>45797</c:v>
                </c:pt>
                <c:pt idx="55">
                  <c:v>45783</c:v>
                </c:pt>
                <c:pt idx="56">
                  <c:v>45769</c:v>
                </c:pt>
                <c:pt idx="57">
                  <c:v>45762</c:v>
                </c:pt>
                <c:pt idx="58">
                  <c:v>45750</c:v>
                </c:pt>
                <c:pt idx="59">
                  <c:v>45741</c:v>
                </c:pt>
                <c:pt idx="60">
                  <c:v>45736</c:v>
                </c:pt>
                <c:pt idx="61">
                  <c:v>45726</c:v>
                </c:pt>
                <c:pt idx="62">
                  <c:v>45723</c:v>
                </c:pt>
                <c:pt idx="63">
                  <c:v>45716</c:v>
                </c:pt>
                <c:pt idx="64">
                  <c:v>45712</c:v>
                </c:pt>
                <c:pt idx="65">
                  <c:v>45705</c:v>
                </c:pt>
                <c:pt idx="66">
                  <c:v>45702</c:v>
                </c:pt>
                <c:pt idx="67">
                  <c:v>45698</c:v>
                </c:pt>
                <c:pt idx="68">
                  <c:v>45691</c:v>
                </c:pt>
                <c:pt idx="69">
                  <c:v>45684</c:v>
                </c:pt>
                <c:pt idx="70">
                  <c:v>45677</c:v>
                </c:pt>
                <c:pt idx="71">
                  <c:v>45672</c:v>
                </c:pt>
                <c:pt idx="72">
                  <c:v>45656</c:v>
                </c:pt>
                <c:pt idx="73">
                  <c:v>45649</c:v>
                </c:pt>
                <c:pt idx="74">
                  <c:v>45642</c:v>
                </c:pt>
                <c:pt idx="75">
                  <c:v>45635</c:v>
                </c:pt>
                <c:pt idx="76">
                  <c:v>45630</c:v>
                </c:pt>
                <c:pt idx="77">
                  <c:v>45614</c:v>
                </c:pt>
                <c:pt idx="78">
                  <c:v>45608</c:v>
                </c:pt>
                <c:pt idx="79">
                  <c:v>45596</c:v>
                </c:pt>
                <c:pt idx="80">
                  <c:v>45580</c:v>
                </c:pt>
                <c:pt idx="81">
                  <c:v>45570</c:v>
                </c:pt>
                <c:pt idx="82">
                  <c:v>45563</c:v>
                </c:pt>
                <c:pt idx="83">
                  <c:v>45552</c:v>
                </c:pt>
                <c:pt idx="84">
                  <c:v>45539</c:v>
                </c:pt>
                <c:pt idx="85">
                  <c:v>45524</c:v>
                </c:pt>
                <c:pt idx="86">
                  <c:v>45511</c:v>
                </c:pt>
                <c:pt idx="87">
                  <c:v>45500</c:v>
                </c:pt>
                <c:pt idx="88">
                  <c:v>45490</c:v>
                </c:pt>
                <c:pt idx="89">
                  <c:v>45478</c:v>
                </c:pt>
                <c:pt idx="90">
                  <c:v>45467</c:v>
                </c:pt>
                <c:pt idx="91">
                  <c:v>45455</c:v>
                </c:pt>
                <c:pt idx="92">
                  <c:v>45442</c:v>
                </c:pt>
                <c:pt idx="93">
                  <c:v>45427</c:v>
                </c:pt>
                <c:pt idx="94">
                  <c:v>45427</c:v>
                </c:pt>
                <c:pt idx="95">
                  <c:v>45411</c:v>
                </c:pt>
                <c:pt idx="96">
                  <c:v>45397</c:v>
                </c:pt>
                <c:pt idx="97">
                  <c:v>45376</c:v>
                </c:pt>
                <c:pt idx="98">
                  <c:v>45364</c:v>
                </c:pt>
                <c:pt idx="99">
                  <c:v>45352</c:v>
                </c:pt>
                <c:pt idx="100">
                  <c:v>45334</c:v>
                </c:pt>
                <c:pt idx="101">
                  <c:v>45320</c:v>
                </c:pt>
                <c:pt idx="102">
                  <c:v>45313</c:v>
                </c:pt>
                <c:pt idx="103">
                  <c:v>45293</c:v>
                </c:pt>
                <c:pt idx="104">
                  <c:v>45285</c:v>
                </c:pt>
                <c:pt idx="105">
                  <c:v>45275</c:v>
                </c:pt>
                <c:pt idx="106">
                  <c:v>45173</c:v>
                </c:pt>
              </c:numCache>
            </c:numRef>
          </c:cat>
          <c:val>
            <c:numRef>
              <c:f>Dashboard!$N$6:$N$112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49130"/>
          <a:ext cx="5245370" cy="487004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190229</xdr:colOff>
      <xdr:row>4</xdr:row>
      <xdr:rowOff>6948</xdr:rowOff>
    </xdr:from>
    <xdr:to>
      <xdr:col>33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17</xdr:col>
      <xdr:colOff>190234</xdr:colOff>
      <xdr:row>18</xdr:row>
      <xdr:rowOff>121055</xdr:rowOff>
    </xdr:from>
    <xdr:to>
      <xdr:col>29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4970873" y="4471480"/>
          <a:ext cx="2741035" cy="243553"/>
          <a:chOff x="12287119" y="4479059"/>
          <a:chExt cx="2732344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27" y="4479059"/>
                <a:ext cx="2418936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201885</xdr:colOff>
      <xdr:row>20</xdr:row>
      <xdr:rowOff>118894</xdr:rowOff>
    </xdr:from>
    <xdr:to>
      <xdr:col>29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4982524" y="4865632"/>
          <a:ext cx="2671018" cy="243551"/>
          <a:chOff x="12298770" y="4874615"/>
          <a:chExt cx="2662354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49" y="4874615"/>
                <a:ext cx="2360575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95115</xdr:colOff>
      <xdr:row>22</xdr:row>
      <xdr:rowOff>77822</xdr:rowOff>
    </xdr:from>
    <xdr:to>
      <xdr:col>27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5344122" y="5220872"/>
          <a:ext cx="1860770" cy="211127"/>
          <a:chOff x="12658928" y="5231328"/>
          <a:chExt cx="1855009" cy="21184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8" y="5231328"/>
                <a:ext cx="1597769" cy="21184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75.727885763888" createdVersion="8" refreshedVersion="8" minRefreshableVersion="3" recordCount="448" xr:uid="{E6DC5BDC-5863-4C38-BE7A-78E8A3D5FDB4}">
  <cacheSource type="worksheet">
    <worksheetSource ref="A1:DS449" sheet="Stok"/>
  </cacheSource>
  <cacheFields count="123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0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7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Rezerve" numFmtId="0">
      <sharedItems containsString="0" containsBlank="1" containsNumber="1" containsInteger="1" minValue="2" maxValue="72"/>
    </cacheField>
    <cacheField name="Satışa Açık" numFmtId="0">
      <sharedItems containsSemiMixedTypes="0" containsString="0" containsNumber="1" containsInteger="1" minValue="0" maxValue="11439"/>
    </cacheField>
    <cacheField name="Rezerve Ayrıntıları" numFmtId="0">
      <sharedItems containsBlank="1"/>
    </cacheField>
  </cacheFields>
  <extLst>
    <ext xmlns:x14="http://schemas.microsoft.com/office/spreadsheetml/2009/9/main" uri="{725AE2AE-9491-48be-B2B4-4EB974FC3084}">
      <x14:pivotCacheDefinition pivotCacheId="8950941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m/>
    <n v="0"/>
    <m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m/>
    <n v="14"/>
    <m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m/>
    <n v="56"/>
    <m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m/>
    <n v="43"/>
    <m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m/>
    <n v="1"/>
    <m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m/>
    <n v="9"/>
    <m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m/>
    <n v="30"/>
    <m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m/>
    <n v="10"/>
    <m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m/>
    <n v="500"/>
    <m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m/>
    <n v="207"/>
    <m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m/>
    <n v="13"/>
    <m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m/>
    <n v="24"/>
    <m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m/>
    <n v="0"/>
    <m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0"/>
    <s v="1x KPS71 1x KPS7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0"/>
    <s v="4x KPS71 4x KPS72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6"/>
    <n v="2"/>
    <s v="8x KPS71 8x KPS72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0"/>
    <s v="2x KPS71 2x KPS72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m/>
    <n v="24"/>
    <m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m/>
    <n v="161"/>
    <m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  <m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m/>
    <n v="27"/>
    <m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m/>
    <n v="141"/>
    <m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m/>
    <n v="29"/>
    <m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m/>
    <n v="38"/>
    <m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m/>
    <n v="128"/>
    <m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m/>
    <n v="0"/>
    <m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m/>
    <n v="0"/>
    <m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m/>
    <n v="73"/>
    <m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m/>
    <n v="8"/>
    <m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m/>
    <n v="10"/>
    <m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  <m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m/>
    <n v="26"/>
    <m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m/>
    <n v="18"/>
    <m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m/>
    <n v="116"/>
    <m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m/>
    <n v="64"/>
    <m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m/>
    <n v="97"/>
    <m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m/>
    <n v="78"/>
    <m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m/>
    <n v="500"/>
    <m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m/>
    <n v="400"/>
    <m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m/>
    <n v="288"/>
    <m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m/>
    <n v="65"/>
    <m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m/>
    <n v="80"/>
    <m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m/>
    <n v="204"/>
    <m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m/>
    <n v="548"/>
    <m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m/>
    <n v="402"/>
    <m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m/>
    <n v="0"/>
    <m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m/>
    <n v="18"/>
    <m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m/>
    <n v="48"/>
    <m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m/>
    <n v="29"/>
    <m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m/>
    <n v="1216"/>
    <m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m/>
    <n v="914"/>
    <m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m/>
    <n v="3"/>
    <m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m/>
    <n v="0"/>
    <m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  <m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m/>
    <n v="22"/>
    <m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m/>
    <n v="757"/>
    <m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m/>
    <n v="1140"/>
    <m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m/>
    <n v="786"/>
    <m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m/>
    <n v="0"/>
    <m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m/>
    <n v="0"/>
    <m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m/>
    <n v="50"/>
    <m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m/>
    <n v="0"/>
    <m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m/>
    <n v="0"/>
    <m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  <m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m/>
    <n v="1163"/>
    <m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m/>
    <n v="662"/>
    <m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m/>
    <n v="0"/>
    <m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m/>
    <n v="0"/>
    <m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m/>
    <n v="14"/>
    <m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m/>
    <n v="491"/>
    <m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m/>
    <n v="0"/>
    <m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m/>
    <n v="139"/>
    <m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m/>
    <n v="3112"/>
    <m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m/>
    <n v="3538"/>
    <m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m/>
    <n v="1000"/>
    <m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m/>
    <n v="8"/>
    <m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m/>
    <n v="12"/>
    <m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m/>
    <n v="427"/>
    <m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m/>
    <n v="407"/>
    <m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m/>
    <n v="1918"/>
    <m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m/>
    <n v="6486"/>
    <m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m/>
    <n v="87"/>
    <m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m/>
    <n v="1"/>
    <m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m/>
    <n v="264"/>
    <m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m/>
    <n v="83"/>
    <m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m/>
    <n v="763"/>
    <m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m/>
    <n v="476"/>
    <m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m/>
    <n v="492"/>
    <m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m/>
    <n v="100"/>
    <m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m/>
    <n v="488"/>
    <m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m/>
    <n v="302"/>
    <m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m/>
    <n v="102"/>
    <m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m/>
    <n v="76"/>
    <m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m/>
    <n v="0"/>
    <m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m/>
    <n v="0"/>
    <m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m/>
    <n v="57"/>
    <m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m/>
    <n v="14"/>
    <m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m/>
    <n v="295"/>
    <m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m/>
    <n v="325"/>
    <m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m/>
    <n v="332"/>
    <m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m/>
    <n v="1275"/>
    <m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m/>
    <n v="884"/>
    <m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m/>
    <n v="135"/>
    <m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m/>
    <n v="804"/>
    <m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m/>
    <n v="969"/>
    <m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m/>
    <n v="1490"/>
    <m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m/>
    <n v="1223"/>
    <m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m/>
    <n v="1154"/>
    <m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m/>
    <n v="1322"/>
    <m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m/>
    <n v="11439"/>
    <m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m/>
    <n v="945"/>
    <m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m/>
    <n v="687"/>
    <m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m/>
    <n v="101"/>
    <m/>
  </r>
  <r>
    <m/>
    <x v="223"/>
    <s v="1.25G SFP,10km,1310nm,0-70C,DDM,LC"/>
    <x v="11"/>
    <x v="6"/>
    <n v="1006"/>
    <s v="F2 Connect"/>
    <s v="Adet"/>
    <n v="652"/>
    <m/>
    <s v="Sıfır paketli"/>
    <m/>
    <n v="4.8125"/>
    <n v="1501.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m/>
    <n v="312"/>
    <m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m/>
    <n v="88"/>
    <m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m/>
    <n v="114"/>
    <m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m/>
    <n v="10"/>
    <m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m/>
    <n v="26"/>
    <m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m/>
    <n v="21"/>
    <m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m/>
    <n v="49"/>
    <m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m/>
    <n v="21"/>
    <m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m/>
    <n v="39"/>
    <m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m/>
    <n v="8"/>
    <m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m/>
    <n v="12"/>
    <m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m/>
    <n v="8"/>
    <m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m/>
    <n v="1"/>
    <m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m/>
    <n v="8"/>
    <m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m/>
    <n v="5"/>
    <m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m/>
    <n v="23"/>
    <m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m/>
    <n v="40"/>
    <m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m/>
    <n v="42"/>
    <m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m/>
    <n v="3"/>
    <m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68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m/>
    <n v="472"/>
    <m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m/>
    <n v="0"/>
    <m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9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m/>
    <n v="0"/>
    <m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m/>
    <n v="5"/>
    <m/>
  </r>
  <r>
    <m/>
    <x v="281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m/>
    <n v="0"/>
    <m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m/>
    <n v="1"/>
    <m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m/>
    <n v="0"/>
    <m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m/>
    <n v="252"/>
    <m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m/>
    <n v="0"/>
    <m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m/>
    <n v="2"/>
    <m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305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m/>
    <n v="0"/>
    <m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11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s v="2x KPS50 2x KPS54 2x KPS71 2x KPS72"/>
  </r>
  <r>
    <m/>
    <x v="312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s v="2x KPS50 2x KPS54 2x KPS71 2x KPS72"/>
  </r>
  <r>
    <m/>
    <x v="313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m/>
    <n v="60"/>
    <m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314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m/>
    <n v="61"/>
    <m/>
  </r>
  <r>
    <m/>
    <x v="315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m/>
    <n v="53"/>
    <m/>
  </r>
  <r>
    <m/>
    <x v="316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317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m/>
    <n v="267"/>
    <m/>
  </r>
  <r>
    <m/>
    <x v="318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319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20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321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322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323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m/>
    <n v="223"/>
    <m/>
  </r>
  <r>
    <m/>
    <x v="324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325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26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27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28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29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m/>
    <n v="97"/>
    <m/>
  </r>
  <r>
    <m/>
    <x v="330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m/>
    <n v="49"/>
    <m/>
  </r>
  <r>
    <m/>
    <x v="331"/>
    <s v="8-Port 100/1000M electric interfaces, 2-Port 1G SFP interfaces, 150W PoE&amp;PoE+, Single AC Power"/>
    <x v="27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m/>
    <n v="266"/>
    <m/>
  </r>
  <r>
    <m/>
    <x v="332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m/>
    <n v="192"/>
    <m/>
  </r>
  <r>
    <m/>
    <x v="333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m/>
    <n v="619"/>
    <m/>
  </r>
  <r>
    <m/>
    <x v="334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35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336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37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38"/>
    <s v="300 Mbps 802.11n In wall AP with with USB Charger"/>
    <x v="29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339"/>
    <s v="Çok Yönlü, Deniz ve Kıyı LTE Anteni"/>
    <x v="30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40"/>
    <s v="Çok Yönlü, Geniş Bant LTE Anteni"/>
    <x v="30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41"/>
    <s v="Afumex LSOH 3*2,5 mm2 NHXMH-J 300/500V Kablo"/>
    <x v="31"/>
    <x v="34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m/>
    <n v="2893"/>
    <m/>
  </r>
  <r>
    <m/>
    <x v="342"/>
    <s v="4 Slotlu NAS Depolama Ünitesi"/>
    <x v="32"/>
    <x v="35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43"/>
    <s v="10GbE Direct Attach SFP+ to SFP+ AOC, 1m"/>
    <x v="33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4"/>
    <s v="10GbE DAC SFP+ to SFP+ Passive copper cable, 1m"/>
    <x v="33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345"/>
    <s v="10GbE DAC SFP+ to SFP+ Passive copper cable, 3m"/>
    <x v="33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46"/>
    <s v="25GbE DAC SFP28 Passive, 1m "/>
    <x v="33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7"/>
    <s v="40GbE DAC QSFP Passive, 1m"/>
    <x v="33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8"/>
    <s v="Universal mounting ears XBR-R000295 for Brocade Switches"/>
    <x v="33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  <m/>
  </r>
  <r>
    <m/>
    <x v="349"/>
    <s v="Universal mounting ears XBR-R000295 for Brocade Switches Screw Set"/>
    <x v="33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50"/>
    <s v="FRU, Rackmount Kit, 4 Post 24-32 Depth RCK"/>
    <x v="33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1"/>
    <s v="Power Supply, 400W AC exhaust front to back airflow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2"/>
    <s v="ICX 7650 and ICX 7850 exhaust airflow fan, front to back airflow"/>
    <x v="33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53"/>
    <s v="Ruckus IoT Module, Zigbee, BLE"/>
    <x v="33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354"/>
    <s v="SmartZone 144 - 4x10GE &amp; 4xGE"/>
    <x v="33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5"/>
    <s v="SmartZone 144 - 4x10GE &amp; 4xGE"/>
    <x v="33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6"/>
    <s v="H350 WW dual band Wi-Fi 6"/>
    <x v="33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m/>
    <n v="94"/>
    <m/>
  </r>
  <r>
    <m/>
    <x v="357"/>
    <s v="H550 WW dual band Wi-Fi 6 "/>
    <x v="33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58"/>
    <s v="H550 WW dual band Wi-Fi 6 "/>
    <x v="33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9"/>
    <s v="P300 WW 11ac outdoor bridge (single)"/>
    <x v="33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0"/>
    <s v="R310 WW dual band 11ac indoor AP 2x2:2"/>
    <x v="33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1"/>
    <s v="R320 Dual band .11ac indoor AP 2x2:2"/>
    <x v="33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2"/>
    <s v="R350 WW dual band 11ax indoor AP 2x2:2"/>
    <x v="33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m/>
    <n v="8"/>
    <m/>
  </r>
  <r>
    <m/>
    <x v="363"/>
    <s v="R550 WW 11ax indoor 2x2:2 AP Plenum"/>
    <x v="33"/>
    <x v="2"/>
    <n v="1002"/>
    <s v="F2"/>
    <s v="Adet"/>
    <n v="4"/>
    <n v="3"/>
    <s v="Sıfır kutulu"/>
    <s v="3 Adet Antalya Showroom"/>
    <n v="392.16"/>
    <n v="28235.52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72"/>
    <n v="0"/>
    <s v="3x KPS51 2x KPS2 2x KPS3 3x KPS4 5x KPS71 5x KPS72 1x KPS50 2x KPS65_x000a_10x KH Merkez"/>
  </r>
  <r>
    <m/>
    <x v="364"/>
    <s v="R560 WW tri band Wifi 6E indoor AP 2x2:2"/>
    <x v="33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5"/>
    <s v="R650 WW dual band 11ax indoor AP 4+2strm"/>
    <x v="33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6"/>
    <s v="R710 WW dual band 11ac indoor AP 4x4:4"/>
    <x v="33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7"/>
    <s v="R750 WW dual band 11ax indoor AP 4x4:4"/>
    <x v="33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8"/>
    <s v="T310c  .11ac W2 Outdoor AP 2x2:2"/>
    <x v="33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9"/>
    <s v="T350c, Outdoor, 11ax, AP 2x2:2"/>
    <x v="33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33"/>
    <n v="29"/>
    <s v="3x KPS2 3x KPS3 1x KPS54 10x KPS4 26x KPS71 26x KPS72 1x KPS50 _x000a_3x KPS12 5x KPS65 56x KH Merkez"/>
  </r>
  <r>
    <m/>
    <x v="370"/>
    <s v="T350d WW ax dual band outdor AP 2x2:2"/>
    <x v="33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1"/>
    <s v="T350se, Outdoor 11ax AP 2x2:2"/>
    <x v="33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2"/>
    <s v="Secure Mounting Bracket for R-series"/>
    <x v="33"/>
    <x v="3"/>
    <n v="1006"/>
    <s v="F2"/>
    <s v="Adet"/>
    <n v="0"/>
    <m/>
    <m/>
    <m/>
    <n v="16.45"/>
    <n v="855.4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s v="26x KPS71 26x KPS72"/>
  </r>
  <r>
    <m/>
    <x v="373"/>
    <s v="Surface Mount Bracket for H550"/>
    <x v="33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4"/>
    <s v="R320 WW Unleashed 11ac AP 2x2:2"/>
    <x v="33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75"/>
    <s v="R350 WW Unleashed 11ax AP 2x2:2"/>
    <x v="33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6"/>
    <s v="R350 WW Unleashed 11ax AP 2x2:2"/>
    <x v="33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m/>
    <n v="257"/>
    <m/>
  </r>
  <r>
    <m/>
    <x v="377"/>
    <s v="R550 WW Unleashed 11ax AP 2x2:2"/>
    <x v="33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m/>
    <n v="0"/>
    <m/>
  </r>
  <r>
    <m/>
    <x v="378"/>
    <s v="R650 WW Unleashed 11ax AP 4+2strm"/>
    <x v="33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m/>
    <n v="1"/>
    <m/>
  </r>
  <r>
    <m/>
    <x v="379"/>
    <s v="Unleashed T310c  .11ac W2 Outdoor AP 2x2:2"/>
    <x v="33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0"/>
    <s v="24 Port 1GbE SFP Switch with 8x1GbE SFPP Ports"/>
    <x v="33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81"/>
    <s v="10 Port POH MG 2X10G SFP+ L3 Prem"/>
    <x v="33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2"/>
    <s v="24 Port SFP 4x1G SFP+ Switch"/>
    <x v="33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83"/>
    <s v="24 Port 4X1G SFP+"/>
    <x v="33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4"/>
    <s v="24 Port POE+ 4X1G SFP+ Max Poe Budget 370W"/>
    <x v="33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5"/>
    <s v="24 Port POE+ 4X1G SFP+ Max Poe Budget 370W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6"/>
    <s v="48 Port 4X1G SFP+"/>
    <x v="33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7"/>
    <s v="48 Port 4x10G SFP+ L3 Premium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8"/>
    <s v="48 Port POE+ 4x10G SFP+ Max Poe Budget 370W"/>
    <x v="33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9"/>
    <s v="48-Port POE+ 370W 4X1G SFP+"/>
    <x v="33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0"/>
    <s v="48 Port POE+ 2X10G SFP+ Max Poe Budget 740W"/>
    <x v="33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1"/>
    <s v="48 Port POE+ 4X1G SFP+ Max Poe Budget 740W"/>
    <x v="33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2"/>
    <s v="48 Port POE+ 4X1G SFP+ Max Poe Budget 740W"/>
    <x v="33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3"/>
    <s v="48 Port POE+ 4X10G SFP+ Max Poe Budget 740W"/>
    <x v="33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4"/>
    <s v="16 Port 2.5 POH 32x1G POE+ 6x1G 2x10G 1PS Max Poe:1480W"/>
    <x v="33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395"/>
    <s v="24 Port 1/10G SFP NO PSU/FAN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6"/>
    <s v="24 Port 1/10G SFP Bundle 2PSU-E R3"/>
    <x v="33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7"/>
    <s v="48 Port 12x 1/10G SFP NO PSU/FAN"/>
    <x v="33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98"/>
    <s v="48 PRT 10G SFPP, 6 PRT QSFP, 1 MOD SLT"/>
    <x v="33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9"/>
    <s v="48 PRT 10G SFPP, 6 PRT QSFP, 1 MOD SLT"/>
    <x v="33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400"/>
    <s v="48 Port SFP28 Bundle 2PSU"/>
    <x v="33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01"/>
    <s v="24 Port 1G 4x25G SFP28"/>
    <x v="33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02"/>
    <s v="24 Port 100/1000 SFP, 4×25 GbE SFP28"/>
    <x v="33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403"/>
    <s v="24 Port POE 4x25G SFP28 Max Poe Budget 370W"/>
    <x v="33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04"/>
    <s v="48 Port 1G 4x25G SFP28"/>
    <x v="33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m/>
    <n v="0"/>
    <m/>
  </r>
  <r>
    <m/>
    <x v="405"/>
    <s v="48 Port POE 4x25G SFP28 Max Poe Budget 370W"/>
    <x v="33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m/>
    <n v="0"/>
    <m/>
  </r>
  <r>
    <m/>
    <x v="406"/>
    <s v="48 Port 1G SFP + 4 1/10/25 SFP28 Fiber Switch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07"/>
    <s v="48 Port POE 4x25G SFP28 Max Poe Budget 740W"/>
    <x v="33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m/>
    <n v="6"/>
    <m/>
  </r>
  <r>
    <m/>
    <x v="408"/>
    <s v="48 Port POE FRU Bundle 1PSU Poe Budget 740W"/>
    <x v="33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409"/>
    <s v="48 Port POE 4x25G SFP28 2PSU Poe Budget 1480W"/>
    <x v="33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0"/>
    <s v="ICX7150-C12P Rack Mount Kit"/>
    <x v="33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1"/>
    <s v="Power Cord for VIIG to C13, Europe, 250V 10A"/>
    <x v="33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m/>
    <n v="5"/>
    <m/>
  </r>
  <r>
    <m/>
    <x v="412"/>
    <s v="FRU,500WACPS,EXHAUST,ICX7750,SIDEWINDER"/>
    <x v="33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413"/>
    <s v="40G QSFP+ Optical Stack Cable, 5m"/>
    <x v="34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14"/>
    <s v="Wi-Fi 6 Dual Radio 1775 Mbps Indoor Wall Plate AP"/>
    <x v="34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5"/>
    <s v="Mounting bracket for the US standard junction box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6"/>
    <s v="Outdoor AP,IP67,omni 3×3:3, 802.11a/b/g/n/ac"/>
    <x v="34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417"/>
    <s v="Dual Band 11ax Outdoor Wireless AP"/>
    <x v="34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418"/>
    <s v="Dual Band 11ax Outdoor Wireless AP"/>
    <x v="34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19"/>
    <s v="Wi-Fi 6 Selectable Dual-band Indoor AP"/>
    <x v="34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0"/>
    <s v="AX3000 Wi-Fi 6 Multi-Gigabit Indoor AP"/>
    <x v="34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21"/>
    <s v="1-port PoE Adapter (1000Base-T, 802.3af)"/>
    <x v="34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m/>
    <n v="1"/>
    <m/>
  </r>
  <r>
    <m/>
    <x v="422"/>
    <s v="1-port PoE Adapter (1000Base-T PoE+/ 802.3at)"/>
    <x v="34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423"/>
    <s v="8 port 1G Poe, 2x SFP Poe budget: 192W switch"/>
    <x v="34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4"/>
    <s v="24 port 1G POE, 4 x SFP+, Poe budget: 370W Switch"/>
    <x v="34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5"/>
    <s v="24 port 1G POE, 4 x SFP+, Poe budget: 370W Switch"/>
    <x v="34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m/>
    <n v="0"/>
    <m/>
  </r>
  <r>
    <m/>
    <x v="426"/>
    <s v="48 port 1G POE, 4x SFP, Poe budget: 370W Switch"/>
    <x v="34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7"/>
    <s v="24 port 1G SFP, 8x1G combo, 4x10G SFP+ Switch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8"/>
    <s v="AC PSU, 740W PoE for S5310-24/  S5310-48"/>
    <x v="34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429"/>
    <s v="150W AC power module for RG-S6120-20XS4VS2QXS"/>
    <x v="34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30"/>
    <s v="AC Power Module, 370W Power Budget for PoE"/>
    <x v="34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431"/>
    <s v="24 Port 1G, 4x 1G/10G SFP+ (non-combo) switch"/>
    <x v="34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432"/>
    <s v="48 port 1G 4x 1G/10G SFP+ Switch"/>
    <x v="34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433"/>
    <s v="24-PORT 10/100/1000BASE-T,4x1G/10G SFP+ PORTS"/>
    <x v="34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m/>
    <n v="9"/>
    <m/>
  </r>
  <r>
    <m/>
    <x v="434"/>
    <s v="48-PORT 10/100/1000BASE-T,4x1G/10G SFP+ PORTS"/>
    <x v="34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m/>
    <n v="11"/>
    <m/>
  </r>
  <r>
    <m/>
    <x v="435"/>
    <s v="Wireless Controller 6x 1G 2x 1G/SFP combo Max:200AP"/>
    <x v="34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36"/>
    <s v="10G SFP+ Optical Stack Cable, 5m"/>
    <x v="34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437"/>
    <s v="10GBase-LR, SFP+ transceiver (1310nm, 10km, LC)"/>
    <x v="34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  <m/>
  </r>
  <r>
    <m/>
    <x v="438"/>
    <s v="10GBase-SR SFP+ transceiver (850nm 300m LC)"/>
    <x v="34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439"/>
    <s v="Layer 2+ Switch,24x1G BASE-T ports, 4x1G SFP"/>
    <x v="34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40"/>
    <s v="STATYS XS 16A 230V Single Phase 2 Wires 2 Pole Switching 19&quot; Rack"/>
    <x v="35"/>
    <x v="36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41"/>
    <s v="Ubiquiti 24W Ethernet Adapter 10/100/1000"/>
    <x v="36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0"/>
    <m/>
  </r>
  <r>
    <m/>
    <x v="442"/>
    <s v="Barkod okuyucu kablosu"/>
    <x v="37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443"/>
    <s v="Ethernet Kartı 25G Dual Port"/>
    <x v="38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44"/>
    <s v="Xilinx Alveo X3522 Low Latency Network Adapter"/>
    <x v="39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0C61D9-015F-42B8-9965-C885AFC6DF0B}" name="PivotTable4" cacheId="6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K492" firstHeaderRow="0" firstDataRow="1" firstDataCol="1"/>
  <pivotFields count="123">
    <pivotField showAll="0"/>
    <pivotField axis="axisRow" showAll="0" sortType="ascending">
      <items count="446">
        <item sd="0" x="297"/>
        <item x="92"/>
        <item sd="0" x="341"/>
        <item x="74"/>
        <item x="85"/>
        <item x="86"/>
        <item x="73"/>
        <item x="81"/>
        <item x="84"/>
        <item x="440"/>
        <item x="313"/>
        <item x="308"/>
        <item x="299"/>
        <item x="298"/>
        <item sd="0" x="343"/>
        <item sd="0" x="344"/>
        <item sd="0" x="345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3"/>
        <item x="305"/>
        <item sd="0" x="289"/>
        <item x="290"/>
        <item sd="0" x="292"/>
        <item sd="0" x="348"/>
        <item sd="0" x="349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6"/>
        <item sd="0" x="357"/>
        <item x="358"/>
        <item sd="0" x="359"/>
        <item sd="0" x="360"/>
        <item sd="0" x="361"/>
        <item sd="0" x="362"/>
        <item sd="0" x="363"/>
        <item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x="353"/>
        <item sd="0" x="49"/>
        <item x="374"/>
        <item x="375"/>
        <item x="376"/>
        <item sd="0" x="377"/>
        <item x="378"/>
        <item sd="0" x="379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0"/>
        <item x="339"/>
        <item sd="0" x="15"/>
        <item sd="0" x="0"/>
        <item sd="0" x="1"/>
        <item x="444"/>
        <item x="31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5"/>
        <item x="45"/>
        <item x="44"/>
        <item sd="0" x="21"/>
        <item sd="0" x="19"/>
        <item sd="0" x="20"/>
        <item sd="0" x="442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6"/>
        <item x="347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5"/>
        <item sd="0" x="336"/>
        <item sd="0" x="334"/>
        <item sd="0" x="337"/>
        <item sd="0" x="269"/>
        <item x="47"/>
        <item sd="0" x="46"/>
        <item x="306"/>
        <item x="106"/>
        <item sd="0" x="13"/>
        <item sd="0" x="380"/>
        <item sd="0" x="410"/>
        <item sd="0" x="383"/>
        <item sd="0" x="382"/>
        <item sd="0" x="384"/>
        <item x="387"/>
        <item sd="0" x="386"/>
        <item sd="0" x="388"/>
        <item sd="0" x="389"/>
        <item x="390"/>
        <item sd="0" x="393"/>
        <item sd="0" x="391"/>
        <item sd="0" x="394"/>
        <item x="381"/>
        <item x="395"/>
        <item sd="0" x="396"/>
        <item x="397"/>
        <item sd="0" x="398"/>
        <item sd="0" x="400"/>
        <item x="401"/>
        <item x="402"/>
        <item sd="0" x="403"/>
        <item x="404"/>
        <item x="406"/>
        <item sd="0" x="405"/>
        <item sd="0" x="407"/>
        <item sd="0" x="408"/>
        <item sd="0" x="409"/>
        <item x="352"/>
        <item x="331"/>
        <item x="332"/>
        <item x="333"/>
        <item x="329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3"/>
        <item sd="0" x="108"/>
        <item x="293"/>
        <item x="312"/>
        <item sd="0" x="60"/>
        <item sd="0" x="61"/>
        <item x="62"/>
        <item x="63"/>
        <item x="64"/>
        <item x="65"/>
        <item x="66"/>
        <item x="87"/>
        <item x="355"/>
        <item sd="0" x="354"/>
        <item x="55"/>
        <item x="326"/>
        <item sd="0" x="411"/>
        <item x="113"/>
        <item x="173"/>
        <item x="261"/>
        <item x="263"/>
        <item x="111"/>
        <item x="107"/>
        <item x="385"/>
        <item x="392"/>
        <item x="399"/>
        <item x="282"/>
        <item x="280"/>
        <item x="314"/>
        <item x="315"/>
        <item x="316"/>
        <item x="317"/>
        <item x="324"/>
        <item x="319"/>
        <item x="322"/>
        <item x="318"/>
        <item x="327"/>
        <item x="321"/>
        <item x="320"/>
        <item x="283"/>
        <item x="16"/>
        <item x="418"/>
        <item x="425"/>
        <item x="309"/>
        <item x="323"/>
        <item sd="0" x="5"/>
        <item sd="0" x="6"/>
        <item x="48"/>
        <item x="10"/>
        <item sd="0" x="17"/>
        <item sd="0" x="7"/>
        <item sd="0" x="109"/>
        <item x="414"/>
        <item x="415"/>
        <item sd="0" x="416"/>
        <item sd="0" x="417"/>
        <item sd="0" x="419"/>
        <item sd="0" x="420"/>
        <item sd="0" x="421"/>
        <item sd="0" x="422"/>
        <item sd="0" x="423"/>
        <item sd="0" x="424"/>
        <item x="427"/>
        <item sd="0" x="426"/>
        <item sd="0" x="428"/>
        <item sd="0" x="429"/>
        <item sd="0" x="430"/>
        <item sd="0" x="431"/>
        <item sd="0" x="432"/>
        <item sd="0" x="433"/>
        <item sd="0" x="434"/>
        <item sd="0" x="435"/>
        <item x="351"/>
        <item sd="0" x="412"/>
        <item x="330"/>
        <item x="42"/>
        <item sd="0" x="22"/>
        <item sd="0" x="41"/>
        <item sd="0" x="278"/>
        <item sd="0" x="328"/>
        <item x="307"/>
        <item x="342"/>
        <item x="441"/>
        <item sd="0" x="310"/>
        <item sd="0" x="338"/>
        <item sd="0" x="43"/>
        <item sd="0" x="301"/>
        <item sd="0" x="288"/>
        <item sd="0" x="350"/>
        <item sd="0" x="436"/>
        <item sd="0" x="437"/>
        <item x="438"/>
        <item sd="0" x="439"/>
        <item t="default" sd="0"/>
      </items>
    </pivotField>
    <pivotField showAll="0"/>
    <pivotField axis="axisRow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8"/>
        <item x="28"/>
        <item x="23"/>
        <item x="29"/>
        <item x="31"/>
        <item x="33"/>
        <item x="34"/>
        <item x="37"/>
        <item x="2"/>
        <item x="26"/>
        <item x="19"/>
        <item x="35"/>
        <item x="39"/>
        <item x="32"/>
        <item x="18"/>
        <item x="30"/>
        <item x="25"/>
        <item x="27"/>
        <item x="14"/>
        <item x="24"/>
        <item x="36"/>
        <item t="default"/>
      </items>
    </pivotField>
    <pivotField showAll="0">
      <items count="38">
        <item x="3"/>
        <item x="33"/>
        <item x="2"/>
        <item x="32"/>
        <item x="23"/>
        <item x="22"/>
        <item x="5"/>
        <item x="1"/>
        <item x="8"/>
        <item x="12"/>
        <item x="16"/>
        <item x="4"/>
        <item x="29"/>
        <item x="34"/>
        <item x="30"/>
        <item x="24"/>
        <item x="11"/>
        <item x="7"/>
        <item x="13"/>
        <item x="9"/>
        <item x="27"/>
        <item x="15"/>
        <item x="10"/>
        <item x="21"/>
        <item x="25"/>
        <item x="35"/>
        <item x="18"/>
        <item x="19"/>
        <item x="31"/>
        <item x="14"/>
        <item x="20"/>
        <item x="17"/>
        <item x="6"/>
        <item x="26"/>
        <item x="0"/>
        <item x="28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</pivotFields>
  <rowFields count="2">
    <field x="3"/>
    <field x="1"/>
  </rowFields>
  <rowItems count="487">
    <i>
      <x/>
    </i>
    <i r="1">
      <x v="97"/>
    </i>
    <i r="1">
      <x v="98"/>
    </i>
    <i>
      <x v="1"/>
    </i>
    <i r="1">
      <x v="51"/>
    </i>
    <i r="1">
      <x v="96"/>
    </i>
    <i r="1">
      <x v="306"/>
    </i>
    <i r="1">
      <x v="342"/>
    </i>
    <i r="1">
      <x v="344"/>
    </i>
    <i r="1">
      <x v="345"/>
    </i>
    <i r="1">
      <x v="346"/>
    </i>
    <i r="1">
      <x v="347"/>
    </i>
    <i r="1">
      <x v="350"/>
    </i>
    <i r="1">
      <x v="351"/>
    </i>
    <i r="1">
      <x v="392"/>
    </i>
    <i r="1">
      <x v="397"/>
    </i>
    <i r="1">
      <x v="398"/>
    </i>
    <i r="1">
      <x v="400"/>
    </i>
    <i r="1">
      <x v="401"/>
    </i>
    <i r="1">
      <x v="402"/>
    </i>
    <i>
      <x v="2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>
      <x v="3"/>
    </i>
    <i r="1">
      <x v="132"/>
    </i>
    <i>
      <x v="4"/>
    </i>
    <i r="1">
      <x v="84"/>
    </i>
    <i r="1">
      <x v="85"/>
    </i>
    <i r="1">
      <x v="86"/>
    </i>
    <i r="1">
      <x v="114"/>
    </i>
    <i r="1">
      <x v="115"/>
    </i>
    <i r="1">
      <x v="120"/>
    </i>
    <i r="1">
      <x v="121"/>
    </i>
    <i r="1">
      <x v="302"/>
    </i>
    <i r="1">
      <x v="303"/>
    </i>
    <i r="1">
      <x v="399"/>
    </i>
    <i r="1">
      <x v="427"/>
    </i>
    <i r="1">
      <x v="429"/>
    </i>
    <i r="1">
      <x v="43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2"/>
    </i>
    <i r="1">
      <x v="290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6"/>
    </i>
    <i>
      <x v="6"/>
    </i>
    <i r="1">
      <x v="1"/>
    </i>
    <i r="1">
      <x v="29"/>
    </i>
    <i r="1">
      <x v="30"/>
    </i>
    <i r="1">
      <x v="31"/>
    </i>
    <i r="1">
      <x v="38"/>
    </i>
    <i r="1">
      <x v="363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4"/>
    </i>
    <i r="1">
      <x v="125"/>
    </i>
    <i r="1">
      <x v="126"/>
    </i>
    <i r="1">
      <x v="127"/>
    </i>
    <i r="1">
      <x v="128"/>
    </i>
    <i>
      <x v="8"/>
    </i>
    <i r="1">
      <x v="133"/>
    </i>
    <i r="1">
      <x v="305"/>
    </i>
    <i r="1">
      <x v="374"/>
    </i>
    <i>
      <x v="9"/>
    </i>
    <i r="1">
      <x v="353"/>
    </i>
    <i r="1">
      <x v="403"/>
    </i>
    <i>
      <x v="10"/>
    </i>
    <i r="1">
      <x v="5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369"/>
    </i>
    <i r="1">
      <x v="370"/>
    </i>
    <i r="1">
      <x v="371"/>
    </i>
    <i r="1">
      <x v="372"/>
    </i>
    <i r="1">
      <x v="373"/>
    </i>
    <i>
      <x v="11"/>
    </i>
    <i r="1">
      <x v="135"/>
    </i>
    <i r="1">
      <x v="136"/>
    </i>
    <i r="1">
      <x v="301"/>
    </i>
    <i>
      <x v="12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430"/>
    </i>
    <i>
      <x v="13"/>
    </i>
    <i r="1">
      <x v="37"/>
    </i>
    <i r="1">
      <x v="49"/>
    </i>
    <i r="1">
      <x v="129"/>
    </i>
    <i r="1">
      <x v="343"/>
    </i>
    <i>
      <x v="14"/>
    </i>
    <i r="1">
      <x v="41"/>
    </i>
    <i r="1">
      <x v="42"/>
    </i>
    <i r="1">
      <x v="56"/>
    </i>
    <i r="1">
      <x v="43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8"/>
    </i>
    <i>
      <x v="18"/>
    </i>
    <i r="1">
      <x v="40"/>
    </i>
    <i r="1">
      <x v="52"/>
    </i>
    <i r="1">
      <x v="54"/>
    </i>
    <i>
      <x v="19"/>
    </i>
    <i r="1">
      <x v="352"/>
    </i>
    <i>
      <x v="20"/>
    </i>
    <i r="1">
      <x v="297"/>
    </i>
    <i r="1">
      <x v="298"/>
    </i>
    <i r="1">
      <x v="299"/>
    </i>
    <i r="1">
      <x v="300"/>
    </i>
    <i>
      <x v="21"/>
    </i>
    <i r="1">
      <x v="11"/>
    </i>
    <i r="1">
      <x v="113"/>
    </i>
    <i r="1">
      <x v="304"/>
    </i>
    <i r="1">
      <x v="363"/>
    </i>
    <i r="1">
      <x v="367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5"/>
    </i>
    <i r="1">
      <x v="396"/>
    </i>
    <i r="1">
      <x v="432"/>
    </i>
    <i r="1">
      <x v="435"/>
    </i>
    <i>
      <x v="22"/>
    </i>
    <i r="1">
      <x v="43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30"/>
    </i>
    <i r="1">
      <x v="131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64"/>
    </i>
    <i r="1">
      <x v="365"/>
    </i>
    <i r="1">
      <x v="368"/>
    </i>
    <i r="1">
      <x v="375"/>
    </i>
    <i r="1">
      <x v="376"/>
    </i>
    <i r="1">
      <x v="377"/>
    </i>
    <i r="1">
      <x v="424"/>
    </i>
    <i r="1">
      <x v="425"/>
    </i>
    <i r="1">
      <x v="440"/>
    </i>
    <i>
      <x v="25"/>
    </i>
    <i r="1">
      <x v="39"/>
    </i>
    <i r="1">
      <x v="393"/>
    </i>
    <i r="1">
      <x v="394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41"/>
    </i>
    <i r="1">
      <x v="442"/>
    </i>
    <i r="1">
      <x v="443"/>
    </i>
    <i r="1">
      <x v="444"/>
    </i>
    <i>
      <x v="26"/>
    </i>
    <i r="1">
      <x v="119"/>
    </i>
    <i>
      <x v="27"/>
    </i>
    <i r="1">
      <x v="116"/>
    </i>
    <i r="1">
      <x v="117"/>
    </i>
    <i r="1">
      <x v="118"/>
    </i>
    <i r="1">
      <x v="123"/>
    </i>
    <i r="1">
      <x v="428"/>
    </i>
    <i>
      <x v="28"/>
    </i>
    <i r="1">
      <x v="431"/>
    </i>
    <i>
      <x v="29"/>
    </i>
    <i r="1">
      <x v="134"/>
    </i>
    <i r="1">
      <x v="348"/>
    </i>
    <i r="1">
      <x v="349"/>
    </i>
    <i>
      <x v="30"/>
    </i>
    <i r="1">
      <x v="9"/>
    </i>
    <i>
      <x v="31"/>
    </i>
    <i r="1">
      <x v="99"/>
    </i>
    <i>
      <x v="32"/>
    </i>
    <i r="1">
      <x v="433"/>
    </i>
    <i>
      <x v="33"/>
    </i>
    <i r="1">
      <x v="354"/>
    </i>
    <i>
      <x v="34"/>
    </i>
    <i r="1">
      <x v="94"/>
    </i>
    <i r="1">
      <x v="95"/>
    </i>
    <i>
      <x v="35"/>
    </i>
    <i r="1">
      <x v="10"/>
    </i>
    <i>
      <x v="36"/>
    </i>
    <i r="1">
      <x v="336"/>
    </i>
    <i r="1">
      <x v="337"/>
    </i>
    <i r="1">
      <x v="338"/>
    </i>
    <i r="1">
      <x v="339"/>
    </i>
    <i r="1">
      <x v="426"/>
    </i>
    <i>
      <x v="37"/>
    </i>
    <i r="1">
      <x v="340"/>
    </i>
    <i r="1">
      <x v="341"/>
    </i>
    <i r="1">
      <x v="378"/>
    </i>
    <i r="1">
      <x v="379"/>
    </i>
    <i r="1">
      <x v="391"/>
    </i>
    <i>
      <x v="38"/>
    </i>
    <i r="1">
      <x v="100"/>
    </i>
    <i r="1">
      <x v="355"/>
    </i>
    <i>
      <x v="39"/>
    </i>
    <i r="1">
      <x v="43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B. Maliyet" fld="12" baseField="3" baseItem="0" numFmtId="164"/>
    <dataField name="T. Maliyet" fld="13" baseField="3" baseItem="0" numFmtId="164"/>
    <dataField name="Toplam Stok Miktarı_x000a_07.09.2026" fld="119" baseField="0" baseItem="0"/>
    <dataField name="Toplam Rezerve" fld="120" baseField="0" baseItem="0"/>
    <dataField name="Toplam Satışa Açık" fld="121" baseField="0" baseItem="0"/>
  </dataFields>
  <formats count="93">
    <format dxfId="1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3" type="button" dataOnly="0" labelOnly="1" outline="0" axis="axisRow" fieldPosition="0"/>
    </format>
    <format dxfId="187">
      <pivotArea dataOnly="0" labelOnly="1" fieldPosition="0">
        <references count="1">
          <reference field="3" count="0"/>
        </references>
      </pivotArea>
    </format>
    <format dxfId="186">
      <pivotArea dataOnly="0" labelOnly="1" grandRow="1" outline="0" fieldPosition="0"/>
    </format>
    <format dxfId="185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184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183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182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181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180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179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178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177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176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175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174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173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172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171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170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169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16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167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166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165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164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163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16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161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160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159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3" type="button" dataOnly="0" labelOnly="1" outline="0" axis="axisRow" fieldPosition="0"/>
    </format>
    <format dxfId="154">
      <pivotArea dataOnly="0" labelOnly="1" fieldPosition="0">
        <references count="1">
          <reference field="3" count="0"/>
        </references>
      </pivotArea>
    </format>
    <format dxfId="153">
      <pivotArea dataOnly="0" labelOnly="1" grandRow="1" outline="0" fieldPosition="0"/>
    </format>
    <format dxfId="15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151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150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149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148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14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14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145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144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143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142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141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140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139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138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137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13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13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134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133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132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131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130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12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12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127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126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dataOnly="0" labelOnly="1" fieldPosition="0">
        <references count="2">
          <reference field="1" count="1">
            <x v="326"/>
          </reference>
          <reference field="3" count="0" selected="0"/>
        </references>
      </pivotArea>
    </format>
    <format dxfId="123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122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21">
      <pivotArea dataOnly="0" labelOnly="1" fieldPosition="0">
        <references count="2">
          <reference field="1" count="1">
            <x v="130"/>
          </reference>
          <reference field="3" count="0" selected="0"/>
        </references>
      </pivotArea>
    </format>
    <format dxfId="120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119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118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117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116">
      <pivotArea dataOnly="0" labelOnly="1" fieldPosition="0">
        <references count="2">
          <reference field="1" count="1">
            <x v="368"/>
          </reference>
          <reference field="3" count="0" selected="0"/>
        </references>
      </pivotArea>
    </format>
    <format dxfId="115">
      <pivotArea dataOnly="0" labelOnly="1" fieldPosition="0">
        <references count="2">
          <reference field="1" count="1">
            <x v="424"/>
          </reference>
          <reference field="3" count="0" selected="0"/>
        </references>
      </pivotArea>
    </format>
    <format dxfId="114">
      <pivotArea dataOnly="0" labelOnly="1" fieldPosition="0">
        <references count="2">
          <reference field="1" count="1">
            <x v="425"/>
          </reference>
          <reference field="3" count="0" selected="0"/>
        </references>
      </pivotArea>
    </format>
    <format dxfId="113">
      <pivotArea dataOnly="0" labelOnly="1" fieldPosition="0">
        <references count="2">
          <reference field="1" count="1">
            <x v="440"/>
          </reference>
          <reference field="3" count="0" selected="0"/>
        </references>
      </pivotArea>
    </format>
    <format dxfId="112">
      <pivotArea dataOnly="0" fieldPosition="0">
        <references count="1">
          <reference field="1" count="1">
            <x v="74"/>
          </reference>
        </references>
      </pivotArea>
    </format>
    <format dxfId="111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10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09">
      <pivotArea dataOnly="0" labelOnly="1" fieldPosition="0">
        <references count="2">
          <reference field="1" count="1">
            <x v="365"/>
          </reference>
          <reference field="3" count="0" selected="0"/>
        </references>
      </pivotArea>
    </format>
    <format dxfId="108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07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06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05">
      <pivotArea dataOnly="0" labelOnly="1" fieldPosition="0">
        <references count="2">
          <reference field="1" count="29">
            <x v="307"/>
            <x v="309"/>
            <x v="310"/>
            <x v="311"/>
            <x v="312"/>
            <x v="313"/>
            <x v="314"/>
            <x v="315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75"/>
            <x v="376"/>
            <x v="377"/>
          </reference>
          <reference field="3" count="0" selected="0"/>
        </references>
      </pivotArea>
    </format>
    <format dxfId="104">
      <pivotArea dataOnly="0" labelOnly="1" fieldPosition="0">
        <references count="2">
          <reference field="1" count="1">
            <x v="365"/>
          </reference>
          <reference field="3" count="1" selected="0">
            <x v="24"/>
          </reference>
        </references>
      </pivotArea>
    </format>
    <format dxfId="103">
      <pivotArea collapsedLevelsAreSubtotals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  <format dxfId="102">
      <pivotArea grandRow="1" outline="0" collapsedLevelsAreSubtotals="1" fieldPosition="0"/>
    </format>
    <format dxfId="101">
      <pivotArea dataOnly="0" labelOnly="1" grandRow="1" outline="0" fieldPosition="0"/>
    </format>
    <format dxfId="100">
      <pivotArea dataOnly="0" labelOnly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895094122">
      <items count="40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8" s="1"/>
        <i x="24" s="1"/>
        <i x="25" s="1"/>
        <i x="28" s="1"/>
        <i x="23" s="1"/>
        <i x="29" s="1"/>
        <i x="30" s="1"/>
        <i x="31" s="1"/>
        <i x="32" s="1"/>
        <i x="33" s="1"/>
        <i x="34" s="1"/>
        <i x="35" s="1"/>
        <i x="36" s="1"/>
        <i x="39" s="1"/>
        <i x="3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895094122">
      <items count="37">
        <i x="3" s="1"/>
        <i x="33" s="1"/>
        <i x="2" s="1"/>
        <i x="32" s="1"/>
        <i x="23" s="1"/>
        <i x="22" s="1"/>
        <i x="5" s="1"/>
        <i x="1" s="1"/>
        <i x="8" s="1"/>
        <i x="12" s="1"/>
        <i x="16" s="1"/>
        <i x="4" s="1"/>
        <i x="29" s="1"/>
        <i x="34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5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M5:N112" totalsRowShown="0" headerRowDxfId="99" dataDxfId="97" headerRowBorderDxfId="98" tableBorderDxfId="96" totalsRowBorderDxfId="95">
  <autoFilter ref="M5:N112" xr:uid="{E5E02A0B-EBAC-497B-8F95-E1A614B153BB}">
    <filterColumn colId="0" hiddenButton="1"/>
    <filterColumn colId="1" hiddenButton="1"/>
  </autoFilter>
  <sortState xmlns:xlrd2="http://schemas.microsoft.com/office/spreadsheetml/2017/richdata2" ref="M6:N112">
    <sortCondition descending="1" ref="M84:M112"/>
  </sortState>
  <tableColumns count="2">
    <tableColumn id="1" xr3:uid="{F3F08BA5-BC24-4512-A5B4-E4D9C7C2DCF5}" name="Sayım Tarihi" dataDxfId="94" dataCellStyle="Normal 2"/>
    <tableColumn id="2" xr3:uid="{EEB9CBF8-49FE-4799-93B4-AAE618911A93}" name="Miktar" dataDxfId="93" dataCellStyle="Normal 2">
      <calculatedColumnFormula>IFERROR(VLOOKUP($A$2,Stok!$B$1:$AM$449,7,0),"")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Z497"/>
  <sheetViews>
    <sheetView tabSelected="1" zoomScale="72" zoomScaleNormal="72" workbookViewId="0">
      <pane ySplit="3" topLeftCell="A4" activePane="bottomLeft" state="frozenSplit"/>
      <selection pane="bottomLeft" activeCell="W23" sqref="W23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17.36328125" style="39" bestFit="1" customWidth="1"/>
    <col min="11" max="11" width="20.453125" style="39" bestFit="1" customWidth="1"/>
    <col min="12" max="12" width="4.36328125" style="39" customWidth="1"/>
    <col min="13" max="13" width="14.90625" style="39" bestFit="1" customWidth="1"/>
    <col min="14" max="14" width="8.1796875" style="39" bestFit="1" customWidth="1"/>
    <col min="15" max="15" width="3.26953125" style="39"/>
    <col min="16" max="16" width="5.1796875" style="39" bestFit="1" customWidth="1"/>
    <col min="17" max="32" width="3.26953125" style="39"/>
    <col min="33" max="33" width="5.54296875" style="39" customWidth="1"/>
    <col min="34" max="34" width="29.6328125" style="67" customWidth="1"/>
    <col min="35" max="35" width="12.54296875" style="68" bestFit="1" customWidth="1"/>
    <col min="36" max="37" width="13.54296875" style="69" customWidth="1"/>
    <col min="38" max="39" width="10.1796875" style="39" bestFit="1" customWidth="1"/>
    <col min="40" max="40" width="31.81640625" style="39" bestFit="1" customWidth="1"/>
    <col min="41" max="41" width="11.08984375" style="39" bestFit="1" customWidth="1"/>
    <col min="42" max="42" width="31.81640625" style="39" bestFit="1" customWidth="1"/>
    <col min="43" max="43" width="10.1796875" style="39" bestFit="1" customWidth="1"/>
    <col min="44" max="44" width="31.81640625" style="39" bestFit="1" customWidth="1"/>
    <col min="45" max="45" width="15.17968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1.08984375" style="39" bestFit="1" customWidth="1"/>
    <col min="50" max="50" width="31.81640625" style="39" bestFit="1" customWidth="1"/>
    <col min="51" max="51" width="10.1796875" style="39" bestFit="1" customWidth="1"/>
    <col min="52" max="52" width="31.81640625" style="39" bestFit="1" customWidth="1"/>
    <col min="53" max="53" width="15.1796875" style="39" bestFit="1" customWidth="1"/>
    <col min="54" max="54" width="31.81640625" style="39" bestFit="1" customWidth="1"/>
    <col min="55" max="55" width="13.17968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1.08984375" style="39" bestFit="1" customWidth="1"/>
    <col min="60" max="60" width="31.81640625" style="39" bestFit="1" customWidth="1"/>
    <col min="61" max="61" width="13.1796875" style="39" bestFit="1" customWidth="1"/>
    <col min="62" max="62" width="31.81640625" style="39" bestFit="1" customWidth="1"/>
    <col min="63" max="63" width="10.1796875" style="39" bestFit="1" customWidth="1"/>
    <col min="64" max="64" width="31.81640625" style="39" bestFit="1" customWidth="1"/>
    <col min="65" max="65" width="11.08984375" style="39" bestFit="1" customWidth="1"/>
    <col min="66" max="66" width="31.81640625" style="39" bestFit="1" customWidth="1"/>
    <col min="67" max="67" width="13.17968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1.089843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0.1796875" style="39" bestFit="1" customWidth="1"/>
    <col min="76" max="76" width="31.81640625" style="39" bestFit="1" customWidth="1"/>
    <col min="77" max="77" width="11.08984375" style="39" bestFit="1" customWidth="1"/>
    <col min="78" max="78" width="31.81640625" style="39" bestFit="1" customWidth="1"/>
    <col min="79" max="79" width="13.1796875" style="39" bestFit="1" customWidth="1"/>
    <col min="80" max="80" width="31.81640625" style="39" bestFit="1" customWidth="1"/>
    <col min="81" max="81" width="17.26953125" style="39" bestFit="1" customWidth="1"/>
    <col min="82" max="82" width="31.81640625" style="39" bestFit="1" customWidth="1"/>
    <col min="83" max="83" width="15.1796875" style="39" bestFit="1" customWidth="1"/>
    <col min="84" max="84" width="31.81640625" style="39" bestFit="1" customWidth="1"/>
    <col min="85" max="85" width="17.26953125" style="39" bestFit="1" customWidth="1"/>
    <col min="86" max="86" width="31.81640625" style="39" bestFit="1" customWidth="1"/>
    <col min="87" max="87" width="13.1796875" style="39" bestFit="1" customWidth="1"/>
    <col min="88" max="88" width="31.81640625" style="39" bestFit="1" customWidth="1"/>
    <col min="89" max="89" width="10.1796875" style="39" bestFit="1" customWidth="1"/>
    <col min="90" max="90" width="31.81640625" style="39" bestFit="1" customWidth="1"/>
    <col min="91" max="91" width="11.08984375" style="39" bestFit="1" customWidth="1"/>
    <col min="92" max="92" width="31.81640625" style="39" bestFit="1" customWidth="1"/>
    <col min="93" max="93" width="10.1796875" style="39" bestFit="1" customWidth="1"/>
    <col min="94" max="94" width="31.81640625" style="39" bestFit="1" customWidth="1"/>
    <col min="95" max="95" width="13.1796875" style="39" bestFit="1" customWidth="1"/>
    <col min="96" max="96" width="31.81640625" style="39" bestFit="1" customWidth="1"/>
    <col min="97" max="97" width="11.08984375" style="39" bestFit="1" customWidth="1"/>
    <col min="98" max="98" width="31.81640625" style="39" bestFit="1" customWidth="1"/>
    <col min="99" max="99" width="13.1796875" style="39" bestFit="1" customWidth="1"/>
    <col min="100" max="100" width="31.81640625" style="39" bestFit="1" customWidth="1"/>
    <col min="101" max="101" width="11.08984375" style="39" bestFit="1" customWidth="1"/>
    <col min="102" max="102" width="31.81640625" style="39" bestFit="1" customWidth="1"/>
    <col min="103" max="103" width="15.1796875" style="39" bestFit="1" customWidth="1"/>
    <col min="104" max="104" width="31.81640625" style="39" bestFit="1" customWidth="1"/>
    <col min="105" max="105" width="11.08984375" style="39" bestFit="1" customWidth="1"/>
    <col min="106" max="106" width="31.81640625" style="39" bestFit="1" customWidth="1"/>
    <col min="107" max="107" width="10.1796875" style="39" bestFit="1" customWidth="1"/>
    <col min="108" max="108" width="31.81640625" style="39" bestFit="1" customWidth="1"/>
    <col min="109" max="109" width="11.08984375" style="39" bestFit="1" customWidth="1"/>
    <col min="110" max="110" width="31.81640625" style="39" bestFit="1" customWidth="1"/>
    <col min="111" max="111" width="10.1796875" style="39" bestFit="1" customWidth="1"/>
    <col min="112" max="112" width="31.81640625" style="39" bestFit="1" customWidth="1"/>
    <col min="113" max="113" width="11.089843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5.1796875" style="39" bestFit="1" customWidth="1"/>
    <col min="118" max="118" width="31.81640625" style="39" bestFit="1" customWidth="1"/>
    <col min="119" max="119" width="13.1796875" style="39" bestFit="1" customWidth="1"/>
    <col min="120" max="120" width="31.81640625" style="39" bestFit="1" customWidth="1"/>
    <col min="121" max="121" width="11.08984375" style="39" bestFit="1" customWidth="1"/>
    <col min="122" max="122" width="31.81640625" style="39" bestFit="1" customWidth="1"/>
    <col min="123" max="123" width="17.26953125" style="39" bestFit="1" customWidth="1"/>
    <col min="124" max="124" width="31.81640625" style="39" bestFit="1" customWidth="1"/>
    <col min="125" max="125" width="15.1796875" style="39" bestFit="1" customWidth="1"/>
    <col min="126" max="126" width="31.81640625" style="39" bestFit="1" customWidth="1"/>
    <col min="127" max="127" width="11.08984375" style="39" bestFit="1" customWidth="1"/>
    <col min="128" max="128" width="31.81640625" style="39" bestFit="1" customWidth="1"/>
    <col min="129" max="129" width="17.26953125" style="39" bestFit="1" customWidth="1"/>
    <col min="130" max="130" width="31.81640625" style="39" bestFit="1" customWidth="1"/>
    <col min="131" max="131" width="13.1796875" style="39" bestFit="1" customWidth="1"/>
    <col min="132" max="132" width="31.81640625" style="39" bestFit="1" customWidth="1"/>
    <col min="133" max="133" width="15.1796875" style="39" bestFit="1" customWidth="1"/>
    <col min="134" max="134" width="31.81640625" style="39" bestFit="1" customWidth="1"/>
    <col min="135" max="135" width="11.08984375" style="39" bestFit="1" customWidth="1"/>
    <col min="136" max="136" width="31.81640625" style="39" bestFit="1" customWidth="1"/>
    <col min="137" max="137" width="13.1796875" style="39" bestFit="1" customWidth="1"/>
    <col min="138" max="138" width="31.81640625" style="39" bestFit="1" customWidth="1"/>
    <col min="139" max="139" width="15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9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5.1796875" style="39" bestFit="1" customWidth="1"/>
    <col min="150" max="150" width="31.81640625" style="39" bestFit="1" customWidth="1"/>
    <col min="151" max="151" width="17.2695312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3.1796875" style="39" bestFit="1" customWidth="1"/>
    <col min="158" max="158" width="31.81640625" style="39" bestFit="1" customWidth="1"/>
    <col min="159" max="159" width="11.08984375" style="39" bestFit="1" customWidth="1"/>
    <col min="160" max="160" width="31.81640625" style="39" bestFit="1" customWidth="1"/>
    <col min="161" max="161" width="19.1796875" style="39" bestFit="1" customWidth="1"/>
    <col min="162" max="162" width="31.81640625" style="39" bestFit="1" customWidth="1"/>
    <col min="163" max="163" width="15.1796875" style="39" bestFit="1" customWidth="1"/>
    <col min="164" max="164" width="31.81640625" style="39" bestFit="1" customWidth="1"/>
    <col min="165" max="165" width="13.1796875" style="39" bestFit="1" customWidth="1"/>
    <col min="166" max="166" width="31.81640625" style="39" bestFit="1" customWidth="1"/>
    <col min="167" max="167" width="10.179687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7.26953125" style="39" bestFit="1" customWidth="1"/>
    <col min="172" max="172" width="31.81640625" style="39" bestFit="1" customWidth="1"/>
    <col min="173" max="173" width="10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9.1796875" style="39" bestFit="1" customWidth="1"/>
    <col min="178" max="178" width="31.81640625" style="39" bestFit="1" customWidth="1"/>
    <col min="179" max="179" width="15.1796875" style="39" bestFit="1" customWidth="1"/>
    <col min="180" max="180" width="31.81640625" style="39" bestFit="1" customWidth="1"/>
    <col min="181" max="181" width="19.1796875" style="39" bestFit="1" customWidth="1"/>
    <col min="182" max="182" width="31.81640625" style="39" bestFit="1" customWidth="1"/>
    <col min="183" max="183" width="10.1796875" style="39" bestFit="1" customWidth="1"/>
    <col min="184" max="184" width="31.81640625" style="39" bestFit="1" customWidth="1"/>
    <col min="185" max="185" width="15.1796875" style="39" bestFit="1" customWidth="1"/>
    <col min="186" max="186" width="31.81640625" style="39" bestFit="1" customWidth="1"/>
    <col min="187" max="187" width="11.08984375" style="39" bestFit="1" customWidth="1"/>
    <col min="188" max="188" width="31.81640625" style="39" bestFit="1" customWidth="1"/>
    <col min="189" max="189" width="17.26953125" style="39" bestFit="1" customWidth="1"/>
    <col min="190" max="190" width="31.81640625" style="39" bestFit="1" customWidth="1"/>
    <col min="191" max="191" width="10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3.1796875" style="39" bestFit="1" customWidth="1"/>
    <col min="196" max="196" width="31.81640625" style="39" bestFit="1" customWidth="1"/>
    <col min="197" max="197" width="11.08984375" style="39" bestFit="1" customWidth="1"/>
    <col min="198" max="198" width="31.81640625" style="39" bestFit="1" customWidth="1"/>
    <col min="199" max="199" width="10.1796875" style="39" bestFit="1" customWidth="1"/>
    <col min="200" max="200" width="31.81640625" style="39" bestFit="1" customWidth="1"/>
    <col min="201" max="201" width="15.1796875" style="39" bestFit="1" customWidth="1"/>
    <col min="202" max="202" width="31.81640625" style="39" bestFit="1" customWidth="1"/>
    <col min="203" max="203" width="13.1796875" style="39" bestFit="1" customWidth="1"/>
    <col min="204" max="204" width="31.81640625" style="39" bestFit="1" customWidth="1"/>
    <col min="205" max="205" width="17.26953125" style="39" bestFit="1" customWidth="1"/>
    <col min="206" max="206" width="31.81640625" style="39" bestFit="1" customWidth="1"/>
    <col min="207" max="207" width="15.1796875" style="39" bestFit="1" customWidth="1"/>
    <col min="208" max="208" width="31.81640625" style="39" bestFit="1" customWidth="1"/>
    <col min="209" max="209" width="10.1796875" style="39" bestFit="1" customWidth="1"/>
    <col min="210" max="210" width="31.81640625" style="39" bestFit="1" customWidth="1"/>
    <col min="211" max="211" width="19.1796875" style="39" bestFit="1" customWidth="1"/>
    <col min="212" max="212" width="31.81640625" style="39" bestFit="1" customWidth="1"/>
    <col min="213" max="213" width="10.1796875" style="39" bestFit="1" customWidth="1"/>
    <col min="214" max="214" width="31.81640625" style="39" bestFit="1" customWidth="1"/>
    <col min="215" max="215" width="17.26953125" style="39" bestFit="1" customWidth="1"/>
    <col min="216" max="216" width="31.81640625" style="39" bestFit="1" customWidth="1"/>
    <col min="217" max="217" width="11.08984375" style="39" bestFit="1" customWidth="1"/>
    <col min="218" max="218" width="31.81640625" style="39" bestFit="1" customWidth="1"/>
    <col min="219" max="219" width="10.1796875" style="39" bestFit="1" customWidth="1"/>
    <col min="220" max="220" width="31.81640625" style="39" bestFit="1" customWidth="1"/>
    <col min="221" max="221" width="13.1796875" style="39" bestFit="1" customWidth="1"/>
    <col min="222" max="222" width="31.81640625" style="39" bestFit="1" customWidth="1"/>
    <col min="223" max="223" width="15.1796875" style="39" bestFit="1" customWidth="1"/>
    <col min="224" max="224" width="31.81640625" style="39" bestFit="1" customWidth="1"/>
    <col min="225" max="225" width="19.1796875" style="39" bestFit="1" customWidth="1"/>
    <col min="226" max="226" width="31.81640625" style="39" bestFit="1" customWidth="1"/>
    <col min="227" max="227" width="17.26953125" style="39" bestFit="1" customWidth="1"/>
    <col min="228" max="228" width="31.81640625" style="39" bestFit="1" customWidth="1"/>
    <col min="229" max="229" width="15.1796875" style="39" bestFit="1" customWidth="1"/>
    <col min="230" max="230" width="31.81640625" style="39" bestFit="1" customWidth="1"/>
    <col min="231" max="231" width="13.1796875" style="39" bestFit="1" customWidth="1"/>
    <col min="232" max="232" width="31.81640625" style="39" bestFit="1" customWidth="1"/>
    <col min="233" max="233" width="19.1796875" style="39" bestFit="1" customWidth="1"/>
    <col min="234" max="234" width="31.81640625" style="39" bestFit="1" customWidth="1"/>
    <col min="235" max="235" width="10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3.1796875" style="39" bestFit="1" customWidth="1"/>
    <col min="240" max="240" width="31.81640625" style="39" bestFit="1" customWidth="1"/>
    <col min="241" max="241" width="17.26953125" style="39" bestFit="1" customWidth="1"/>
    <col min="242" max="242" width="31.81640625" style="39" bestFit="1" customWidth="1"/>
    <col min="243" max="243" width="10.1796875" style="39" bestFit="1" customWidth="1"/>
    <col min="244" max="244" width="31.81640625" style="39" bestFit="1" customWidth="1"/>
    <col min="245" max="245" width="19.179687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7.26953125" style="39" bestFit="1" customWidth="1"/>
    <col min="250" max="250" width="31.81640625" style="39" bestFit="1" customWidth="1"/>
    <col min="251" max="251" width="10.1796875" style="39" bestFit="1" customWidth="1"/>
    <col min="252" max="252" width="31.81640625" style="39" bestFit="1" customWidth="1"/>
    <col min="253" max="253" width="13.1796875" style="39" bestFit="1" customWidth="1"/>
    <col min="254" max="254" width="31.81640625" style="39" bestFit="1" customWidth="1"/>
    <col min="255" max="255" width="17.26953125" style="39" bestFit="1" customWidth="1"/>
    <col min="256" max="256" width="31.81640625" style="39" bestFit="1" customWidth="1"/>
    <col min="257" max="257" width="11.08984375" style="39" bestFit="1" customWidth="1"/>
    <col min="258" max="258" width="31.81640625" style="39" bestFit="1" customWidth="1"/>
    <col min="259" max="259" width="17.26953125" style="39" bestFit="1" customWidth="1"/>
    <col min="260" max="260" width="31.81640625" style="39" bestFit="1" customWidth="1"/>
    <col min="261" max="261" width="11.089843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3.1796875" style="39" bestFit="1" customWidth="1"/>
    <col min="266" max="266" width="31.81640625" style="39" bestFit="1" customWidth="1"/>
    <col min="267" max="267" width="17.26953125" style="39" bestFit="1" customWidth="1"/>
    <col min="268" max="268" width="31.81640625" style="39" bestFit="1" customWidth="1"/>
    <col min="269" max="269" width="13.1796875" style="39" bestFit="1" customWidth="1"/>
    <col min="270" max="270" width="31.81640625" style="39" bestFit="1" customWidth="1"/>
    <col min="271" max="271" width="15.1796875" style="39" bestFit="1" customWidth="1"/>
    <col min="272" max="272" width="31.81640625" style="39" bestFit="1" customWidth="1"/>
    <col min="273" max="273" width="13.1796875" style="39" bestFit="1" customWidth="1"/>
    <col min="274" max="274" width="31.81640625" style="39" bestFit="1" customWidth="1"/>
    <col min="275" max="275" width="15.1796875" style="39" bestFit="1" customWidth="1"/>
    <col min="276" max="276" width="31.81640625" style="39" bestFit="1" customWidth="1"/>
    <col min="277" max="277" width="17.26953125" style="39" bestFit="1" customWidth="1"/>
    <col min="278" max="278" width="31.81640625" style="39" bestFit="1" customWidth="1"/>
    <col min="279" max="279" width="19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5.1796875" style="39" bestFit="1" customWidth="1"/>
    <col min="284" max="284" width="31.81640625" style="39" bestFit="1" customWidth="1"/>
    <col min="285" max="285" width="13.1796875" style="39" bestFit="1" customWidth="1"/>
    <col min="286" max="286" width="31.81640625" style="39" bestFit="1" customWidth="1"/>
    <col min="287" max="287" width="11.08984375" style="39" bestFit="1" customWidth="1"/>
    <col min="288" max="288" width="31.81640625" style="39" bestFit="1" customWidth="1"/>
    <col min="289" max="289" width="10.1796875" style="39" bestFit="1" customWidth="1"/>
    <col min="290" max="290" width="31.81640625" style="39" bestFit="1" customWidth="1"/>
    <col min="291" max="291" width="19.1796875" style="39" bestFit="1" customWidth="1"/>
    <col min="292" max="292" width="31.81640625" style="39" bestFit="1" customWidth="1"/>
    <col min="293" max="293" width="23.1796875" style="39" bestFit="1" customWidth="1"/>
    <col min="294" max="294" width="31.81640625" style="39" bestFit="1" customWidth="1"/>
    <col min="295" max="295" width="11.08984375" style="39" bestFit="1" customWidth="1"/>
    <col min="296" max="296" width="31.81640625" style="39" bestFit="1" customWidth="1"/>
    <col min="297" max="297" width="15.1796875" style="39" bestFit="1" customWidth="1"/>
    <col min="298" max="298" width="31.81640625" style="39" bestFit="1" customWidth="1"/>
    <col min="299" max="299" width="17.26953125" style="39" bestFit="1" customWidth="1"/>
    <col min="300" max="300" width="31.81640625" style="39" bestFit="1" customWidth="1"/>
    <col min="301" max="301" width="10.1796875" style="39" bestFit="1" customWidth="1"/>
    <col min="302" max="302" width="31.81640625" style="39" bestFit="1" customWidth="1"/>
    <col min="303" max="303" width="15.1796875" style="39" bestFit="1" customWidth="1"/>
    <col min="304" max="304" width="31.81640625" style="39" bestFit="1" customWidth="1"/>
    <col min="305" max="305" width="10.1796875" style="39" bestFit="1" customWidth="1"/>
    <col min="306" max="306" width="31.81640625" style="39" bestFit="1" customWidth="1"/>
    <col min="307" max="307" width="11.08984375" style="39" bestFit="1" customWidth="1"/>
    <col min="308" max="308" width="31.81640625" style="39" bestFit="1" customWidth="1"/>
    <col min="309" max="309" width="23.1796875" style="39" bestFit="1" customWidth="1"/>
    <col min="310" max="310" width="31.81640625" style="39" bestFit="1" customWidth="1"/>
    <col min="311" max="311" width="10.1796875" style="39" bestFit="1" customWidth="1"/>
    <col min="312" max="312" width="31.81640625" style="39" bestFit="1" customWidth="1"/>
    <col min="313" max="313" width="11.08984375" style="39" bestFit="1" customWidth="1"/>
    <col min="314" max="314" width="31.81640625" style="39" bestFit="1" customWidth="1"/>
    <col min="315" max="315" width="15.1796875" style="39" bestFit="1" customWidth="1"/>
    <col min="316" max="316" width="31.81640625" style="39" bestFit="1" customWidth="1"/>
    <col min="317" max="317" width="11.08984375" style="39" bestFit="1" customWidth="1"/>
    <col min="318" max="318" width="31.81640625" style="39" bestFit="1" customWidth="1"/>
    <col min="319" max="319" width="15.1796875" style="39" bestFit="1" customWidth="1"/>
    <col min="320" max="320" width="31.81640625" style="39" bestFit="1" customWidth="1"/>
    <col min="321" max="321" width="13.1796875" style="39" bestFit="1" customWidth="1"/>
    <col min="322" max="322" width="31.81640625" style="39" bestFit="1" customWidth="1"/>
    <col min="323" max="323" width="11.08984375" style="39" bestFit="1" customWidth="1"/>
    <col min="324" max="324" width="31.81640625" style="39" bestFit="1" customWidth="1"/>
    <col min="325" max="325" width="23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5.1796875" style="39" bestFit="1" customWidth="1"/>
    <col min="330" max="330" width="31.81640625" style="39" bestFit="1" customWidth="1"/>
    <col min="331" max="331" width="13.1796875" style="39" bestFit="1" customWidth="1"/>
    <col min="332" max="332" width="31.81640625" style="39" bestFit="1" customWidth="1"/>
    <col min="333" max="333" width="15.1796875" style="39" bestFit="1" customWidth="1"/>
    <col min="334" max="334" width="31.81640625" style="39" bestFit="1" customWidth="1"/>
    <col min="335" max="335" width="13.1796875" style="39" bestFit="1" customWidth="1"/>
    <col min="336" max="336" width="31.81640625" style="39" bestFit="1" customWidth="1"/>
    <col min="337" max="337" width="10.1796875" style="39" bestFit="1" customWidth="1"/>
    <col min="338" max="338" width="31.81640625" style="39" bestFit="1" customWidth="1"/>
    <col min="339" max="339" width="23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9.1796875" style="39" bestFit="1" customWidth="1"/>
    <col min="344" max="344" width="31.81640625" style="39" bestFit="1" customWidth="1"/>
    <col min="345" max="345" width="10.1796875" style="39" bestFit="1" customWidth="1"/>
    <col min="346" max="346" width="31.81640625" style="39" bestFit="1" customWidth="1"/>
    <col min="347" max="347" width="17.26953125" style="39" bestFit="1" customWidth="1"/>
    <col min="348" max="348" width="31.81640625" style="39" bestFit="1" customWidth="1"/>
    <col min="349" max="349" width="13.179687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21.26953125" style="39" bestFit="1" customWidth="1"/>
    <col min="354" max="354" width="31.81640625" style="39" bestFit="1" customWidth="1"/>
    <col min="355" max="355" width="17.26953125" style="39" bestFit="1" customWidth="1"/>
    <col min="356" max="356" width="31.81640625" style="39" bestFit="1" customWidth="1"/>
    <col min="357" max="357" width="10.1796875" style="39" bestFit="1" customWidth="1"/>
    <col min="358" max="358" width="31.81640625" style="39" bestFit="1" customWidth="1"/>
    <col min="359" max="359" width="21.2695312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0.1796875" style="39" bestFit="1" customWidth="1"/>
    <col min="366" max="366" width="31.81640625" style="39" bestFit="1" customWidth="1"/>
    <col min="367" max="367" width="15.1796875" style="39" bestFit="1" customWidth="1"/>
    <col min="368" max="368" width="31.81640625" style="39" bestFit="1" customWidth="1"/>
    <col min="369" max="369" width="21.26953125" style="39" bestFit="1" customWidth="1"/>
    <col min="370" max="370" width="31.81640625" style="39" bestFit="1" customWidth="1"/>
    <col min="371" max="371" width="17.26953125" style="39" bestFit="1" customWidth="1"/>
    <col min="372" max="372" width="31.81640625" style="39" bestFit="1" customWidth="1"/>
    <col min="373" max="373" width="10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13.1796875" style="39" bestFit="1" customWidth="1"/>
    <col min="378" max="378" width="31.81640625" style="39" bestFit="1" customWidth="1"/>
    <col min="379" max="379" width="21.2695312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10.1796875" style="39" bestFit="1" customWidth="1"/>
    <col min="384" max="384" width="31.81640625" style="39" bestFit="1" customWidth="1"/>
    <col min="385" max="385" width="21.26953125" style="39" bestFit="1" customWidth="1"/>
    <col min="386" max="386" width="31.81640625" style="39" bestFit="1" customWidth="1"/>
    <col min="387" max="387" width="10.1796875" style="39" bestFit="1" customWidth="1"/>
    <col min="388" max="388" width="31.81640625" style="39" bestFit="1" customWidth="1"/>
    <col min="389" max="389" width="19.1796875" style="39" bestFit="1" customWidth="1"/>
    <col min="390" max="390" width="31.81640625" style="39" bestFit="1" customWidth="1"/>
    <col min="391" max="391" width="13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0.1796875" style="39" bestFit="1" customWidth="1"/>
    <col min="396" max="396" width="31.81640625" style="39" bestFit="1" customWidth="1"/>
    <col min="397" max="397" width="15.1796875" style="39" bestFit="1" customWidth="1"/>
    <col min="398" max="398" width="31.81640625" style="39" bestFit="1" customWidth="1"/>
    <col min="399" max="399" width="17.26953125" style="39" bestFit="1" customWidth="1"/>
    <col min="400" max="400" width="31.81640625" style="39" bestFit="1" customWidth="1"/>
    <col min="401" max="401" width="13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5.1796875" style="39" bestFit="1" customWidth="1"/>
    <col min="406" max="406" width="31.81640625" style="39" bestFit="1" customWidth="1"/>
    <col min="407" max="407" width="10.1796875" style="39" bestFit="1" customWidth="1"/>
    <col min="408" max="408" width="31.81640625" style="39" bestFit="1" customWidth="1"/>
    <col min="409" max="409" width="15.1796875" style="39" bestFit="1" customWidth="1"/>
    <col min="410" max="410" width="31.81640625" style="39" bestFit="1" customWidth="1"/>
    <col min="411" max="411" width="13.1796875" style="39" bestFit="1" customWidth="1"/>
    <col min="412" max="412" width="31.81640625" style="39" bestFit="1" customWidth="1"/>
    <col min="413" max="413" width="19.1796875" style="39" bestFit="1" customWidth="1"/>
    <col min="414" max="414" width="31.81640625" style="39" bestFit="1" customWidth="1"/>
    <col min="415" max="415" width="10.1796875" style="39" bestFit="1" customWidth="1"/>
    <col min="416" max="416" width="31.81640625" style="39" bestFit="1" customWidth="1"/>
    <col min="417" max="417" width="13.1796875" style="39" bestFit="1" customWidth="1"/>
    <col min="418" max="418" width="31.81640625" style="39" bestFit="1" customWidth="1"/>
    <col min="419" max="419" width="15.1796875" style="39" bestFit="1" customWidth="1"/>
    <col min="420" max="420" width="31.81640625" style="39" bestFit="1" customWidth="1"/>
    <col min="421" max="421" width="10.1796875" style="39" bestFit="1" customWidth="1"/>
    <col min="422" max="422" width="31.81640625" style="39" bestFit="1" customWidth="1"/>
    <col min="423" max="423" width="15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0.1796875" style="39" bestFit="1" customWidth="1"/>
    <col min="428" max="428" width="31.81640625" style="39" bestFit="1" customWidth="1"/>
    <col min="429" max="429" width="15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0.1796875" style="39" bestFit="1" customWidth="1"/>
    <col min="436" max="436" width="31.81640625" style="39" bestFit="1" customWidth="1"/>
    <col min="437" max="437" width="15.17968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1.0898437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7.2695312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1.08984375" style="39" bestFit="1" customWidth="1"/>
    <col min="462" max="462" width="31.81640625" style="39" bestFit="1" customWidth="1"/>
    <col min="463" max="463" width="14" style="39" bestFit="1" customWidth="1"/>
    <col min="464" max="464" width="31.81640625" style="39" bestFit="1" customWidth="1"/>
    <col min="465" max="465" width="10.1796875" style="39" bestFit="1" customWidth="1"/>
    <col min="466" max="466" width="31.81640625" style="39" bestFit="1" customWidth="1"/>
    <col min="467" max="467" width="22.81640625" style="39" bestFit="1" customWidth="1"/>
    <col min="468" max="468" width="44.36328125" style="39" bestFit="1" customWidth="1"/>
    <col min="469" max="16384" width="3.26953125" style="39"/>
  </cols>
  <sheetData>
    <row r="1" spans="1:468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145" t="s">
        <v>1585</v>
      </c>
      <c r="AB1" s="146"/>
      <c r="AC1" s="146"/>
      <c r="AD1" s="146"/>
      <c r="AE1" s="146"/>
      <c r="AF1" s="146"/>
      <c r="AG1" s="146"/>
      <c r="AH1" s="87"/>
      <c r="AI1" s="88"/>
      <c r="AJ1" s="89"/>
      <c r="AK1" s="89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  <c r="BY1" s="81"/>
      <c r="BZ1" s="81"/>
    </row>
    <row r="2" spans="1:468" ht="46.5" customHeight="1" x14ac:dyDescent="0.6">
      <c r="A2" s="54"/>
      <c r="B2" s="53"/>
      <c r="C2" s="55"/>
      <c r="D2" s="53"/>
      <c r="E2" s="53"/>
      <c r="F2" s="53"/>
      <c r="G2" s="61" t="str">
        <f>IFERROR(VLOOKUP(A2,Stok!B1:BA449,2,0),"")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147" t="str">
        <f>N6</f>
        <v/>
      </c>
      <c r="AA2" s="147"/>
      <c r="AB2" s="147"/>
      <c r="AC2" s="147"/>
      <c r="AD2" s="147"/>
      <c r="AE2" s="53"/>
      <c r="AF2" s="53"/>
      <c r="AG2" s="53"/>
      <c r="AH2" s="63"/>
      <c r="AI2" s="64"/>
      <c r="AJ2" s="65"/>
      <c r="AK2" s="65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</row>
    <row r="3" spans="1:468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63"/>
      <c r="AI3" s="64"/>
      <c r="AJ3" s="66"/>
      <c r="AK3" s="65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</row>
    <row r="4" spans="1:468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63"/>
      <c r="AI4" s="64"/>
      <c r="AJ4" s="65"/>
      <c r="AK4" s="65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</row>
    <row r="5" spans="1:468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1584</v>
      </c>
      <c r="J5" s="123" t="s">
        <v>1597</v>
      </c>
      <c r="K5" s="123" t="s">
        <v>1598</v>
      </c>
      <c r="L5"/>
      <c r="M5" s="56" t="s">
        <v>1151</v>
      </c>
      <c r="N5" s="57" t="s">
        <v>1152</v>
      </c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63"/>
      <c r="AI5" s="64"/>
      <c r="AJ5" s="65"/>
      <c r="AK5" s="65"/>
      <c r="AL5" s="53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</row>
    <row r="6" spans="1:468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48">
        <v>1</v>
      </c>
      <c r="J6" s="148"/>
      <c r="K6" s="148">
        <v>1</v>
      </c>
      <c r="L6"/>
      <c r="M6" s="58">
        <v>46272</v>
      </c>
      <c r="N6" s="59" t="str">
        <f>IFERROR(VLOOKUP($A$2,Stok!$B$1:$DP$449,119,0),"")</f>
        <v/>
      </c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63"/>
      <c r="AI6" s="64"/>
      <c r="AJ6" s="65"/>
      <c r="AK6" s="65"/>
      <c r="AL6" s="53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</row>
    <row r="7" spans="1:468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48">
        <v>0</v>
      </c>
      <c r="J7" s="148"/>
      <c r="K7" s="148">
        <v>0</v>
      </c>
      <c r="L7"/>
      <c r="M7" s="58">
        <v>46265</v>
      </c>
      <c r="N7" s="59" t="str">
        <f>IFERROR(VLOOKUP($A$2,Stok!$B$1:$DO$447,118,0),"")</f>
        <v/>
      </c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63"/>
      <c r="AI7" s="64"/>
      <c r="AJ7" s="65"/>
      <c r="AK7" s="65"/>
      <c r="AL7" s="53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</row>
    <row r="8" spans="1:468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48">
        <v>1</v>
      </c>
      <c r="J8" s="148"/>
      <c r="K8" s="148">
        <v>1</v>
      </c>
      <c r="L8"/>
      <c r="M8" s="58">
        <v>46258</v>
      </c>
      <c r="N8" s="59" t="str">
        <f>IFERROR(VLOOKUP($A$2,Stok!$B$1:$DN$449,117,0),"")</f>
        <v/>
      </c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63"/>
      <c r="AI8" s="64"/>
      <c r="AJ8" s="65"/>
      <c r="AK8" s="65"/>
      <c r="AL8" s="53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</row>
    <row r="9" spans="1:468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48">
        <v>127</v>
      </c>
      <c r="J9" s="148"/>
      <c r="K9" s="148">
        <v>127</v>
      </c>
      <c r="L9"/>
      <c r="M9" s="58">
        <v>46251</v>
      </c>
      <c r="N9" s="59" t="str">
        <f>IFERROR(VLOOKUP($A$2,Stok!$B$1:$DM$449,116,0),"")</f>
        <v/>
      </c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63"/>
      <c r="AI9" s="64"/>
      <c r="AJ9" s="65"/>
      <c r="AK9" s="65"/>
      <c r="AL9" s="53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</row>
    <row r="10" spans="1:468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48">
        <v>1</v>
      </c>
      <c r="J10" s="148"/>
      <c r="K10" s="148">
        <v>1</v>
      </c>
      <c r="L10"/>
      <c r="M10" s="58">
        <v>46244</v>
      </c>
      <c r="N10" s="59" t="str">
        <f>IFERROR(VLOOKUP($A$2,Stok!$B$1:$DL$449,115,0),"")</f>
        <v/>
      </c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63"/>
      <c r="AI10" s="64"/>
      <c r="AJ10" s="65"/>
      <c r="AK10" s="65"/>
      <c r="AL10" s="53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</row>
    <row r="11" spans="1:468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48">
        <v>1</v>
      </c>
      <c r="J11" s="148"/>
      <c r="K11" s="148">
        <v>1</v>
      </c>
      <c r="L11"/>
      <c r="M11" s="58">
        <v>46237</v>
      </c>
      <c r="N11" s="59" t="str">
        <f>IFERROR(VLOOKUP($A$2,Stok!$B$1:$DK$449,114,0),"")</f>
        <v/>
      </c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63"/>
      <c r="AI11" s="64"/>
      <c r="AJ11" s="65"/>
      <c r="AK11" s="65"/>
      <c r="AL11" s="53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</row>
    <row r="12" spans="1:468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48">
        <v>1</v>
      </c>
      <c r="J12" s="148"/>
      <c r="K12" s="148">
        <v>1</v>
      </c>
      <c r="L12"/>
      <c r="M12" s="58">
        <v>46223</v>
      </c>
      <c r="N12" s="59" t="str">
        <f>IFERROR(VLOOKUP($A$2,Stok!$B$1:$DJ$449,113,0),"")</f>
        <v/>
      </c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63"/>
      <c r="AI12" s="64"/>
      <c r="AJ12" s="65"/>
      <c r="AK12" s="65"/>
      <c r="AL12" s="53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</row>
    <row r="13" spans="1:468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48">
        <v>0</v>
      </c>
      <c r="J13" s="148"/>
      <c r="K13" s="148">
        <v>0</v>
      </c>
      <c r="L13"/>
      <c r="M13" s="58">
        <v>46216</v>
      </c>
      <c r="N13" s="59" t="str">
        <f>IFERROR(VLOOKUP($A$2,Stok!$B$1:$DI$449,112,0),"")</f>
        <v/>
      </c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63"/>
      <c r="AI13" s="64"/>
      <c r="AJ13" s="65"/>
      <c r="AK13" s="65"/>
      <c r="AL13" s="53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</row>
    <row r="14" spans="1:468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48">
        <v>0</v>
      </c>
      <c r="J14" s="148"/>
      <c r="K14" s="148">
        <v>0</v>
      </c>
      <c r="L14"/>
      <c r="M14" s="58">
        <v>46209</v>
      </c>
      <c r="N14" s="59" t="str">
        <f>IFERROR(VLOOKUP($A$2,Stok!$B$1:$DH$449,111,0),"")</f>
        <v/>
      </c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63"/>
      <c r="AI14" s="64"/>
      <c r="AJ14" s="65"/>
      <c r="AK14" s="65"/>
      <c r="AL14" s="53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</row>
    <row r="15" spans="1:468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48">
        <v>0</v>
      </c>
      <c r="J15" s="148"/>
      <c r="K15" s="148">
        <v>0</v>
      </c>
      <c r="L15"/>
      <c r="M15" s="58">
        <v>46202</v>
      </c>
      <c r="N15" s="59" t="str">
        <f>IFERROR(VLOOKUP($A$2,Stok!$B$1:$DG$449,110,0),"")</f>
        <v/>
      </c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63"/>
      <c r="AI15" s="64"/>
      <c r="AJ15" s="65"/>
      <c r="AK15" s="65"/>
      <c r="AL15" s="53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</row>
    <row r="16" spans="1:468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48">
        <v>0</v>
      </c>
      <c r="J16" s="148"/>
      <c r="K16" s="148">
        <v>0</v>
      </c>
      <c r="L16"/>
      <c r="M16" s="58">
        <v>46195</v>
      </c>
      <c r="N16" s="59" t="str">
        <f>IFERROR(VLOOKUP($A$2,Stok!$B$1:$DF$449,109,0),"")</f>
        <v/>
      </c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63"/>
      <c r="AI16" s="64"/>
      <c r="AJ16" s="65"/>
      <c r="AK16" s="65"/>
      <c r="AL16" s="53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</row>
    <row r="17" spans="1:468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48">
        <v>0</v>
      </c>
      <c r="J17" s="148"/>
      <c r="K17" s="148">
        <v>0</v>
      </c>
      <c r="L17"/>
      <c r="M17" s="58">
        <v>46188</v>
      </c>
      <c r="N17" s="59" t="str">
        <f>IFERROR(VLOOKUP($A$2,Stok!$B$1:$DE$449,108,0),"")</f>
        <v/>
      </c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63"/>
      <c r="AI17" s="64"/>
      <c r="AJ17" s="65"/>
      <c r="AK17" s="65"/>
      <c r="AL17" s="53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</row>
    <row r="18" spans="1:468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48">
        <v>1</v>
      </c>
      <c r="J18" s="148"/>
      <c r="K18" s="148">
        <v>1</v>
      </c>
      <c r="L18"/>
      <c r="M18" s="58">
        <v>46181</v>
      </c>
      <c r="N18" s="59" t="str">
        <f>IFERROR(VLOOKUP($A$2,Stok!$B$1:$DD$449,107,0),"")</f>
        <v/>
      </c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63"/>
      <c r="AI18" s="64"/>
      <c r="AJ18" s="65"/>
      <c r="AK18" s="65"/>
      <c r="AL18" s="53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</row>
    <row r="19" spans="1:468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48">
        <v>14</v>
      </c>
      <c r="J19" s="148"/>
      <c r="K19" s="148">
        <v>14</v>
      </c>
      <c r="L19"/>
      <c r="M19" s="58">
        <v>46174</v>
      </c>
      <c r="N19" s="59" t="str">
        <f>IFERROR(VLOOKUP($A$2,Stok!$B$1:$DC$449,106,0),"")</f>
        <v/>
      </c>
      <c r="O19" s="53"/>
      <c r="P19" s="62"/>
      <c r="Q19" s="62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62"/>
      <c r="AG19" s="62"/>
      <c r="AH19" s="63"/>
      <c r="AI19" s="64"/>
      <c r="AJ19" s="65"/>
      <c r="AK19" s="65"/>
      <c r="AL19" s="53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</row>
    <row r="20" spans="1:468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48">
        <v>1</v>
      </c>
      <c r="J20" s="148"/>
      <c r="K20" s="148">
        <v>1</v>
      </c>
      <c r="L20"/>
      <c r="M20" s="58">
        <v>46160</v>
      </c>
      <c r="N20" s="59" t="str">
        <f>IFERROR(VLOOKUP($A$2,Stok!$B$1:$DB$449,105,0),"")</f>
        <v/>
      </c>
      <c r="O20" s="53"/>
      <c r="P20" s="62"/>
      <c r="Q20" s="62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62"/>
      <c r="AG20" s="62"/>
      <c r="AH20" s="63"/>
      <c r="AI20" s="64"/>
      <c r="AJ20" s="65"/>
      <c r="AK20" s="65"/>
      <c r="AL20" s="53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</row>
    <row r="21" spans="1:468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48">
        <v>56</v>
      </c>
      <c r="J21" s="148"/>
      <c r="K21" s="148">
        <v>56</v>
      </c>
      <c r="L21"/>
      <c r="M21" s="58">
        <v>46153</v>
      </c>
      <c r="N21" s="59" t="str">
        <f>IFERROR(VLOOKUP($A$2,Stok!$B$1:$DA$449,104,0),"")</f>
        <v/>
      </c>
      <c r="O21" s="53"/>
      <c r="P21" s="53"/>
      <c r="Q21" s="53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53"/>
      <c r="AG21" s="53"/>
      <c r="AH21" s="63"/>
      <c r="AI21" s="64"/>
      <c r="AJ21" s="65"/>
      <c r="AK21" s="65"/>
      <c r="AL21" s="53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</row>
    <row r="22" spans="1:468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48">
        <v>43</v>
      </c>
      <c r="J22" s="148"/>
      <c r="K22" s="148">
        <v>43</v>
      </c>
      <c r="L22"/>
      <c r="M22" s="58">
        <v>46146</v>
      </c>
      <c r="N22" s="59" t="str">
        <f>IFERROR(VLOOKUP($A$2,Stok!$B$1:$CZ$449,103,0),"")</f>
        <v/>
      </c>
      <c r="O22" s="53"/>
      <c r="P22" s="53"/>
      <c r="Q22" s="53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53"/>
      <c r="AG22" s="53"/>
      <c r="AH22" s="63"/>
      <c r="AI22" s="64"/>
      <c r="AJ22" s="65"/>
      <c r="AK22" s="65"/>
      <c r="AL22" s="53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</row>
    <row r="23" spans="1:468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48">
        <v>0</v>
      </c>
      <c r="J23" s="148"/>
      <c r="K23" s="148">
        <v>0</v>
      </c>
      <c r="L23"/>
      <c r="M23" s="58">
        <v>46139</v>
      </c>
      <c r="N23" s="59" t="str">
        <f>IFERROR(VLOOKUP($A$2,Stok!$B$1:$CY$449,102,0),"")</f>
        <v/>
      </c>
      <c r="O23" s="53"/>
      <c r="P23" s="53"/>
      <c r="Q23" s="53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53"/>
      <c r="AG23" s="53"/>
      <c r="AH23" s="63"/>
      <c r="AI23" s="64"/>
      <c r="AJ23" s="65"/>
      <c r="AK23" s="65"/>
      <c r="AL23" s="53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</row>
    <row r="24" spans="1:468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48">
        <v>9</v>
      </c>
      <c r="J24" s="148"/>
      <c r="K24" s="148">
        <v>9</v>
      </c>
      <c r="L24"/>
      <c r="M24" s="58">
        <v>46132</v>
      </c>
      <c r="N24" s="59" t="str">
        <f>IFERROR(VLOOKUP($A$2,Stok!$B$1:$CX$449,101,0),"")</f>
        <v/>
      </c>
      <c r="O24" s="53"/>
      <c r="P24" s="53"/>
      <c r="Q24" s="53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53"/>
      <c r="AG24" s="53"/>
      <c r="AH24" s="63"/>
      <c r="AI24" s="64"/>
      <c r="AJ24" s="65"/>
      <c r="AK24" s="65"/>
      <c r="AL24" s="53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</row>
    <row r="25" spans="1:468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48">
        <v>0</v>
      </c>
      <c r="J25" s="148"/>
      <c r="K25" s="148">
        <v>0</v>
      </c>
      <c r="L25"/>
      <c r="M25" s="58">
        <v>46125</v>
      </c>
      <c r="N25" s="59" t="str">
        <f>IFERROR(VLOOKUP($A$2,Stok!$B$1:$CW$449,100,0),"")</f>
        <v/>
      </c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63"/>
      <c r="AI25" s="64"/>
      <c r="AJ25" s="65"/>
      <c r="AK25" s="65"/>
      <c r="AL25" s="53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</row>
    <row r="26" spans="1:468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48">
        <v>845</v>
      </c>
      <c r="J26" s="148"/>
      <c r="K26" s="148">
        <v>845</v>
      </c>
      <c r="L26"/>
      <c r="M26" s="58">
        <v>46118</v>
      </c>
      <c r="N26" s="59" t="str">
        <f>IFERROR(VLOOKUP($A$2,Stok!$B$1:$CV$449,99,0),"")</f>
        <v/>
      </c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63"/>
      <c r="AI26" s="64"/>
      <c r="AJ26" s="65"/>
      <c r="AK26" s="65"/>
      <c r="AL26" s="53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</row>
    <row r="27" spans="1:468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48">
        <v>500</v>
      </c>
      <c r="J27" s="148"/>
      <c r="K27" s="148">
        <v>500</v>
      </c>
      <c r="L27"/>
      <c r="M27" s="58">
        <v>46111</v>
      </c>
      <c r="N27" s="59" t="str">
        <f>IFERROR(VLOOKUP($A$2,Stok!$B$1:$CU$449,98,0),"")</f>
        <v/>
      </c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63"/>
      <c r="AI27" s="64"/>
      <c r="AJ27" s="65"/>
      <c r="AK27" s="65"/>
      <c r="AL27" s="53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</row>
    <row r="28" spans="1:468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48">
        <v>0</v>
      </c>
      <c r="J28" s="148"/>
      <c r="K28" s="148">
        <v>0</v>
      </c>
      <c r="L28"/>
      <c r="M28" s="58">
        <v>46104</v>
      </c>
      <c r="N28" s="59" t="str">
        <f>IFERROR(VLOOKUP($A$2,Stok!$B$1:$CT$449,97,0),"")</f>
        <v/>
      </c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63"/>
      <c r="AI28" s="64"/>
      <c r="AJ28" s="65"/>
      <c r="AK28" s="65"/>
      <c r="AL28" s="53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</row>
    <row r="29" spans="1:468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48">
        <v>1</v>
      </c>
      <c r="J29" s="148"/>
      <c r="K29" s="148">
        <v>1</v>
      </c>
      <c r="L29"/>
      <c r="M29" s="58">
        <v>46097</v>
      </c>
      <c r="N29" s="59" t="str">
        <f>IFERROR(VLOOKUP($A$2,Stok!$B$1:$CS$449,96,0),"")</f>
        <v/>
      </c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63"/>
      <c r="AI29" s="64"/>
      <c r="AJ29" s="65"/>
      <c r="AK29" s="65"/>
      <c r="AL29" s="53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</row>
    <row r="30" spans="1:468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48">
        <v>207</v>
      </c>
      <c r="J30" s="148"/>
      <c r="K30" s="148">
        <v>207</v>
      </c>
      <c r="L30"/>
      <c r="M30" s="58">
        <v>46090</v>
      </c>
      <c r="N30" s="59" t="str">
        <f>IFERROR(VLOOKUP($A$2,Stok!$B$1:$CR$449,95,0),"")</f>
        <v/>
      </c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63"/>
      <c r="AI30" s="64"/>
      <c r="AJ30" s="65"/>
      <c r="AK30" s="65"/>
      <c r="AL30" s="53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</row>
    <row r="31" spans="1:468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48">
        <v>24</v>
      </c>
      <c r="J31" s="148"/>
      <c r="K31" s="148">
        <v>24</v>
      </c>
      <c r="L31"/>
      <c r="M31" s="58">
        <v>46083</v>
      </c>
      <c r="N31" s="59" t="str">
        <f>IFERROR(VLOOKUP($A$2,Stok!$B$1:$CQ$449,94,0),"")</f>
        <v/>
      </c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63"/>
      <c r="AI31" s="64"/>
      <c r="AJ31" s="65"/>
      <c r="AK31" s="65"/>
      <c r="AL31" s="53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</row>
    <row r="32" spans="1:468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48">
        <v>28</v>
      </c>
      <c r="J32" s="148"/>
      <c r="K32" s="148">
        <v>28</v>
      </c>
      <c r="L32"/>
      <c r="M32" s="58">
        <v>46076</v>
      </c>
      <c r="N32" s="59" t="str">
        <f>IFERROR(VLOOKUP($A$2,Stok!$B$1:$CP$449,93,0),"")</f>
        <v/>
      </c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63"/>
      <c r="AI32" s="64"/>
      <c r="AJ32" s="65"/>
      <c r="AK32" s="65"/>
      <c r="AL32" s="53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</row>
    <row r="33" spans="1:468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48">
        <v>28</v>
      </c>
      <c r="J33" s="148"/>
      <c r="K33" s="148">
        <v>28</v>
      </c>
      <c r="L33"/>
      <c r="M33" s="58">
        <v>46069</v>
      </c>
      <c r="N33" s="59" t="str">
        <f>IFERROR(VLOOKUP($A$2,Stok!$B$1:$CO$449,92,0),"")</f>
        <v/>
      </c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63"/>
      <c r="AI33" s="64"/>
      <c r="AJ33" s="65"/>
      <c r="AK33" s="65"/>
      <c r="AL33" s="53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</row>
    <row r="34" spans="1:468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48">
        <v>30</v>
      </c>
      <c r="J34" s="148"/>
      <c r="K34" s="148">
        <v>30</v>
      </c>
      <c r="L34"/>
      <c r="M34" s="58">
        <v>46062</v>
      </c>
      <c r="N34" s="59" t="str">
        <f>IFERROR(VLOOKUP($A$2,Stok!$B$1:$CN$449,91,0),"")</f>
        <v/>
      </c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63"/>
      <c r="AI34" s="64"/>
      <c r="AJ34" s="65"/>
      <c r="AK34" s="65"/>
      <c r="AL34" s="53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</row>
    <row r="35" spans="1:468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48">
        <v>10</v>
      </c>
      <c r="J35" s="148"/>
      <c r="K35" s="148">
        <v>10</v>
      </c>
      <c r="L35"/>
      <c r="M35" s="58">
        <v>46055</v>
      </c>
      <c r="N35" s="59" t="str">
        <f>IFERROR(VLOOKUP($A$2,Stok!$B$1:$CM$449,90,0),"")</f>
        <v/>
      </c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63"/>
      <c r="AI35" s="64"/>
      <c r="AJ35" s="65"/>
      <c r="AK35" s="65"/>
      <c r="AL35" s="53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</row>
    <row r="36" spans="1:468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48">
        <v>2</v>
      </c>
      <c r="J36" s="148"/>
      <c r="K36" s="148">
        <v>2</v>
      </c>
      <c r="L36"/>
      <c r="M36" s="58">
        <v>46048</v>
      </c>
      <c r="N36" s="59" t="str">
        <f>IFERROR(VLOOKUP($A$2,Stok!$B$1:$CL$449,89,0),"")</f>
        <v/>
      </c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63"/>
      <c r="AI36" s="64"/>
      <c r="AJ36" s="65"/>
      <c r="AK36" s="65"/>
      <c r="AL36" s="53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</row>
    <row r="37" spans="1:468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48">
        <v>2</v>
      </c>
      <c r="J37" s="148"/>
      <c r="K37" s="148">
        <v>2</v>
      </c>
      <c r="L37"/>
      <c r="M37" s="58">
        <v>46041</v>
      </c>
      <c r="N37" s="59" t="str">
        <f>IFERROR(VLOOKUP($A$2,Stok!$B$1:$CK$449,88,0),"")</f>
        <v/>
      </c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3"/>
      <c r="AI37" s="64"/>
      <c r="AJ37" s="65"/>
      <c r="AK37" s="65"/>
      <c r="AL37" s="53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</row>
    <row r="38" spans="1:468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48">
        <v>13</v>
      </c>
      <c r="J38" s="148"/>
      <c r="K38" s="148">
        <v>13</v>
      </c>
      <c r="L38"/>
      <c r="M38" s="58">
        <v>46034</v>
      </c>
      <c r="N38" s="59" t="str">
        <f>IFERROR(VLOOKUP($A$2,Stok!$B$1:$CJ$449,87,0),"")</f>
        <v/>
      </c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3"/>
      <c r="AI38" s="64"/>
      <c r="AJ38" s="65"/>
      <c r="AK38" s="65"/>
      <c r="AL38" s="53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</row>
    <row r="39" spans="1:468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48">
        <v>2</v>
      </c>
      <c r="J39" s="148"/>
      <c r="K39" s="148">
        <v>2</v>
      </c>
      <c r="L39"/>
      <c r="M39" s="58">
        <v>46027</v>
      </c>
      <c r="N39" s="59" t="str">
        <f>IFERROR(VLOOKUP($A$2,Stok!$B$1:$CI$449,86,0),"")</f>
        <v/>
      </c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3"/>
      <c r="AI39" s="64"/>
      <c r="AJ39" s="65"/>
      <c r="AK39" s="65"/>
      <c r="AL39" s="53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</row>
    <row r="40" spans="1:468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48">
        <v>2</v>
      </c>
      <c r="J40" s="148"/>
      <c r="K40" s="148">
        <v>2</v>
      </c>
      <c r="L40"/>
      <c r="M40" s="58">
        <v>46020</v>
      </c>
      <c r="N40" s="59" t="str">
        <f>IFERROR(VLOOKUP($A$2,Stok!$B$1:$CH$449,85,0),"")</f>
        <v/>
      </c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63"/>
      <c r="AI40" s="64"/>
      <c r="AJ40" s="65"/>
      <c r="AK40" s="65"/>
      <c r="AL40" s="53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</row>
    <row r="41" spans="1:468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48">
        <v>42</v>
      </c>
      <c r="J41" s="148">
        <v>30</v>
      </c>
      <c r="K41" s="148">
        <v>12</v>
      </c>
      <c r="L41"/>
      <c r="M41" s="58">
        <v>46013</v>
      </c>
      <c r="N41" s="59" t="str">
        <f>IFERROR(VLOOKUP($A$2,Stok!$B$1:$CG$449,84,0),"")</f>
        <v/>
      </c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63"/>
      <c r="AI41" s="64"/>
      <c r="AJ41" s="65"/>
      <c r="AK41" s="65"/>
      <c r="AL41" s="53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</row>
    <row r="42" spans="1:468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48">
        <v>1</v>
      </c>
      <c r="J42" s="148"/>
      <c r="K42" s="148">
        <v>1</v>
      </c>
      <c r="L42"/>
      <c r="M42" s="58">
        <v>46006</v>
      </c>
      <c r="N42" s="59" t="str">
        <f>IFERROR(VLOOKUP($A$2,Stok!$B$1:$CF$449,83,0),"")</f>
        <v/>
      </c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63"/>
      <c r="AI42" s="64"/>
      <c r="AJ42" s="65"/>
      <c r="AK42" s="65"/>
      <c r="AL42" s="53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</row>
    <row r="43" spans="1:468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48">
        <v>0</v>
      </c>
      <c r="J43" s="148"/>
      <c r="K43" s="148">
        <v>0</v>
      </c>
      <c r="L43"/>
      <c r="M43" s="58">
        <v>45999</v>
      </c>
      <c r="N43" s="59" t="str">
        <f>IFERROR(VLOOKUP($A$2,Stok!$B$1:$CE$449,82,0),"")</f>
        <v/>
      </c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63"/>
      <c r="AI43" s="64"/>
      <c r="AJ43" s="65"/>
      <c r="AK43" s="65"/>
      <c r="AL43" s="53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</row>
    <row r="44" spans="1:468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48">
        <v>1</v>
      </c>
      <c r="J44" s="148"/>
      <c r="K44" s="148">
        <v>1</v>
      </c>
      <c r="L44"/>
      <c r="M44" s="58">
        <v>45992</v>
      </c>
      <c r="N44" s="59" t="str">
        <f>IFERROR(VLOOKUP($A$2,Stok!$B$1:$CD$449,81,0),"")</f>
        <v/>
      </c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63"/>
      <c r="AI44" s="64"/>
      <c r="AJ44" s="65"/>
      <c r="AK44" s="65"/>
      <c r="AL44" s="53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</row>
    <row r="45" spans="1:468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48">
        <v>8</v>
      </c>
      <c r="J45" s="148">
        <v>8</v>
      </c>
      <c r="K45" s="148">
        <v>0</v>
      </c>
      <c r="L45"/>
      <c r="M45" s="58">
        <v>45985</v>
      </c>
      <c r="N45" s="59" t="str">
        <f>IFERROR(VLOOKUP($A$2,Stok!$B$1:$CC$449,80,0),"")</f>
        <v/>
      </c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63"/>
      <c r="AI45" s="64"/>
      <c r="AJ45" s="65"/>
      <c r="AK45" s="65"/>
      <c r="AL45" s="53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</row>
    <row r="46" spans="1:468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48">
        <v>2</v>
      </c>
      <c r="J46" s="148">
        <v>2</v>
      </c>
      <c r="K46" s="148">
        <v>0</v>
      </c>
      <c r="L46"/>
      <c r="M46" s="58">
        <v>45978</v>
      </c>
      <c r="N46" s="59" t="str">
        <f>IFERROR(VLOOKUP($A$2,Stok!$B$1:$CB$449,79,0),"")</f>
        <v/>
      </c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63"/>
      <c r="AI46" s="64"/>
      <c r="AJ46" s="65"/>
      <c r="AK46" s="65"/>
      <c r="AL46" s="53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</row>
    <row r="47" spans="1:468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48">
        <v>1</v>
      </c>
      <c r="J47" s="148"/>
      <c r="K47" s="148">
        <v>1</v>
      </c>
      <c r="L47"/>
      <c r="M47" s="58">
        <v>45971</v>
      </c>
      <c r="N47" s="59" t="str">
        <f>IFERROR(VLOOKUP($A$2,Stok!$B$1:$CA$449,78,0),"")</f>
        <v/>
      </c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63"/>
      <c r="AI47" s="64"/>
      <c r="AJ47" s="65"/>
      <c r="AK47" s="65"/>
      <c r="AL47" s="53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</row>
    <row r="48" spans="1:468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48">
        <v>0</v>
      </c>
      <c r="J48" s="148"/>
      <c r="K48" s="148">
        <v>0</v>
      </c>
      <c r="L48"/>
      <c r="M48" s="58">
        <v>45964</v>
      </c>
      <c r="N48" s="59" t="str">
        <f>IFERROR(VLOOKUP($A$2,Stok!$B$1:$BZ$449,77,0),"")</f>
        <v/>
      </c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63"/>
      <c r="AI48" s="64"/>
      <c r="AJ48" s="65"/>
      <c r="AK48" s="65"/>
      <c r="AL48" s="53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</row>
    <row r="49" spans="1:468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48">
        <v>4</v>
      </c>
      <c r="J49" s="148">
        <v>4</v>
      </c>
      <c r="K49" s="148">
        <v>0</v>
      </c>
      <c r="L49"/>
      <c r="M49" s="58">
        <v>45950</v>
      </c>
      <c r="N49" s="59" t="str">
        <f>IFERROR(VLOOKUP($A$2,Stok!$B$1:$BY$449,76,0),"")</f>
        <v/>
      </c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63"/>
      <c r="AI49" s="64"/>
      <c r="AJ49" s="65"/>
      <c r="AK49" s="65"/>
      <c r="AL49" s="53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</row>
    <row r="50" spans="1:468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48">
        <v>18</v>
      </c>
      <c r="J50" s="148">
        <v>16</v>
      </c>
      <c r="K50" s="148">
        <v>2</v>
      </c>
      <c r="L50"/>
      <c r="M50" s="58">
        <v>45943</v>
      </c>
      <c r="N50" s="59" t="str">
        <f>IFERROR(VLOOKUP($A$2,Stok!$B$1:$BX$449,75,0),"")</f>
        <v/>
      </c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63"/>
      <c r="AI50" s="64"/>
      <c r="AJ50" s="65"/>
      <c r="AK50" s="65"/>
      <c r="AL50" s="53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</row>
    <row r="51" spans="1:468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48">
        <v>0</v>
      </c>
      <c r="J51" s="148"/>
      <c r="K51" s="148">
        <v>0</v>
      </c>
      <c r="L51"/>
      <c r="M51" s="58">
        <v>45936</v>
      </c>
      <c r="N51" s="59" t="str">
        <f>IFERROR(VLOOKUP($A$2,Stok!$B$1:$BW$449,74,0),"")</f>
        <v/>
      </c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63"/>
      <c r="AI51" s="64"/>
      <c r="AJ51" s="65"/>
      <c r="AK51" s="65"/>
      <c r="AL51" s="53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</row>
    <row r="52" spans="1:468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48">
        <v>0</v>
      </c>
      <c r="J52" s="148"/>
      <c r="K52" s="148">
        <v>0</v>
      </c>
      <c r="L52"/>
      <c r="M52" s="58">
        <v>45929</v>
      </c>
      <c r="N52" s="59" t="str">
        <f>IFERROR(VLOOKUP($A$2,Stok!$B$1:$BV$449,73,0),"")</f>
        <v/>
      </c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63"/>
      <c r="AI52" s="64"/>
      <c r="AJ52" s="65"/>
      <c r="AK52" s="65"/>
      <c r="AL52" s="53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</row>
    <row r="53" spans="1:468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48">
        <v>7</v>
      </c>
      <c r="J53" s="148"/>
      <c r="K53" s="148">
        <v>7</v>
      </c>
      <c r="L53"/>
      <c r="M53" s="58">
        <v>45919</v>
      </c>
      <c r="N53" s="59" t="str">
        <f>IFERROR(VLOOKUP($A$2,Stok!$B$1:$BU$449,72,0),"")</f>
        <v/>
      </c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63"/>
      <c r="AI53" s="64"/>
      <c r="AJ53" s="65"/>
      <c r="AK53" s="65"/>
      <c r="AL53" s="53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</row>
    <row r="54" spans="1:468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48">
        <v>0</v>
      </c>
      <c r="J54" s="148"/>
      <c r="K54" s="148">
        <v>0</v>
      </c>
      <c r="L54"/>
      <c r="M54" s="58">
        <v>45908</v>
      </c>
      <c r="N54" s="59" t="str">
        <f>IFERROR(VLOOKUP($A$2,Stok!$B$1:$BT$449,71,0),"")</f>
        <v/>
      </c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63"/>
      <c r="AI54" s="64"/>
      <c r="AJ54" s="65"/>
      <c r="AK54" s="65"/>
      <c r="AL54" s="53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</row>
    <row r="55" spans="1:468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48">
        <v>646</v>
      </c>
      <c r="J55" s="148"/>
      <c r="K55" s="148">
        <v>646</v>
      </c>
      <c r="L55"/>
      <c r="M55" s="58">
        <v>45896</v>
      </c>
      <c r="N55" s="59" t="str">
        <f>IFERROR(VLOOKUP($A$2,Stok!$B$1:$BS$449,70,0),"")</f>
        <v/>
      </c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63"/>
      <c r="AI55" s="64"/>
      <c r="AJ55" s="65"/>
      <c r="AK55" s="65"/>
      <c r="AL55" s="53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</row>
    <row r="56" spans="1:468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48">
        <v>8</v>
      </c>
      <c r="J56" s="148"/>
      <c r="K56" s="148">
        <v>8</v>
      </c>
      <c r="L56"/>
      <c r="M56" s="58">
        <v>45866</v>
      </c>
      <c r="N56" s="59" t="str">
        <f>IFERROR(VLOOKUP($A$2,Stok!$B$1:$BR$449,69,0),"")</f>
        <v/>
      </c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63"/>
      <c r="AI56" s="64"/>
      <c r="AJ56" s="65"/>
      <c r="AK56" s="65"/>
      <c r="AL56" s="53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</row>
    <row r="57" spans="1:468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48">
        <v>0</v>
      </c>
      <c r="J57" s="148"/>
      <c r="K57" s="148">
        <v>0</v>
      </c>
      <c r="L57"/>
      <c r="M57" s="58">
        <v>45840</v>
      </c>
      <c r="N57" s="59" t="str">
        <f>IFERROR(VLOOKUP($A$2,Stok!$B$1:$BQ$449,68,0),"")</f>
        <v/>
      </c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63"/>
      <c r="AI57" s="64"/>
      <c r="AJ57" s="65"/>
      <c r="AK57" s="65"/>
      <c r="AL57" s="53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</row>
    <row r="58" spans="1:468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48">
        <v>10</v>
      </c>
      <c r="J58" s="148"/>
      <c r="K58" s="148">
        <v>10</v>
      </c>
      <c r="L58"/>
      <c r="M58" s="58">
        <v>45824</v>
      </c>
      <c r="N58" s="59" t="str">
        <f>IFERROR(VLOOKUP($A$2,Stok!$B$1:$BP$449,67,0),"")</f>
        <v/>
      </c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63"/>
      <c r="AI58" s="64"/>
      <c r="AJ58" s="65"/>
      <c r="AK58" s="65"/>
      <c r="AL58" s="53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</row>
    <row r="59" spans="1:468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48">
        <v>73</v>
      </c>
      <c r="J59" s="148"/>
      <c r="K59" s="148">
        <v>73</v>
      </c>
      <c r="L59"/>
      <c r="M59" s="58">
        <v>45805</v>
      </c>
      <c r="N59" s="59" t="str">
        <f>IFERROR(VLOOKUP($A$2,Stok!$B$1:$BO$449,66,0),"")</f>
        <v/>
      </c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63"/>
      <c r="AI59" s="64"/>
      <c r="AJ59" s="65"/>
      <c r="AK59" s="65"/>
      <c r="AL59" s="53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</row>
    <row r="60" spans="1:468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48">
        <v>0</v>
      </c>
      <c r="J60" s="148"/>
      <c r="K60" s="148">
        <v>0</v>
      </c>
      <c r="L60"/>
      <c r="M60" s="58">
        <v>45797</v>
      </c>
      <c r="N60" s="59" t="str">
        <f>IFERROR(VLOOKUP($A$2,Stok!$B$1:$BN$449,65,0),"")</f>
        <v/>
      </c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63"/>
      <c r="AI60" s="64"/>
      <c r="AJ60" s="65"/>
      <c r="AK60" s="65"/>
      <c r="AL60" s="53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</row>
    <row r="61" spans="1:468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48">
        <v>0</v>
      </c>
      <c r="J61" s="148"/>
      <c r="K61" s="148">
        <v>0</v>
      </c>
      <c r="L61"/>
      <c r="M61" s="58">
        <v>45783</v>
      </c>
      <c r="N61" s="59" t="str">
        <f>IFERROR(VLOOKUP($A$2,Stok!$B$1:$BM$449,64,0),"")</f>
        <v/>
      </c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63"/>
      <c r="AI61" s="64"/>
      <c r="AJ61" s="65"/>
      <c r="AK61" s="65"/>
      <c r="AL61" s="53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</row>
    <row r="62" spans="1:468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48">
        <v>38</v>
      </c>
      <c r="J62" s="148"/>
      <c r="K62" s="148">
        <v>38</v>
      </c>
      <c r="L62"/>
      <c r="M62" s="58">
        <v>45769</v>
      </c>
      <c r="N62" s="59" t="str">
        <f>IFERROR(VLOOKUP($A$2,Stok!$B$1:$BL$449,63,0),"")</f>
        <v/>
      </c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63"/>
      <c r="AI62" s="64"/>
      <c r="AJ62" s="65"/>
      <c r="AK62" s="65"/>
      <c r="AL62" s="53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</row>
    <row r="63" spans="1:468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48">
        <v>0</v>
      </c>
      <c r="J63" s="148"/>
      <c r="K63" s="148">
        <v>0</v>
      </c>
      <c r="L63"/>
      <c r="M63" s="58">
        <v>45762</v>
      </c>
      <c r="N63" s="59" t="str">
        <f>IFERROR(VLOOKUP($A$2,Stok!$B$1:$BK$449,62,0),"")</f>
        <v/>
      </c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63"/>
      <c r="AI63" s="64"/>
      <c r="AJ63" s="65"/>
      <c r="AK63" s="65"/>
      <c r="AL63" s="53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</row>
    <row r="64" spans="1:468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48">
        <v>0</v>
      </c>
      <c r="J64" s="148"/>
      <c r="K64" s="148">
        <v>0</v>
      </c>
      <c r="L64"/>
      <c r="M64" s="58">
        <v>45750</v>
      </c>
      <c r="N64" s="59" t="str">
        <f>IFERROR(VLOOKUP($A$2,Stok!$B$1:$BJ$449,61,0),"")</f>
        <v/>
      </c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63"/>
      <c r="AI64" s="64"/>
      <c r="AJ64" s="65"/>
      <c r="AK64" s="65"/>
      <c r="AL64" s="53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</row>
    <row r="65" spans="1:468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48">
        <v>0</v>
      </c>
      <c r="J65" s="148"/>
      <c r="K65" s="148">
        <v>0</v>
      </c>
      <c r="L65"/>
      <c r="M65" s="58">
        <v>45741</v>
      </c>
      <c r="N65" s="59" t="str">
        <f>IFERROR(VLOOKUP($A$2,Stok!$B$1:$BI$449,60,0),"")</f>
        <v/>
      </c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63"/>
      <c r="AI65" s="64"/>
      <c r="AJ65" s="65"/>
      <c r="AK65" s="65"/>
      <c r="AL65" s="53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</row>
    <row r="66" spans="1:468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48">
        <v>0</v>
      </c>
      <c r="J66" s="148"/>
      <c r="K66" s="148">
        <v>0</v>
      </c>
      <c r="L66"/>
      <c r="M66" s="58">
        <v>45736</v>
      </c>
      <c r="N66" s="59" t="str">
        <f>IFERROR(VLOOKUP($A$2,Stok!$B$1:$BH$449,59,0),"")</f>
        <v/>
      </c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63"/>
      <c r="AI66" s="64"/>
      <c r="AJ66" s="65"/>
      <c r="AK66" s="65"/>
      <c r="AL66" s="53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</row>
    <row r="67" spans="1:468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48">
        <v>0</v>
      </c>
      <c r="J67" s="148"/>
      <c r="K67" s="148">
        <v>0</v>
      </c>
      <c r="L67"/>
      <c r="M67" s="58">
        <v>45726</v>
      </c>
      <c r="N67" s="59" t="str">
        <f>IFERROR(VLOOKUP($A$2,Stok!$B$1:$BG$449,58,0),"")</f>
        <v/>
      </c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63"/>
      <c r="AI67" s="64"/>
      <c r="AJ67" s="65"/>
      <c r="AK67" s="65"/>
      <c r="AL67" s="53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</row>
    <row r="68" spans="1:468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48">
        <v>24</v>
      </c>
      <c r="J68" s="148"/>
      <c r="K68" s="148">
        <v>24</v>
      </c>
      <c r="L68"/>
      <c r="M68" s="58">
        <v>45723</v>
      </c>
      <c r="N68" s="59" t="str">
        <f>IFERROR(VLOOKUP($A$2,Stok!$B$1:$BF$449,57,0),"")</f>
        <v/>
      </c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63"/>
      <c r="AI68" s="64"/>
      <c r="AJ68" s="65"/>
      <c r="AK68" s="65"/>
      <c r="AL68" s="53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</row>
    <row r="69" spans="1:468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48">
        <v>161</v>
      </c>
      <c r="J69" s="148"/>
      <c r="K69" s="148">
        <v>161</v>
      </c>
      <c r="L69"/>
      <c r="M69" s="58">
        <v>45716</v>
      </c>
      <c r="N69" s="59" t="str">
        <f>IFERROR(VLOOKUP($A$2,Stok!$B$1:$BE$449,56,0),"")</f>
        <v/>
      </c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63"/>
      <c r="AI69" s="64"/>
      <c r="AJ69" s="65"/>
      <c r="AK69" s="65"/>
      <c r="AL69" s="53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</row>
    <row r="70" spans="1:468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48">
        <v>0</v>
      </c>
      <c r="J70" s="148"/>
      <c r="K70" s="148">
        <v>0</v>
      </c>
      <c r="L70"/>
      <c r="M70" s="58">
        <v>45712</v>
      </c>
      <c r="N70" s="59" t="str">
        <f>IFERROR(VLOOKUP($A$2,Stok!$B$1:$BD$449,55,0),"")</f>
        <v/>
      </c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63"/>
      <c r="AI70" s="64"/>
      <c r="AJ70" s="65"/>
      <c r="AK70" s="65"/>
      <c r="AL70" s="53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</row>
    <row r="71" spans="1:468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48">
        <v>0</v>
      </c>
      <c r="J71" s="148"/>
      <c r="K71" s="148">
        <v>0</v>
      </c>
      <c r="L71"/>
      <c r="M71" s="58">
        <v>45705</v>
      </c>
      <c r="N71" s="59" t="str">
        <f>IFERROR(VLOOKUP($A$2,Stok!$B$1:$BC$449,54,0),"")</f>
        <v/>
      </c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63"/>
      <c r="AI71" s="64"/>
      <c r="AJ71" s="65"/>
      <c r="AK71" s="65"/>
      <c r="AL71" s="53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</row>
    <row r="72" spans="1:468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48">
        <v>0</v>
      </c>
      <c r="J72" s="148"/>
      <c r="K72" s="148">
        <v>0</v>
      </c>
      <c r="L72"/>
      <c r="M72" s="58">
        <v>45702</v>
      </c>
      <c r="N72" s="59" t="str">
        <f>IFERROR(VLOOKUP($A$2,Stok!$B$1:$BB$449,53,0),"")</f>
        <v/>
      </c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63"/>
      <c r="AI72" s="64"/>
      <c r="AJ72" s="65"/>
      <c r="AK72" s="65"/>
      <c r="AL72" s="53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</row>
    <row r="73" spans="1:468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48">
        <v>0</v>
      </c>
      <c r="J73" s="148"/>
      <c r="K73" s="148">
        <v>0</v>
      </c>
      <c r="L73"/>
      <c r="M73" s="58">
        <v>45698</v>
      </c>
      <c r="N73" s="59" t="str">
        <f>IFERROR(VLOOKUP($A$2,Stok!$B$1:$BA$449,52,0),"")</f>
        <v/>
      </c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63"/>
      <c r="AI73" s="64"/>
      <c r="AJ73" s="65"/>
      <c r="AK73" s="65"/>
      <c r="AL73" s="53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</row>
    <row r="74" spans="1:468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48">
        <v>0</v>
      </c>
      <c r="J74" s="148"/>
      <c r="K74" s="148">
        <v>0</v>
      </c>
      <c r="L74"/>
      <c r="M74" s="58">
        <v>45691</v>
      </c>
      <c r="N74" s="59" t="str">
        <f>IFERROR(VLOOKUP($A$2,Stok!$B$1:$AZ$449,51,0),"")</f>
        <v/>
      </c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63"/>
      <c r="AI74" s="64"/>
      <c r="AJ74" s="65"/>
      <c r="AK74" s="65"/>
      <c r="AL74" s="53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</row>
    <row r="75" spans="1:468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48">
        <v>6</v>
      </c>
      <c r="J75" s="148"/>
      <c r="K75" s="148">
        <v>6</v>
      </c>
      <c r="L75"/>
      <c r="M75" s="58">
        <v>45684</v>
      </c>
      <c r="N75" s="59" t="str">
        <f>IFERROR(VLOOKUP($A$2,Stok!$B$1:$AY$449,50,0),"")</f>
        <v/>
      </c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63"/>
      <c r="AI75" s="64"/>
      <c r="AJ75" s="65"/>
      <c r="AK75" s="65"/>
      <c r="AL75" s="53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</row>
    <row r="76" spans="1:468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48">
        <v>0</v>
      </c>
      <c r="J76" s="148"/>
      <c r="K76" s="148">
        <v>0</v>
      </c>
      <c r="L76"/>
      <c r="M76" s="58">
        <v>45677</v>
      </c>
      <c r="N76" s="59" t="str">
        <f>IFERROR(VLOOKUP($A$2,Stok!$B$1:$AX$449,49,0),"")</f>
        <v/>
      </c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63"/>
      <c r="AI76" s="64"/>
      <c r="AJ76" s="65"/>
      <c r="AK76" s="65"/>
      <c r="AL76" s="53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</row>
    <row r="77" spans="1:468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48">
        <v>128</v>
      </c>
      <c r="J77" s="148"/>
      <c r="K77" s="148">
        <v>128</v>
      </c>
      <c r="L77"/>
      <c r="M77" s="58">
        <v>45672</v>
      </c>
      <c r="N77" s="59" t="str">
        <f>IFERROR(VLOOKUP($A$2,Stok!$B$1:$AW$449,48,0),"")</f>
        <v/>
      </c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63"/>
      <c r="AI77" s="64"/>
      <c r="AJ77" s="65"/>
      <c r="AK77" s="65"/>
      <c r="AL77" s="53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</row>
    <row r="78" spans="1:468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48">
        <v>27</v>
      </c>
      <c r="J78" s="148"/>
      <c r="K78" s="148">
        <v>27</v>
      </c>
      <c r="L78"/>
      <c r="M78" s="58">
        <v>45656</v>
      </c>
      <c r="N78" s="59" t="str">
        <f>IFERROR(VLOOKUP($A$2,Stok!$B$1:$AV$449,47,0),"")</f>
        <v/>
      </c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63"/>
      <c r="AI78" s="64"/>
      <c r="AJ78" s="65"/>
      <c r="AK78" s="65"/>
      <c r="AL78" s="53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</row>
    <row r="79" spans="1:468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48">
        <v>0</v>
      </c>
      <c r="J79" s="148"/>
      <c r="K79" s="148">
        <v>0</v>
      </c>
      <c r="L79"/>
      <c r="M79" s="58">
        <v>45649</v>
      </c>
      <c r="N79" s="59" t="str">
        <f>IFERROR(VLOOKUP($A$2,Stok!$B$1:$AU$449,46,0),"")</f>
        <v/>
      </c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63"/>
      <c r="AI79" s="64"/>
      <c r="AJ79" s="65"/>
      <c r="AK79" s="65"/>
      <c r="AL79" s="53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</row>
    <row r="80" spans="1:468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48">
        <v>0</v>
      </c>
      <c r="J80" s="148"/>
      <c r="K80" s="148">
        <v>0</v>
      </c>
      <c r="L80"/>
      <c r="M80" s="58">
        <v>45642</v>
      </c>
      <c r="N80" s="59" t="str">
        <f>IFERROR(VLOOKUP($A$2,Stok!$B$1:$AT$449,45,0),"")</f>
        <v/>
      </c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63"/>
      <c r="AI80" s="64"/>
      <c r="AJ80" s="65"/>
      <c r="AK80" s="65"/>
      <c r="AL80" s="53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</row>
    <row r="81" spans="1:468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48">
        <v>0</v>
      </c>
      <c r="J81" s="148"/>
      <c r="K81" s="148">
        <v>0</v>
      </c>
      <c r="L81"/>
      <c r="M81" s="58">
        <v>45635</v>
      </c>
      <c r="N81" s="59" t="str">
        <f>IFERROR(VLOOKUP($A$2,Stok!$B$1:$AS$449,44,0),"")</f>
        <v/>
      </c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63"/>
      <c r="AI81" s="64"/>
      <c r="AJ81" s="65"/>
      <c r="AK81" s="65"/>
      <c r="AL81" s="53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</row>
    <row r="82" spans="1:468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48">
        <v>0</v>
      </c>
      <c r="J82" s="148"/>
      <c r="K82" s="148">
        <v>0</v>
      </c>
      <c r="L82"/>
      <c r="M82" s="58">
        <v>45630</v>
      </c>
      <c r="N82" s="59" t="str">
        <f>IFERROR(VLOOKUP($A$2,Stok!$B$1:$AR$449,43,0),"")</f>
        <v/>
      </c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63"/>
      <c r="AI82" s="64"/>
      <c r="AJ82" s="65"/>
      <c r="AK82" s="65"/>
      <c r="AL82" s="53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</row>
    <row r="83" spans="1:468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48">
        <v>0</v>
      </c>
      <c r="J83" s="148"/>
      <c r="K83" s="148">
        <v>0</v>
      </c>
      <c r="L83"/>
      <c r="M83" s="58">
        <v>45614</v>
      </c>
      <c r="N83" s="59" t="str">
        <f>IFERROR(VLOOKUP($A$2,Stok!$B$1:$AQ$449,42,0),"")</f>
        <v/>
      </c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63"/>
      <c r="AI83" s="64"/>
      <c r="AJ83" s="65"/>
      <c r="AK83" s="65"/>
      <c r="AL83" s="53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</row>
    <row r="84" spans="1:468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48">
        <v>1</v>
      </c>
      <c r="J84" s="148"/>
      <c r="K84" s="148">
        <v>1</v>
      </c>
      <c r="L84"/>
      <c r="M84" s="58">
        <v>45608</v>
      </c>
      <c r="N84" s="59" t="str">
        <f>IFERROR(VLOOKUP($A$2,Stok!$B$1:$AP$449,41,0),"")</f>
        <v/>
      </c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63"/>
      <c r="AI84" s="64"/>
      <c r="AJ84" s="65"/>
      <c r="AK84" s="65"/>
      <c r="AL84" s="53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</row>
    <row r="85" spans="1:468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48">
        <v>0</v>
      </c>
      <c r="J85" s="148"/>
      <c r="K85" s="148">
        <v>0</v>
      </c>
      <c r="L85"/>
      <c r="M85" s="58">
        <v>45596</v>
      </c>
      <c r="N85" s="59" t="str">
        <f>IFERROR(VLOOKUP($A$2,Stok!$B$1:$AO$449,40,0),"")</f>
        <v/>
      </c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63"/>
      <c r="AI85" s="64"/>
      <c r="AJ85" s="65"/>
      <c r="AK85" s="65"/>
      <c r="AL85" s="53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</row>
    <row r="86" spans="1:468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48">
        <v>141</v>
      </c>
      <c r="J86" s="148"/>
      <c r="K86" s="148">
        <v>141</v>
      </c>
      <c r="L86"/>
      <c r="M86" s="58">
        <v>45580</v>
      </c>
      <c r="N86" s="59" t="str">
        <f>IFERROR(VLOOKUP($A$2,Stok!$B$1:$AN$449,39,0),"")</f>
        <v/>
      </c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63"/>
      <c r="AI86" s="64"/>
      <c r="AJ86" s="65"/>
      <c r="AK86" s="65"/>
      <c r="AL86" s="53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</row>
    <row r="87" spans="1:468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48">
        <v>29</v>
      </c>
      <c r="J87" s="148"/>
      <c r="K87" s="148">
        <v>29</v>
      </c>
      <c r="L87"/>
      <c r="M87" s="58">
        <v>45570</v>
      </c>
      <c r="N87" s="59" t="str">
        <f>IFERROR(VLOOKUP($A$2,Stok!$B$1:$AM$449,38,0),"")</f>
        <v/>
      </c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63"/>
      <c r="AI87" s="64"/>
      <c r="AJ87" s="65"/>
      <c r="AK87" s="65"/>
      <c r="AL87" s="53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</row>
    <row r="88" spans="1:468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48">
        <v>0</v>
      </c>
      <c r="J88" s="148"/>
      <c r="K88" s="148">
        <v>0</v>
      </c>
      <c r="L88"/>
      <c r="M88" s="58">
        <v>45563</v>
      </c>
      <c r="N88" s="59" t="str">
        <f>IFERROR(VLOOKUP($A$2,Stok!$B$1:$AL$449,37,0),"")</f>
        <v/>
      </c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63"/>
      <c r="AI88" s="64"/>
      <c r="AJ88" s="65"/>
      <c r="AK88" s="65"/>
      <c r="AL88" s="53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</row>
    <row r="89" spans="1:468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48">
        <v>0</v>
      </c>
      <c r="J89" s="148"/>
      <c r="K89" s="148">
        <v>0</v>
      </c>
      <c r="L89"/>
      <c r="M89" s="58">
        <v>45552</v>
      </c>
      <c r="N89" s="59" t="str">
        <f>IFERROR(VLOOKUP($A$2,Stok!$B$1:$AK$449,36,0),"")</f>
        <v/>
      </c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63"/>
      <c r="AI89" s="64"/>
      <c r="AJ89" s="65"/>
      <c r="AK89" s="65"/>
      <c r="AL89" s="53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</row>
    <row r="90" spans="1:468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48">
        <v>0</v>
      </c>
      <c r="J90" s="148"/>
      <c r="K90" s="148">
        <v>0</v>
      </c>
      <c r="L90"/>
      <c r="M90" s="58">
        <v>45539</v>
      </c>
      <c r="N90" s="59" t="str">
        <f>IFERROR(VLOOKUP($A$2,Stok!$B$1:$AJ$449,35,0),"")</f>
        <v/>
      </c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63"/>
      <c r="AI90" s="64"/>
      <c r="AJ90" s="65"/>
      <c r="AK90" s="65"/>
      <c r="AL90" s="53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</row>
    <row r="91" spans="1:468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48">
        <v>0</v>
      </c>
      <c r="J91" s="148"/>
      <c r="K91" s="148">
        <v>0</v>
      </c>
      <c r="L91"/>
      <c r="M91" s="58">
        <v>45524</v>
      </c>
      <c r="N91" s="59" t="str">
        <f>IFERROR(VLOOKUP($A$2,Stok!$B$1:$AI$449,34,0),"")</f>
        <v/>
      </c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63"/>
      <c r="AI91" s="64"/>
      <c r="AJ91" s="65"/>
      <c r="AK91" s="65"/>
      <c r="AL91" s="53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</row>
    <row r="92" spans="1:468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48">
        <v>0</v>
      </c>
      <c r="J92" s="148"/>
      <c r="K92" s="148">
        <v>0</v>
      </c>
      <c r="L92"/>
      <c r="M92" s="58">
        <v>45511</v>
      </c>
      <c r="N92" s="59" t="str">
        <f>IFERROR(VLOOKUP($A$2,Stok!$B$1:$AH$449,33,0),"")</f>
        <v/>
      </c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63"/>
      <c r="AI92" s="64"/>
      <c r="AJ92" s="65"/>
      <c r="AK92" s="65"/>
      <c r="AL92" s="53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</row>
    <row r="93" spans="1:468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48">
        <v>0</v>
      </c>
      <c r="J93" s="148"/>
      <c r="K93" s="148">
        <v>0</v>
      </c>
      <c r="L93"/>
      <c r="M93" s="58">
        <v>45500</v>
      </c>
      <c r="N93" s="59" t="str">
        <f>IFERROR(VLOOKUP($A$2,Stok!$B$1:$AG$449,32,0),"")</f>
        <v/>
      </c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63"/>
      <c r="AI93" s="64"/>
      <c r="AJ93" s="65"/>
      <c r="AK93" s="65"/>
      <c r="AL93" s="53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</row>
    <row r="94" spans="1:468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48">
        <v>8</v>
      </c>
      <c r="J94" s="148"/>
      <c r="K94" s="148">
        <v>8</v>
      </c>
      <c r="L94"/>
      <c r="M94" s="58">
        <v>45490</v>
      </c>
      <c r="N94" s="59" t="str">
        <f>IFERROR(VLOOKUP($A$2,Stok!$B$1:$AF$449,31,0),"")</f>
        <v/>
      </c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63"/>
      <c r="AI94" s="64"/>
      <c r="AJ94" s="65"/>
      <c r="AK94" s="65"/>
      <c r="AL94" s="53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</row>
    <row r="95" spans="1:468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48">
        <v>0</v>
      </c>
      <c r="J95" s="148"/>
      <c r="K95" s="148">
        <v>0</v>
      </c>
      <c r="L95"/>
      <c r="M95" s="58">
        <v>45478</v>
      </c>
      <c r="N95" s="59" t="str">
        <f>IFERROR(VLOOKUP($A$2,Stok!$B$1:$AE$449,30,0),"")</f>
        <v/>
      </c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63"/>
      <c r="AI95" s="64"/>
      <c r="AJ95" s="65"/>
      <c r="AK95" s="65"/>
      <c r="AL95" s="53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</row>
    <row r="96" spans="1:468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48">
        <v>0</v>
      </c>
      <c r="J96" s="148"/>
      <c r="K96" s="148">
        <v>0</v>
      </c>
      <c r="L96"/>
      <c r="M96" s="58">
        <v>45467</v>
      </c>
      <c r="N96" s="59" t="str">
        <f>IFERROR(VLOOKUP($A$2,Stok!$B$1:$AD$449,29,0),"")</f>
        <v/>
      </c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63"/>
      <c r="AI96" s="64"/>
      <c r="AJ96" s="65"/>
      <c r="AK96" s="65"/>
      <c r="AL96" s="53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</row>
    <row r="97" spans="1:468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48">
        <v>0</v>
      </c>
      <c r="J97" s="148"/>
      <c r="K97" s="148">
        <v>0</v>
      </c>
      <c r="L97"/>
      <c r="M97" s="58">
        <v>45455</v>
      </c>
      <c r="N97" s="59" t="str">
        <f>IFERROR(VLOOKUP($A$2,Stok!$B$1:$AC$449,28,0),"")</f>
        <v/>
      </c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63"/>
      <c r="AI97" s="64"/>
      <c r="AJ97" s="65"/>
      <c r="AK97" s="65"/>
      <c r="AL97" s="53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</row>
    <row r="98" spans="1:468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48">
        <v>0</v>
      </c>
      <c r="J98" s="148"/>
      <c r="K98" s="148">
        <v>0</v>
      </c>
      <c r="L98"/>
      <c r="M98" s="58">
        <v>45442</v>
      </c>
      <c r="N98" s="59" t="str">
        <f>IFERROR(VLOOKUP($A$2,Stok!$B$1:$AB$449,27,0),"")</f>
        <v/>
      </c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63"/>
      <c r="AI98" s="64"/>
      <c r="AJ98" s="65"/>
      <c r="AK98" s="65"/>
      <c r="AL98" s="53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</row>
    <row r="99" spans="1:468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48">
        <v>6</v>
      </c>
      <c r="J99" s="148"/>
      <c r="K99" s="148">
        <v>6</v>
      </c>
      <c r="L99"/>
      <c r="M99" s="58">
        <v>45427</v>
      </c>
      <c r="N99" s="59" t="str">
        <f>IFERROR(VLOOKUP($A$2,Stok!$B$1:$AA$449,25,0),"")</f>
        <v/>
      </c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63"/>
      <c r="AI99" s="64"/>
      <c r="AJ99" s="65"/>
      <c r="AK99" s="65"/>
      <c r="AL99" s="53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</row>
    <row r="100" spans="1:468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48">
        <v>2</v>
      </c>
      <c r="J100" s="148"/>
      <c r="K100" s="148">
        <v>2</v>
      </c>
      <c r="L100"/>
      <c r="M100" s="58">
        <v>45427</v>
      </c>
      <c r="N100" s="59" t="str">
        <f>IFERROR(VLOOKUP($A$2,Stok!$B$1:$AA$449,26,0),"")</f>
        <v/>
      </c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63"/>
      <c r="AI100" s="64"/>
      <c r="AJ100" s="65"/>
      <c r="AK100" s="65"/>
      <c r="AL100" s="53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</row>
    <row r="101" spans="1:468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48">
        <v>209</v>
      </c>
      <c r="J101" s="148"/>
      <c r="K101" s="148">
        <v>209</v>
      </c>
      <c r="L101"/>
      <c r="M101" s="58">
        <v>45411</v>
      </c>
      <c r="N101" s="59" t="str">
        <f>IFERROR(VLOOKUP($A$2,Stok!$B$1:$AA$449,24,0),"")</f>
        <v/>
      </c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63"/>
      <c r="AI101" s="64"/>
      <c r="AJ101" s="65"/>
      <c r="AK101" s="65"/>
      <c r="AL101" s="53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</row>
    <row r="102" spans="1:468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48">
        <v>0</v>
      </c>
      <c r="J102" s="148"/>
      <c r="K102" s="148">
        <v>0</v>
      </c>
      <c r="L102"/>
      <c r="M102" s="58">
        <v>45397</v>
      </c>
      <c r="N102" s="59" t="str">
        <f>IFERROR(VLOOKUP($A$2,Stok!$B$1:$AA$449,23,0),"")</f>
        <v/>
      </c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63"/>
      <c r="AI102" s="64"/>
      <c r="AJ102" s="65"/>
      <c r="AK102" s="65"/>
      <c r="AL102" s="53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</row>
    <row r="103" spans="1:468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48">
        <v>0</v>
      </c>
      <c r="J103" s="148"/>
      <c r="K103" s="148">
        <v>0</v>
      </c>
      <c r="L103"/>
      <c r="M103" s="58">
        <v>45376</v>
      </c>
      <c r="N103" s="59" t="str">
        <f>IFERROR(VLOOKUP($A$2,Stok!$B$1:$AA$449,22,0),"")</f>
        <v/>
      </c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63"/>
      <c r="AI103" s="64"/>
      <c r="AJ103" s="65"/>
      <c r="AK103" s="65"/>
      <c r="AL103" s="53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</row>
    <row r="104" spans="1:468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48">
        <v>0</v>
      </c>
      <c r="J104" s="148"/>
      <c r="K104" s="148">
        <v>0</v>
      </c>
      <c r="L104"/>
      <c r="M104" s="58">
        <v>45364</v>
      </c>
      <c r="N104" s="59" t="str">
        <f>IFERROR(VLOOKUP($A$2,Stok!$B$1:$AA$449,21,0),"")</f>
        <v/>
      </c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63"/>
      <c r="AI104" s="64"/>
      <c r="AJ104" s="65"/>
      <c r="AK104" s="65"/>
      <c r="AL104" s="53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</row>
    <row r="105" spans="1:468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48">
        <v>0</v>
      </c>
      <c r="J105" s="148"/>
      <c r="K105" s="148">
        <v>0</v>
      </c>
      <c r="L105"/>
      <c r="M105" s="58">
        <v>45352</v>
      </c>
      <c r="N105" s="59" t="str">
        <f>IFERROR(VLOOKUP($A$2,Stok!$B$1:$AA$449,20,0),"")</f>
        <v/>
      </c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63"/>
      <c r="AI105" s="64"/>
      <c r="AJ105" s="65"/>
      <c r="AK105" s="65"/>
      <c r="AL105" s="53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</row>
    <row r="106" spans="1:468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48">
        <v>0</v>
      </c>
      <c r="J106" s="148"/>
      <c r="K106" s="148">
        <v>0</v>
      </c>
      <c r="L106"/>
      <c r="M106" s="58">
        <v>45334</v>
      </c>
      <c r="N106" s="59" t="str">
        <f>IFERROR(VLOOKUP($A$2,Stok!$B$1:$AA$449,19,0),"")</f>
        <v/>
      </c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63"/>
      <c r="AI106" s="64"/>
      <c r="AJ106" s="65"/>
      <c r="AK106" s="65"/>
      <c r="AL106" s="53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</row>
    <row r="107" spans="1:468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48">
        <v>0</v>
      </c>
      <c r="J107" s="148"/>
      <c r="K107" s="148">
        <v>0</v>
      </c>
      <c r="L107"/>
      <c r="M107" s="58">
        <v>45320</v>
      </c>
      <c r="N107" s="59" t="str">
        <f>IFERROR(VLOOKUP($A$2,Stok!$B$1:$AA$449,18,0),"")</f>
        <v/>
      </c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63"/>
      <c r="AI107" s="64"/>
      <c r="AJ107" s="65"/>
      <c r="AK107" s="65"/>
      <c r="AL107" s="53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</row>
    <row r="108" spans="1:468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48">
        <v>26</v>
      </c>
      <c r="J108" s="148"/>
      <c r="K108" s="148">
        <v>26</v>
      </c>
      <c r="L108"/>
      <c r="M108" s="58">
        <v>45313</v>
      </c>
      <c r="N108" s="59" t="str">
        <f>IFERROR(VLOOKUP($A$2,Stok!$B$1:$AA$449,17,0),"")</f>
        <v/>
      </c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63"/>
      <c r="AI108" s="64"/>
      <c r="AJ108" s="65"/>
      <c r="AK108" s="65"/>
      <c r="AL108" s="53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</row>
    <row r="109" spans="1:468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48">
        <v>5</v>
      </c>
      <c r="J109" s="148"/>
      <c r="K109" s="148">
        <v>5</v>
      </c>
      <c r="L109"/>
      <c r="M109" s="60">
        <v>45293</v>
      </c>
      <c r="N109" s="59" t="str">
        <f>IFERROR(VLOOKUP($A$2,Stok!$B$1:$AA$449,16,0),"")</f>
        <v/>
      </c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63"/>
      <c r="AI109" s="64"/>
      <c r="AJ109" s="65"/>
      <c r="AK109" s="65"/>
      <c r="AL109" s="53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</row>
    <row r="110" spans="1:468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48">
        <v>18</v>
      </c>
      <c r="J110" s="148"/>
      <c r="K110" s="148">
        <v>18</v>
      </c>
      <c r="L110"/>
      <c r="M110" s="60">
        <v>45285</v>
      </c>
      <c r="N110" s="70" t="str">
        <f>IFERROR(VLOOKUP($A$2,Stok!$B$1:$AA$449,15,0),"")</f>
        <v/>
      </c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63"/>
      <c r="AI110" s="64"/>
      <c r="AJ110" s="65"/>
      <c r="AK110" s="65"/>
      <c r="AL110" s="53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</row>
    <row r="111" spans="1:468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48">
        <v>116</v>
      </c>
      <c r="J111" s="148"/>
      <c r="K111" s="148">
        <v>116</v>
      </c>
      <c r="L111"/>
      <c r="M111" s="58">
        <v>45275</v>
      </c>
      <c r="N111" s="70" t="str">
        <f>IFERROR(VLOOKUP($A$2,Stok!$B$1:$AA$449,14,0),"")</f>
        <v/>
      </c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63"/>
      <c r="AI111" s="64"/>
      <c r="AJ111" s="65"/>
      <c r="AK111" s="65"/>
      <c r="AL111" s="53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</row>
    <row r="112" spans="1:468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48">
        <v>28</v>
      </c>
      <c r="J112" s="148"/>
      <c r="K112" s="148">
        <v>28</v>
      </c>
      <c r="L112"/>
      <c r="M112" s="60">
        <v>45173</v>
      </c>
      <c r="N112" s="70" t="str">
        <f>IFERROR(VLOOKUP($A$2,Stok!$B$1:$AA$449,8,0),"")</f>
        <v/>
      </c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63"/>
      <c r="AI112" s="64"/>
      <c r="AJ112" s="65"/>
      <c r="AK112" s="65"/>
      <c r="AL112" s="53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</row>
    <row r="113" spans="1:468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48">
        <v>16</v>
      </c>
      <c r="J113" s="148"/>
      <c r="K113" s="148">
        <v>16</v>
      </c>
      <c r="L11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63"/>
      <c r="AI113" s="64"/>
      <c r="AJ113" s="65"/>
      <c r="AK113" s="65"/>
      <c r="AL113" s="53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</row>
    <row r="114" spans="1:468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48">
        <v>239</v>
      </c>
      <c r="J114" s="148"/>
      <c r="K114" s="148">
        <v>239</v>
      </c>
      <c r="L114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63"/>
      <c r="AI114" s="64"/>
      <c r="AJ114" s="65"/>
      <c r="AK114" s="65"/>
      <c r="AL114" s="53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</row>
    <row r="115" spans="1:468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48">
        <v>64</v>
      </c>
      <c r="J115" s="148"/>
      <c r="K115" s="148">
        <v>64</v>
      </c>
      <c r="L115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63"/>
      <c r="AI115" s="64"/>
      <c r="AJ115" s="65"/>
      <c r="AK115" s="65"/>
      <c r="AL115" s="53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</row>
    <row r="116" spans="1:468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48">
        <v>97</v>
      </c>
      <c r="J116" s="148"/>
      <c r="K116" s="148">
        <v>97</v>
      </c>
      <c r="L116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63"/>
      <c r="AI116" s="64"/>
      <c r="AJ116" s="65"/>
      <c r="AK116" s="65"/>
      <c r="AL116" s="53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</row>
    <row r="117" spans="1:468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48">
        <v>78</v>
      </c>
      <c r="J117" s="148"/>
      <c r="K117" s="148">
        <v>78</v>
      </c>
      <c r="L117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63"/>
      <c r="AI117" s="64"/>
      <c r="AJ117" s="65"/>
      <c r="AK117" s="65"/>
      <c r="AL117" s="53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</row>
    <row r="118" spans="1:468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48">
        <v>900</v>
      </c>
      <c r="J118" s="148"/>
      <c r="K118" s="148">
        <v>900</v>
      </c>
      <c r="L118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63"/>
      <c r="AI118" s="64"/>
      <c r="AJ118" s="65"/>
      <c r="AK118" s="65"/>
      <c r="AL118" s="53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</row>
    <row r="119" spans="1:468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48">
        <v>500</v>
      </c>
      <c r="J119" s="148"/>
      <c r="K119" s="148">
        <v>500</v>
      </c>
      <c r="L119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63"/>
      <c r="AI119" s="64"/>
      <c r="AJ119" s="65"/>
      <c r="AK119" s="65"/>
      <c r="AL119" s="53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</row>
    <row r="120" spans="1:468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48">
        <v>400</v>
      </c>
      <c r="J120" s="148"/>
      <c r="K120" s="148">
        <v>400</v>
      </c>
      <c r="L120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63"/>
      <c r="AI120" s="64"/>
      <c r="AJ120" s="65"/>
      <c r="AK120" s="65"/>
      <c r="AL120" s="53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</row>
    <row r="121" spans="1:468" x14ac:dyDescent="0.35">
      <c r="A121" s="53"/>
      <c r="B121" s="53"/>
      <c r="C121" s="55"/>
      <c r="D121" s="53"/>
      <c r="E121" s="53"/>
      <c r="F121" s="124" t="s">
        <v>92</v>
      </c>
      <c r="G121" s="125">
        <v>1385.1843854400001</v>
      </c>
      <c r="H121" s="125">
        <v>52042.696425200025</v>
      </c>
      <c r="I121" s="148">
        <v>54399</v>
      </c>
      <c r="J121" s="148"/>
      <c r="K121" s="148">
        <v>54399</v>
      </c>
      <c r="L121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63"/>
      <c r="AI121" s="64"/>
      <c r="AJ121" s="65"/>
      <c r="AK121" s="65"/>
      <c r="AL121" s="53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</row>
    <row r="122" spans="1:468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48">
        <v>4</v>
      </c>
      <c r="J122" s="148"/>
      <c r="K122" s="148">
        <v>4</v>
      </c>
      <c r="L122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63"/>
      <c r="AI122" s="64"/>
      <c r="AJ122" s="65"/>
      <c r="AK122" s="65"/>
      <c r="AL122" s="53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</row>
    <row r="123" spans="1:468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48">
        <v>21</v>
      </c>
      <c r="J123" s="148"/>
      <c r="K123" s="148">
        <v>21</v>
      </c>
      <c r="L12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63"/>
      <c r="AI123" s="64"/>
      <c r="AJ123" s="65"/>
      <c r="AK123" s="65"/>
      <c r="AL123" s="53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</row>
    <row r="124" spans="1:468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48">
        <v>4</v>
      </c>
      <c r="J124" s="148"/>
      <c r="K124" s="148">
        <v>4</v>
      </c>
      <c r="L124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63"/>
      <c r="AI124" s="64"/>
      <c r="AJ124" s="65"/>
      <c r="AK124" s="65"/>
      <c r="AL124" s="53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</row>
    <row r="125" spans="1:468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48">
        <v>30</v>
      </c>
      <c r="J125" s="148"/>
      <c r="K125" s="148">
        <v>30</v>
      </c>
      <c r="L125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63"/>
      <c r="AI125" s="64"/>
      <c r="AJ125" s="65"/>
      <c r="AK125" s="65"/>
      <c r="AL125" s="53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</row>
    <row r="126" spans="1:468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48">
        <v>4</v>
      </c>
      <c r="J126" s="148"/>
      <c r="K126" s="148">
        <v>4</v>
      </c>
      <c r="L126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63"/>
      <c r="AI126" s="64"/>
      <c r="AJ126" s="65"/>
      <c r="AK126" s="65"/>
      <c r="AL126" s="53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</row>
    <row r="127" spans="1:468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48">
        <v>8</v>
      </c>
      <c r="J127" s="148"/>
      <c r="K127" s="148">
        <v>8</v>
      </c>
      <c r="L127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63"/>
      <c r="AI127" s="64"/>
      <c r="AJ127" s="65"/>
      <c r="AK127" s="65"/>
      <c r="AL127" s="53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</row>
    <row r="128" spans="1:468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48">
        <v>3</v>
      </c>
      <c r="J128" s="148"/>
      <c r="K128" s="148">
        <v>3</v>
      </c>
      <c r="L128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63"/>
      <c r="AI128" s="64"/>
      <c r="AJ128" s="65"/>
      <c r="AK128" s="65"/>
      <c r="AL128" s="53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</row>
    <row r="129" spans="1:468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48">
        <v>0</v>
      </c>
      <c r="J129" s="148"/>
      <c r="K129" s="148">
        <v>0</v>
      </c>
      <c r="L129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63"/>
      <c r="AI129" s="64"/>
      <c r="AJ129" s="65"/>
      <c r="AK129" s="65"/>
      <c r="AL129" s="53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</row>
    <row r="130" spans="1:468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48">
        <v>0</v>
      </c>
      <c r="J130" s="148"/>
      <c r="K130" s="148">
        <v>0</v>
      </c>
      <c r="L130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63"/>
      <c r="AI130" s="64"/>
      <c r="AJ130" s="65"/>
      <c r="AK130" s="65"/>
      <c r="AL130" s="53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</row>
    <row r="131" spans="1:468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48">
        <v>30</v>
      </c>
      <c r="J131" s="148"/>
      <c r="K131" s="148">
        <v>30</v>
      </c>
      <c r="L131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63"/>
      <c r="AI131" s="64"/>
      <c r="AJ131" s="65"/>
      <c r="AK131" s="65"/>
      <c r="AL131" s="53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</row>
    <row r="132" spans="1:468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48">
        <v>0</v>
      </c>
      <c r="J132" s="148"/>
      <c r="K132" s="148">
        <v>0</v>
      </c>
      <c r="L132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63"/>
      <c r="AI132" s="64"/>
      <c r="AJ132" s="65"/>
      <c r="AK132" s="65"/>
      <c r="AL132" s="53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</row>
    <row r="133" spans="1:468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48">
        <v>1918</v>
      </c>
      <c r="J133" s="148"/>
      <c r="K133" s="148">
        <v>1918</v>
      </c>
      <c r="L13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63"/>
      <c r="AI133" s="64"/>
      <c r="AJ133" s="65"/>
      <c r="AK133" s="65"/>
      <c r="AL133" s="53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</row>
    <row r="134" spans="1:468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48">
        <v>4</v>
      </c>
      <c r="J134" s="148"/>
      <c r="K134" s="148">
        <v>4</v>
      </c>
      <c r="L134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63"/>
      <c r="AI134" s="64"/>
      <c r="AJ134" s="65"/>
      <c r="AK134" s="65"/>
      <c r="AL134" s="53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</row>
    <row r="135" spans="1:468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48">
        <v>14</v>
      </c>
      <c r="J135" s="148"/>
      <c r="K135" s="148">
        <v>14</v>
      </c>
      <c r="L135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63"/>
      <c r="AI135" s="64"/>
      <c r="AJ135" s="65"/>
      <c r="AK135" s="65"/>
      <c r="AL135" s="53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</row>
    <row r="136" spans="1:468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48">
        <v>491</v>
      </c>
      <c r="J136" s="148"/>
      <c r="K136" s="148">
        <v>491</v>
      </c>
      <c r="L136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63"/>
      <c r="AI136" s="64"/>
      <c r="AJ136" s="65"/>
      <c r="AK136" s="65"/>
      <c r="AL136" s="53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</row>
    <row r="137" spans="1:468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48">
        <v>0</v>
      </c>
      <c r="J137" s="148"/>
      <c r="K137" s="148">
        <v>0</v>
      </c>
      <c r="L137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63"/>
      <c r="AI137" s="64"/>
      <c r="AJ137" s="65"/>
      <c r="AK137" s="65"/>
      <c r="AL137" s="53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</row>
    <row r="138" spans="1:468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48">
        <v>139</v>
      </c>
      <c r="J138" s="148"/>
      <c r="K138" s="148">
        <v>139</v>
      </c>
      <c r="L138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63"/>
      <c r="AI138" s="64"/>
      <c r="AJ138" s="65"/>
      <c r="AK138" s="65"/>
      <c r="AL138" s="53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</row>
    <row r="139" spans="1:468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48">
        <v>407</v>
      </c>
      <c r="J139" s="148"/>
      <c r="K139" s="148">
        <v>407</v>
      </c>
      <c r="L139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63"/>
      <c r="AI139" s="64"/>
      <c r="AJ139" s="65"/>
      <c r="AK139" s="65"/>
      <c r="AL139" s="53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</row>
    <row r="140" spans="1:468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48">
        <v>0</v>
      </c>
      <c r="J140" s="148"/>
      <c r="K140" s="148">
        <v>0</v>
      </c>
      <c r="L140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63"/>
      <c r="AI140" s="64"/>
      <c r="AJ140" s="65"/>
      <c r="AK140" s="65"/>
      <c r="AL140" s="53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</row>
    <row r="141" spans="1:468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48">
        <v>0</v>
      </c>
      <c r="J141" s="148"/>
      <c r="K141" s="148">
        <v>0</v>
      </c>
      <c r="L141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63"/>
      <c r="AI141" s="64"/>
      <c r="AJ141" s="65"/>
      <c r="AK141" s="65"/>
      <c r="AL141" s="53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</row>
    <row r="142" spans="1:468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48">
        <v>0</v>
      </c>
      <c r="J142" s="148"/>
      <c r="K142" s="148">
        <v>0</v>
      </c>
      <c r="L142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63"/>
      <c r="AI142" s="64"/>
      <c r="AJ142" s="65"/>
      <c r="AK142" s="65"/>
      <c r="AL142" s="53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</row>
    <row r="143" spans="1:468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48">
        <v>288</v>
      </c>
      <c r="J143" s="148"/>
      <c r="K143" s="148">
        <v>288</v>
      </c>
      <c r="L14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63"/>
      <c r="AI143" s="64"/>
      <c r="AJ143" s="65"/>
      <c r="AK143" s="65"/>
      <c r="AL143" s="53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</row>
    <row r="144" spans="1:468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48">
        <v>1216</v>
      </c>
      <c r="J144" s="148"/>
      <c r="K144" s="148">
        <v>1216</v>
      </c>
      <c r="L144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63"/>
      <c r="AI144" s="64"/>
      <c r="AJ144" s="65"/>
      <c r="AK144" s="65"/>
      <c r="AL144" s="53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</row>
    <row r="145" spans="1:468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48">
        <v>54</v>
      </c>
      <c r="J145" s="148"/>
      <c r="K145" s="148">
        <v>54</v>
      </c>
      <c r="L145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63"/>
      <c r="AI145" s="64"/>
      <c r="AJ145" s="65"/>
      <c r="AK145" s="65"/>
      <c r="AL145" s="53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</row>
    <row r="146" spans="1:468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48">
        <v>204</v>
      </c>
      <c r="J146" s="148"/>
      <c r="K146" s="148">
        <v>204</v>
      </c>
      <c r="L146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63"/>
      <c r="AI146" s="64"/>
      <c r="AJ146" s="65"/>
      <c r="AK146" s="65"/>
      <c r="AL146" s="53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</row>
    <row r="147" spans="1:468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48">
        <v>757</v>
      </c>
      <c r="J147" s="148"/>
      <c r="K147" s="148">
        <v>757</v>
      </c>
      <c r="L147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63"/>
      <c r="AI147" s="64"/>
      <c r="AJ147" s="65"/>
      <c r="AK147" s="65"/>
      <c r="AL147" s="53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</row>
    <row r="148" spans="1:468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48">
        <v>0</v>
      </c>
      <c r="J148" s="148"/>
      <c r="K148" s="148">
        <v>0</v>
      </c>
      <c r="L148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63"/>
      <c r="AI148" s="64"/>
      <c r="AJ148" s="65"/>
      <c r="AK148" s="65"/>
      <c r="AL148" s="53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</row>
    <row r="149" spans="1:468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48">
        <v>1163</v>
      </c>
      <c r="J149" s="148"/>
      <c r="K149" s="148">
        <v>1163</v>
      </c>
      <c r="L149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63"/>
      <c r="AI149" s="64"/>
      <c r="AJ149" s="65"/>
      <c r="AK149" s="65"/>
      <c r="AL149" s="53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</row>
    <row r="150" spans="1:468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48">
        <v>548</v>
      </c>
      <c r="J150" s="148"/>
      <c r="K150" s="148">
        <v>548</v>
      </c>
      <c r="L150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63"/>
      <c r="AI150" s="64"/>
      <c r="AJ150" s="65"/>
      <c r="AK150" s="65"/>
      <c r="AL150" s="53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</row>
    <row r="151" spans="1:468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48">
        <v>1140</v>
      </c>
      <c r="J151" s="148"/>
      <c r="K151" s="148">
        <v>1140</v>
      </c>
      <c r="L151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63"/>
      <c r="AI151" s="64"/>
      <c r="AJ151" s="65"/>
      <c r="AK151" s="65"/>
      <c r="AL151" s="53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</row>
    <row r="152" spans="1:468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48">
        <v>0</v>
      </c>
      <c r="J152" s="148"/>
      <c r="K152" s="148">
        <v>0</v>
      </c>
      <c r="L152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63"/>
      <c r="AI152" s="64"/>
      <c r="AJ152" s="65"/>
      <c r="AK152" s="65"/>
      <c r="AL152" s="53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</row>
    <row r="153" spans="1:468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48">
        <v>914</v>
      </c>
      <c r="J153" s="148"/>
      <c r="K153" s="148">
        <v>914</v>
      </c>
      <c r="L1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63"/>
      <c r="AI153" s="64"/>
      <c r="AJ153" s="65"/>
      <c r="AK153" s="65"/>
      <c r="AL153" s="53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</row>
    <row r="154" spans="1:468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48">
        <v>662</v>
      </c>
      <c r="J154" s="148"/>
      <c r="K154" s="148">
        <v>662</v>
      </c>
      <c r="L154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63"/>
      <c r="AI154" s="64"/>
      <c r="AJ154" s="65"/>
      <c r="AK154" s="65"/>
      <c r="AL154" s="53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</row>
    <row r="155" spans="1:468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48">
        <v>402</v>
      </c>
      <c r="J155" s="148"/>
      <c r="K155" s="148">
        <v>402</v>
      </c>
      <c r="L155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63"/>
      <c r="AI155" s="64"/>
      <c r="AJ155" s="65"/>
      <c r="AK155" s="65"/>
      <c r="AL155" s="53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</row>
    <row r="156" spans="1:468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48">
        <v>786</v>
      </c>
      <c r="J156" s="148"/>
      <c r="K156" s="148">
        <v>786</v>
      </c>
      <c r="L156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63"/>
      <c r="AI156" s="64"/>
      <c r="AJ156" s="65"/>
      <c r="AK156" s="65"/>
      <c r="AL156" s="53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</row>
    <row r="157" spans="1:468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48">
        <v>0</v>
      </c>
      <c r="J157" s="148"/>
      <c r="K157" s="148">
        <v>0</v>
      </c>
      <c r="L157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63"/>
      <c r="AI157" s="64"/>
      <c r="AJ157" s="65"/>
      <c r="AK157" s="65"/>
      <c r="AL157" s="53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</row>
    <row r="158" spans="1:468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48">
        <v>3</v>
      </c>
      <c r="J158" s="148"/>
      <c r="K158" s="148">
        <v>3</v>
      </c>
      <c r="L158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63"/>
      <c r="AI158" s="64"/>
      <c r="AJ158" s="65"/>
      <c r="AK158" s="65"/>
      <c r="AL158" s="53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</row>
    <row r="159" spans="1:468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48">
        <v>0</v>
      </c>
      <c r="J159" s="148"/>
      <c r="K159" s="148">
        <v>0</v>
      </c>
      <c r="L159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63"/>
      <c r="AI159" s="64"/>
      <c r="AJ159" s="65"/>
      <c r="AK159" s="65"/>
      <c r="AL159" s="53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</row>
    <row r="160" spans="1:468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48">
        <v>0</v>
      </c>
      <c r="J160" s="148"/>
      <c r="K160" s="148">
        <v>0</v>
      </c>
      <c r="L160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63"/>
      <c r="AI160" s="64"/>
      <c r="AJ160" s="65"/>
      <c r="AK160" s="65"/>
      <c r="AL160" s="53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</row>
    <row r="161" spans="1:468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48">
        <v>0</v>
      </c>
      <c r="J161" s="148"/>
      <c r="K161" s="148">
        <v>0</v>
      </c>
      <c r="L161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63"/>
      <c r="AI161" s="64"/>
      <c r="AJ161" s="65"/>
      <c r="AK161" s="65"/>
      <c r="AL161" s="53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</row>
    <row r="162" spans="1:468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48">
        <v>0</v>
      </c>
      <c r="J162" s="148"/>
      <c r="K162" s="148">
        <v>0</v>
      </c>
      <c r="L162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63"/>
      <c r="AI162" s="64"/>
      <c r="AJ162" s="65"/>
      <c r="AK162" s="65"/>
      <c r="AL162" s="53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</row>
    <row r="163" spans="1:468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48">
        <v>0</v>
      </c>
      <c r="J163" s="148"/>
      <c r="K163" s="148">
        <v>0</v>
      </c>
      <c r="L16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63"/>
      <c r="AI163" s="64"/>
      <c r="AJ163" s="65"/>
      <c r="AK163" s="65"/>
      <c r="AL163" s="53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</row>
    <row r="164" spans="1:468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48">
        <v>0</v>
      </c>
      <c r="J164" s="148"/>
      <c r="K164" s="148">
        <v>0</v>
      </c>
      <c r="L164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63"/>
      <c r="AI164" s="64"/>
      <c r="AJ164" s="65"/>
      <c r="AK164" s="65"/>
      <c r="AL164" s="53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</row>
    <row r="165" spans="1:468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48">
        <v>0</v>
      </c>
      <c r="J165" s="148"/>
      <c r="K165" s="148">
        <v>0</v>
      </c>
      <c r="L165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63"/>
      <c r="AI165" s="64"/>
      <c r="AJ165" s="65"/>
      <c r="AK165" s="65"/>
      <c r="AL165" s="53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</row>
    <row r="166" spans="1:468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48">
        <v>0</v>
      </c>
      <c r="J166" s="148"/>
      <c r="K166" s="148">
        <v>0</v>
      </c>
      <c r="L166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63"/>
      <c r="AI166" s="64"/>
      <c r="AJ166" s="65"/>
      <c r="AK166" s="65"/>
      <c r="AL166" s="53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</row>
    <row r="167" spans="1:468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48">
        <v>0</v>
      </c>
      <c r="J167" s="148"/>
      <c r="K167" s="148">
        <v>0</v>
      </c>
      <c r="L167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63"/>
      <c r="AI167" s="64"/>
      <c r="AJ167" s="65"/>
      <c r="AK167" s="65"/>
      <c r="AL167" s="53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</row>
    <row r="168" spans="1:468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48">
        <v>0</v>
      </c>
      <c r="J168" s="148"/>
      <c r="K168" s="148">
        <v>0</v>
      </c>
      <c r="L168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63"/>
      <c r="AI168" s="64"/>
      <c r="AJ168" s="65"/>
      <c r="AK168" s="65"/>
      <c r="AL168" s="53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</row>
    <row r="169" spans="1:468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48">
        <v>0</v>
      </c>
      <c r="J169" s="148"/>
      <c r="K169" s="148">
        <v>0</v>
      </c>
      <c r="L169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63"/>
      <c r="AI169" s="64"/>
      <c r="AJ169" s="65"/>
      <c r="AK169" s="65"/>
      <c r="AL169" s="53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</row>
    <row r="170" spans="1:468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48">
        <v>0</v>
      </c>
      <c r="J170" s="148"/>
      <c r="K170" s="148">
        <v>0</v>
      </c>
      <c r="L170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63"/>
      <c r="AI170" s="64"/>
      <c r="AJ170" s="65"/>
      <c r="AK170" s="65"/>
      <c r="AL170" s="53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</row>
    <row r="171" spans="1:468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48">
        <v>0</v>
      </c>
      <c r="J171" s="148"/>
      <c r="K171" s="148">
        <v>0</v>
      </c>
      <c r="L171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63"/>
      <c r="AI171" s="64"/>
      <c r="AJ171" s="65"/>
      <c r="AK171" s="65"/>
      <c r="AL171" s="53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</row>
    <row r="172" spans="1:468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48">
        <v>0</v>
      </c>
      <c r="J172" s="148"/>
      <c r="K172" s="148">
        <v>0</v>
      </c>
      <c r="L172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63"/>
      <c r="AI172" s="64"/>
      <c r="AJ172" s="65"/>
      <c r="AK172" s="65"/>
      <c r="AL172" s="53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</row>
    <row r="173" spans="1:468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48">
        <v>0</v>
      </c>
      <c r="J173" s="148"/>
      <c r="K173" s="148">
        <v>0</v>
      </c>
      <c r="L17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63"/>
      <c r="AI173" s="64"/>
      <c r="AJ173" s="65"/>
      <c r="AK173" s="65"/>
      <c r="AL173" s="53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</row>
    <row r="174" spans="1:468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48">
        <v>30</v>
      </c>
      <c r="J174" s="148"/>
      <c r="K174" s="148">
        <v>30</v>
      </c>
      <c r="L174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63"/>
      <c r="AI174" s="64"/>
      <c r="AJ174" s="65"/>
      <c r="AK174" s="65"/>
      <c r="AL174" s="53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</row>
    <row r="175" spans="1:468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48">
        <v>18</v>
      </c>
      <c r="J175" s="148"/>
      <c r="K175" s="148">
        <v>18</v>
      </c>
      <c r="L175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63"/>
      <c r="AI175" s="64"/>
      <c r="AJ175" s="65"/>
      <c r="AK175" s="65"/>
      <c r="AL175" s="53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</row>
    <row r="176" spans="1:468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48">
        <v>30</v>
      </c>
      <c r="J176" s="148"/>
      <c r="K176" s="148">
        <v>30</v>
      </c>
      <c r="L176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63"/>
      <c r="AI176" s="64"/>
      <c r="AJ176" s="65"/>
      <c r="AK176" s="65"/>
      <c r="AL176" s="53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</row>
    <row r="177" spans="1:468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48">
        <v>54</v>
      </c>
      <c r="J177" s="148"/>
      <c r="K177" s="148">
        <v>54</v>
      </c>
      <c r="L177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63"/>
      <c r="AI177" s="64"/>
      <c r="AJ177" s="65"/>
      <c r="AK177" s="65"/>
      <c r="AL177" s="53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</row>
    <row r="178" spans="1:468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48">
        <v>30</v>
      </c>
      <c r="J178" s="148"/>
      <c r="K178" s="148">
        <v>30</v>
      </c>
      <c r="L178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63"/>
      <c r="AI178" s="64"/>
      <c r="AJ178" s="65"/>
      <c r="AK178" s="65"/>
      <c r="AL178" s="53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</row>
    <row r="179" spans="1:468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48">
        <v>48</v>
      </c>
      <c r="J179" s="148"/>
      <c r="K179" s="148">
        <v>48</v>
      </c>
      <c r="L179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63"/>
      <c r="AI179" s="64"/>
      <c r="AJ179" s="65"/>
      <c r="AK179" s="65"/>
      <c r="AL179" s="53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</row>
    <row r="180" spans="1:468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48">
        <v>50</v>
      </c>
      <c r="J180" s="148"/>
      <c r="K180" s="148">
        <v>50</v>
      </c>
      <c r="L180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63"/>
      <c r="AI180" s="64"/>
      <c r="AJ180" s="65"/>
      <c r="AK180" s="65"/>
      <c r="AL180" s="53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</row>
    <row r="181" spans="1:468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48">
        <v>22</v>
      </c>
      <c r="J181" s="148"/>
      <c r="K181" s="148">
        <v>22</v>
      </c>
      <c r="L181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63"/>
      <c r="AI181" s="64"/>
      <c r="AJ181" s="65"/>
      <c r="AK181" s="65"/>
      <c r="AL181" s="53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</row>
    <row r="182" spans="1:468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48">
        <v>10</v>
      </c>
      <c r="J182" s="148"/>
      <c r="K182" s="148">
        <v>10</v>
      </c>
      <c r="L182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63"/>
      <c r="AI182" s="64"/>
      <c r="AJ182" s="65"/>
      <c r="AK182" s="65"/>
      <c r="AL182" s="53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</row>
    <row r="183" spans="1:468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48">
        <v>29</v>
      </c>
      <c r="J183" s="148"/>
      <c r="K183" s="148">
        <v>29</v>
      </c>
      <c r="L18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63"/>
      <c r="AI183" s="64"/>
      <c r="AJ183" s="65"/>
      <c r="AK183" s="65"/>
      <c r="AL183" s="53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</row>
    <row r="184" spans="1:468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48">
        <v>30</v>
      </c>
      <c r="J184" s="148"/>
      <c r="K184" s="148">
        <v>30</v>
      </c>
      <c r="L184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63"/>
      <c r="AI184" s="64"/>
      <c r="AJ184" s="65"/>
      <c r="AK184" s="65"/>
      <c r="AL184" s="53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</row>
    <row r="185" spans="1:468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48">
        <v>20</v>
      </c>
      <c r="J185" s="148"/>
      <c r="K185" s="148">
        <v>20</v>
      </c>
      <c r="L185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63"/>
      <c r="AI185" s="64"/>
      <c r="AJ185" s="65"/>
      <c r="AK185" s="65"/>
      <c r="AL185" s="53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</row>
    <row r="186" spans="1:468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48">
        <v>10</v>
      </c>
      <c r="J186" s="148"/>
      <c r="K186" s="148">
        <v>10</v>
      </c>
      <c r="L186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63"/>
      <c r="AI186" s="64"/>
      <c r="AJ186" s="65"/>
      <c r="AK186" s="65"/>
      <c r="AL186" s="53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</row>
    <row r="187" spans="1:468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48">
        <v>16</v>
      </c>
      <c r="J187" s="148"/>
      <c r="K187" s="148">
        <v>16</v>
      </c>
      <c r="L187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63"/>
      <c r="AI187" s="64"/>
      <c r="AJ187" s="65"/>
      <c r="AK187" s="65"/>
      <c r="AL187" s="53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</row>
    <row r="188" spans="1:468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48">
        <v>20</v>
      </c>
      <c r="J188" s="148"/>
      <c r="K188" s="148">
        <v>20</v>
      </c>
      <c r="L188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63"/>
      <c r="AI188" s="64"/>
      <c r="AJ188" s="65"/>
      <c r="AK188" s="65"/>
      <c r="AL188" s="53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</row>
    <row r="189" spans="1:468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48">
        <v>65</v>
      </c>
      <c r="J189" s="148"/>
      <c r="K189" s="148">
        <v>65</v>
      </c>
      <c r="L189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63"/>
      <c r="AI189" s="64"/>
      <c r="AJ189" s="65"/>
      <c r="AK189" s="65"/>
      <c r="AL189" s="53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</row>
    <row r="190" spans="1:468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48">
        <v>80</v>
      </c>
      <c r="J190" s="148"/>
      <c r="K190" s="148">
        <v>80</v>
      </c>
      <c r="L190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63"/>
      <c r="AI190" s="64"/>
      <c r="AJ190" s="65"/>
      <c r="AK190" s="65"/>
      <c r="AL190" s="53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</row>
    <row r="191" spans="1:468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48">
        <v>1000</v>
      </c>
      <c r="J191" s="148"/>
      <c r="K191" s="148">
        <v>1000</v>
      </c>
      <c r="L191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63"/>
      <c r="AI191" s="64"/>
      <c r="AJ191" s="65"/>
      <c r="AK191" s="65"/>
      <c r="AL191" s="53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</row>
    <row r="192" spans="1:468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48">
        <v>0</v>
      </c>
      <c r="J192" s="148"/>
      <c r="K192" s="148">
        <v>0</v>
      </c>
      <c r="L192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63"/>
      <c r="AI192" s="64"/>
      <c r="AJ192" s="65"/>
      <c r="AK192" s="65"/>
      <c r="AL192" s="53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</row>
    <row r="193" spans="1:468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48">
        <v>12</v>
      </c>
      <c r="J193" s="148"/>
      <c r="K193" s="148">
        <v>12</v>
      </c>
      <c r="L19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63"/>
      <c r="AI193" s="64"/>
      <c r="AJ193" s="65"/>
      <c r="AK193" s="65"/>
      <c r="AL193" s="53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</row>
    <row r="194" spans="1:468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48">
        <v>427</v>
      </c>
      <c r="J194" s="148"/>
      <c r="K194" s="148">
        <v>427</v>
      </c>
      <c r="L194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63"/>
      <c r="AI194" s="64"/>
      <c r="AJ194" s="65"/>
      <c r="AK194" s="65"/>
      <c r="AL194" s="53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</row>
    <row r="195" spans="1:468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48">
        <v>0</v>
      </c>
      <c r="J195" s="148"/>
      <c r="K195" s="148">
        <v>0</v>
      </c>
      <c r="L195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63"/>
      <c r="AI195" s="64"/>
      <c r="AJ195" s="65"/>
      <c r="AK195" s="65"/>
      <c r="AL195" s="53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</row>
    <row r="196" spans="1:468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48">
        <v>3112</v>
      </c>
      <c r="J196" s="148"/>
      <c r="K196" s="148">
        <v>3112</v>
      </c>
      <c r="L196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63"/>
      <c r="AI196" s="64"/>
      <c r="AJ196" s="65"/>
      <c r="AK196" s="65"/>
      <c r="AL196" s="53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</row>
    <row r="197" spans="1:468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48">
        <v>3538</v>
      </c>
      <c r="J197" s="148"/>
      <c r="K197" s="148">
        <v>3538</v>
      </c>
      <c r="L197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63"/>
      <c r="AI197" s="64"/>
      <c r="AJ197" s="65"/>
      <c r="AK197" s="65"/>
      <c r="AL197" s="53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</row>
    <row r="198" spans="1:468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48">
        <v>0</v>
      </c>
      <c r="J198" s="148"/>
      <c r="K198" s="148">
        <v>0</v>
      </c>
      <c r="L198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63"/>
      <c r="AI198" s="64"/>
      <c r="AJ198" s="65"/>
      <c r="AK198" s="65"/>
      <c r="AL198" s="53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</row>
    <row r="199" spans="1:468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48">
        <v>0</v>
      </c>
      <c r="J199" s="148"/>
      <c r="K199" s="148">
        <v>0</v>
      </c>
      <c r="L199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63"/>
      <c r="AI199" s="64"/>
      <c r="AJ199" s="65"/>
      <c r="AK199" s="65"/>
      <c r="AL199" s="53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</row>
    <row r="200" spans="1:468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48">
        <v>10</v>
      </c>
      <c r="J200" s="148"/>
      <c r="K200" s="148">
        <v>10</v>
      </c>
      <c r="L200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63"/>
      <c r="AI200" s="64"/>
      <c r="AJ200" s="65"/>
      <c r="AK200" s="65"/>
      <c r="AL200" s="53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</row>
    <row r="201" spans="1:468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48">
        <v>7</v>
      </c>
      <c r="J201" s="148"/>
      <c r="K201" s="148">
        <v>7</v>
      </c>
      <c r="L201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63"/>
      <c r="AI201" s="64"/>
      <c r="AJ201" s="65"/>
      <c r="AK201" s="65"/>
      <c r="AL201" s="53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</row>
    <row r="202" spans="1:468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48">
        <v>1</v>
      </c>
      <c r="J202" s="148"/>
      <c r="K202" s="148">
        <v>1</v>
      </c>
      <c r="L202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63"/>
      <c r="AI202" s="64"/>
      <c r="AJ202" s="65"/>
      <c r="AK202" s="65"/>
      <c r="AL202" s="53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</row>
    <row r="203" spans="1:468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48">
        <v>12</v>
      </c>
      <c r="J203" s="148"/>
      <c r="K203" s="148">
        <v>12</v>
      </c>
      <c r="L20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63"/>
      <c r="AI203" s="64"/>
      <c r="AJ203" s="65"/>
      <c r="AK203" s="65"/>
      <c r="AL203" s="53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</row>
    <row r="204" spans="1:468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48">
        <v>0</v>
      </c>
      <c r="J204" s="148"/>
      <c r="K204" s="148">
        <v>0</v>
      </c>
      <c r="L204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63"/>
      <c r="AI204" s="64"/>
      <c r="AJ204" s="65"/>
      <c r="AK204" s="65"/>
      <c r="AL204" s="53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</row>
    <row r="205" spans="1:468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48">
        <v>8</v>
      </c>
      <c r="J205" s="148"/>
      <c r="K205" s="148">
        <v>8</v>
      </c>
      <c r="L205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63"/>
      <c r="AI205" s="64"/>
      <c r="AJ205" s="65"/>
      <c r="AK205" s="65"/>
      <c r="AL205" s="53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</row>
    <row r="206" spans="1:468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48">
        <v>0</v>
      </c>
      <c r="J206" s="148"/>
      <c r="K206" s="148">
        <v>0</v>
      </c>
      <c r="L206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63"/>
      <c r="AI206" s="64"/>
      <c r="AJ206" s="65"/>
      <c r="AK206" s="65"/>
      <c r="AL206" s="53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</row>
    <row r="207" spans="1:468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48">
        <v>0</v>
      </c>
      <c r="J207" s="148"/>
      <c r="K207" s="148">
        <v>0</v>
      </c>
      <c r="L207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63"/>
      <c r="AI207" s="64"/>
      <c r="AJ207" s="65"/>
      <c r="AK207" s="65"/>
      <c r="AL207" s="53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</row>
    <row r="208" spans="1:468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48">
        <v>0</v>
      </c>
      <c r="J208" s="148"/>
      <c r="K208" s="148">
        <v>0</v>
      </c>
      <c r="L208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63"/>
      <c r="AI208" s="64"/>
      <c r="AJ208" s="65"/>
      <c r="AK208" s="65"/>
      <c r="AL208" s="53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</row>
    <row r="209" spans="1:468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48">
        <v>11439</v>
      </c>
      <c r="J209" s="148"/>
      <c r="K209" s="148">
        <v>11439</v>
      </c>
      <c r="L209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63"/>
      <c r="AI209" s="64"/>
      <c r="AJ209" s="65"/>
      <c r="AK209" s="65"/>
      <c r="AL209" s="53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</row>
    <row r="210" spans="1:468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48">
        <v>6486</v>
      </c>
      <c r="J210" s="148"/>
      <c r="K210" s="148">
        <v>6486</v>
      </c>
      <c r="L210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63"/>
      <c r="AI210" s="64"/>
      <c r="AJ210" s="65"/>
      <c r="AK210" s="65"/>
      <c r="AL210" s="53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</row>
    <row r="211" spans="1:468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48">
        <v>3</v>
      </c>
      <c r="J211" s="148"/>
      <c r="K211" s="148">
        <v>3</v>
      </c>
      <c r="L211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63"/>
      <c r="AI211" s="64"/>
      <c r="AJ211" s="65"/>
      <c r="AK211" s="65"/>
      <c r="AL211" s="53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</row>
    <row r="212" spans="1:468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48">
        <v>23</v>
      </c>
      <c r="J212" s="148"/>
      <c r="K212" s="148">
        <v>23</v>
      </c>
      <c r="L212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63"/>
      <c r="AI212" s="64"/>
      <c r="AJ212" s="65"/>
      <c r="AK212" s="65"/>
      <c r="AL212" s="53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</row>
    <row r="213" spans="1:468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48">
        <v>40</v>
      </c>
      <c r="J213" s="148"/>
      <c r="K213" s="148">
        <v>40</v>
      </c>
      <c r="L21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63"/>
      <c r="AI213" s="64"/>
      <c r="AJ213" s="65"/>
      <c r="AK213" s="65"/>
      <c r="AL213" s="53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</row>
    <row r="214" spans="1:468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48">
        <v>42</v>
      </c>
      <c r="J214" s="148"/>
      <c r="K214" s="148">
        <v>42</v>
      </c>
      <c r="L214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63"/>
      <c r="AI214" s="64"/>
      <c r="AJ214" s="65"/>
      <c r="AK214" s="65"/>
      <c r="AL214" s="53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</row>
    <row r="215" spans="1:468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48">
        <v>763</v>
      </c>
      <c r="J215" s="148"/>
      <c r="K215" s="148">
        <v>763</v>
      </c>
      <c r="L215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63"/>
      <c r="AI215" s="64"/>
      <c r="AJ215" s="65"/>
      <c r="AK215" s="65"/>
      <c r="AL215" s="53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</row>
    <row r="216" spans="1:468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48">
        <v>476</v>
      </c>
      <c r="J216" s="148"/>
      <c r="K216" s="148">
        <v>476</v>
      </c>
      <c r="L216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63"/>
      <c r="AI216" s="64"/>
      <c r="AJ216" s="65"/>
      <c r="AK216" s="65"/>
      <c r="AL216" s="53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</row>
    <row r="217" spans="1:468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48">
        <v>492</v>
      </c>
      <c r="J217" s="148"/>
      <c r="K217" s="148">
        <v>492</v>
      </c>
      <c r="L217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63"/>
      <c r="AI217" s="64"/>
      <c r="AJ217" s="65"/>
      <c r="AK217" s="65"/>
      <c r="AL217" s="53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</row>
    <row r="218" spans="1:468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48">
        <v>100</v>
      </c>
      <c r="J218" s="148"/>
      <c r="K218" s="148">
        <v>100</v>
      </c>
      <c r="L218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63"/>
      <c r="AI218" s="64"/>
      <c r="AJ218" s="65"/>
      <c r="AK218" s="65"/>
      <c r="AL218" s="53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</row>
    <row r="219" spans="1:468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48">
        <v>1275</v>
      </c>
      <c r="J219" s="148"/>
      <c r="K219" s="148">
        <v>1275</v>
      </c>
      <c r="L219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63"/>
      <c r="AI219" s="64"/>
      <c r="AJ219" s="65"/>
      <c r="AK219" s="65"/>
      <c r="AL219" s="53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</row>
    <row r="220" spans="1:468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48">
        <v>488</v>
      </c>
      <c r="J220" s="148"/>
      <c r="K220" s="148">
        <v>488</v>
      </c>
      <c r="L220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63"/>
      <c r="AI220" s="64"/>
      <c r="AJ220" s="65"/>
      <c r="AK220" s="65"/>
      <c r="AL220" s="53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</row>
    <row r="221" spans="1:468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48">
        <v>302</v>
      </c>
      <c r="J221" s="148"/>
      <c r="K221" s="148">
        <v>302</v>
      </c>
      <c r="L221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63"/>
      <c r="AI221" s="64"/>
      <c r="AJ221" s="65"/>
      <c r="AK221" s="65"/>
      <c r="AL221" s="53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</row>
    <row r="222" spans="1:468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48">
        <v>102</v>
      </c>
      <c r="J222" s="148"/>
      <c r="K222" s="148">
        <v>102</v>
      </c>
      <c r="L222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63"/>
      <c r="AI222" s="64"/>
      <c r="AJ222" s="65"/>
      <c r="AK222" s="65"/>
      <c r="AL222" s="53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</row>
    <row r="223" spans="1:468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48">
        <v>76</v>
      </c>
      <c r="J223" s="148"/>
      <c r="K223" s="148">
        <v>76</v>
      </c>
      <c r="L22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63"/>
      <c r="AI223" s="64"/>
      <c r="AJ223" s="65"/>
      <c r="AK223" s="65"/>
      <c r="AL223" s="53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</row>
    <row r="224" spans="1:468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48">
        <v>884</v>
      </c>
      <c r="J224" s="148"/>
      <c r="K224" s="148">
        <v>884</v>
      </c>
      <c r="L224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63"/>
      <c r="AI224" s="64"/>
      <c r="AJ224" s="65"/>
      <c r="AK224" s="65"/>
      <c r="AL224" s="53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</row>
    <row r="225" spans="1:468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48">
        <v>1</v>
      </c>
      <c r="J225" s="148"/>
      <c r="K225" s="148">
        <v>1</v>
      </c>
      <c r="L225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63"/>
      <c r="AI225" s="64"/>
      <c r="AJ225" s="65"/>
      <c r="AK225" s="65"/>
      <c r="AL225" s="53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</row>
    <row r="226" spans="1:468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48">
        <v>3</v>
      </c>
      <c r="J226" s="148"/>
      <c r="K226" s="148">
        <v>3</v>
      </c>
      <c r="L226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63"/>
      <c r="AI226" s="64"/>
      <c r="AJ226" s="65"/>
      <c r="AK226" s="65"/>
      <c r="AL226" s="53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</row>
    <row r="227" spans="1:468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48">
        <v>264</v>
      </c>
      <c r="J227" s="148"/>
      <c r="K227" s="148">
        <v>264</v>
      </c>
      <c r="L227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63"/>
      <c r="AI227" s="64"/>
      <c r="AJ227" s="65"/>
      <c r="AK227" s="65"/>
      <c r="AL227" s="53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</row>
    <row r="228" spans="1:468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48">
        <v>83</v>
      </c>
      <c r="J228" s="148"/>
      <c r="K228" s="148">
        <v>83</v>
      </c>
      <c r="L228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63"/>
      <c r="AI228" s="64"/>
      <c r="AJ228" s="65"/>
      <c r="AK228" s="65"/>
      <c r="AL228" s="53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</row>
    <row r="229" spans="1:468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48">
        <v>332</v>
      </c>
      <c r="J229" s="148"/>
      <c r="K229" s="148">
        <v>332</v>
      </c>
      <c r="L229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63"/>
      <c r="AI229" s="64"/>
      <c r="AJ229" s="65"/>
      <c r="AK229" s="65"/>
      <c r="AL229" s="53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</row>
    <row r="230" spans="1:468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48">
        <v>1490</v>
      </c>
      <c r="J230" s="148"/>
      <c r="K230" s="148">
        <v>1490</v>
      </c>
      <c r="L230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63"/>
      <c r="AI230" s="64"/>
      <c r="AJ230" s="65"/>
      <c r="AK230" s="65"/>
      <c r="AL230" s="53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</row>
    <row r="231" spans="1:468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48">
        <v>1223</v>
      </c>
      <c r="J231" s="148"/>
      <c r="K231" s="148">
        <v>1223</v>
      </c>
      <c r="L231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63"/>
      <c r="AI231" s="64"/>
      <c r="AJ231" s="65"/>
      <c r="AK231" s="65"/>
      <c r="AL231" s="53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</row>
    <row r="232" spans="1:468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48">
        <v>16</v>
      </c>
      <c r="J232" s="148"/>
      <c r="K232" s="148">
        <v>16</v>
      </c>
      <c r="L232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63"/>
      <c r="AI232" s="64"/>
      <c r="AJ232" s="65"/>
      <c r="AK232" s="65"/>
      <c r="AL232" s="53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</row>
    <row r="233" spans="1:468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48">
        <v>49</v>
      </c>
      <c r="J233" s="148"/>
      <c r="K233" s="148">
        <v>49</v>
      </c>
      <c r="L23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63"/>
      <c r="AI233" s="64"/>
      <c r="AJ233" s="65"/>
      <c r="AK233" s="65"/>
      <c r="AL233" s="53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</row>
    <row r="234" spans="1:468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48">
        <v>21</v>
      </c>
      <c r="J234" s="148"/>
      <c r="K234" s="148">
        <v>21</v>
      </c>
      <c r="L234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63"/>
      <c r="AI234" s="64"/>
      <c r="AJ234" s="65"/>
      <c r="AK234" s="65"/>
      <c r="AL234" s="53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</row>
    <row r="235" spans="1:468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48">
        <v>0</v>
      </c>
      <c r="J235" s="148"/>
      <c r="K235" s="148">
        <v>0</v>
      </c>
      <c r="L235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63"/>
      <c r="AI235" s="64"/>
      <c r="AJ235" s="65"/>
      <c r="AK235" s="65"/>
      <c r="AL235" s="53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</row>
    <row r="236" spans="1:468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1501.5</v>
      </c>
      <c r="I236" s="148">
        <v>312</v>
      </c>
      <c r="J236" s="148"/>
      <c r="K236" s="148">
        <v>312</v>
      </c>
      <c r="L236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63"/>
      <c r="AI236" s="64"/>
      <c r="AJ236" s="65"/>
      <c r="AK236" s="65"/>
      <c r="AL236" s="53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 s="62"/>
      <c r="BZ236" s="62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</row>
    <row r="237" spans="1:468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48">
        <v>88</v>
      </c>
      <c r="J237" s="148"/>
      <c r="K237" s="148">
        <v>88</v>
      </c>
      <c r="L237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63"/>
      <c r="AI237" s="64"/>
      <c r="AJ237" s="65"/>
      <c r="AK237" s="65"/>
      <c r="AL237" s="53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 s="62"/>
      <c r="BZ237" s="62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</row>
    <row r="238" spans="1:468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48">
        <v>114</v>
      </c>
      <c r="J238" s="148"/>
      <c r="K238" s="148">
        <v>114</v>
      </c>
      <c r="L238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63"/>
      <c r="AI238" s="64"/>
      <c r="AJ238" s="65"/>
      <c r="AK238" s="65"/>
      <c r="AL238" s="53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 s="62"/>
      <c r="BZ238" s="62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</row>
    <row r="239" spans="1:468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48">
        <v>0</v>
      </c>
      <c r="J239" s="148"/>
      <c r="K239" s="148">
        <v>0</v>
      </c>
      <c r="L239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63"/>
      <c r="AI239" s="64"/>
      <c r="AJ239" s="65"/>
      <c r="AK239" s="65"/>
      <c r="AL239" s="53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 s="62"/>
      <c r="BZ239" s="62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</row>
    <row r="240" spans="1:468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48">
        <v>10</v>
      </c>
      <c r="J240" s="148"/>
      <c r="K240" s="148">
        <v>10</v>
      </c>
      <c r="L240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63"/>
      <c r="AI240" s="64"/>
      <c r="AJ240" s="65"/>
      <c r="AK240" s="65"/>
      <c r="AL240" s="53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</row>
    <row r="241" spans="1:468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48">
        <v>0</v>
      </c>
      <c r="J241" s="148"/>
      <c r="K241" s="148">
        <v>0</v>
      </c>
      <c r="L241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63"/>
      <c r="AI241" s="64"/>
      <c r="AJ241" s="65"/>
      <c r="AK241" s="65"/>
      <c r="AL241" s="53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</row>
    <row r="242" spans="1:468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48">
        <v>0</v>
      </c>
      <c r="J242" s="148"/>
      <c r="K242" s="148">
        <v>0</v>
      </c>
      <c r="L242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63"/>
      <c r="AI242" s="64"/>
      <c r="AJ242" s="65"/>
      <c r="AK242" s="65"/>
      <c r="AL242" s="53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 s="62"/>
      <c r="BZ242" s="6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</row>
    <row r="243" spans="1:468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48">
        <v>0</v>
      </c>
      <c r="J243" s="148"/>
      <c r="K243" s="148">
        <v>0</v>
      </c>
      <c r="L24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63"/>
      <c r="AI243" s="64"/>
      <c r="AJ243" s="65"/>
      <c r="AK243" s="65"/>
      <c r="AL243" s="53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 s="62"/>
      <c r="BZ243" s="62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</row>
    <row r="244" spans="1:468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48">
        <v>8</v>
      </c>
      <c r="J244" s="148"/>
      <c r="K244" s="148">
        <v>8</v>
      </c>
      <c r="L244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63"/>
      <c r="AI244" s="64"/>
      <c r="AJ244" s="65"/>
      <c r="AK244" s="65"/>
      <c r="AL244" s="53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 s="62"/>
      <c r="BZ244" s="62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</row>
    <row r="245" spans="1:468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48">
        <v>4</v>
      </c>
      <c r="J245" s="148"/>
      <c r="K245" s="148">
        <v>4</v>
      </c>
      <c r="L245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63"/>
      <c r="AI245" s="64"/>
      <c r="AJ245" s="65"/>
      <c r="AK245" s="65"/>
      <c r="AL245" s="53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 s="62"/>
      <c r="BZ245" s="62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</row>
    <row r="246" spans="1:468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48">
        <v>0</v>
      </c>
      <c r="J246" s="148"/>
      <c r="K246" s="148">
        <v>0</v>
      </c>
      <c r="L246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63"/>
      <c r="AI246" s="64"/>
      <c r="AJ246" s="65"/>
      <c r="AK246" s="65"/>
      <c r="AL246" s="53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 s="62"/>
      <c r="BZ246" s="62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</row>
    <row r="247" spans="1:468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48">
        <v>0</v>
      </c>
      <c r="J247" s="148"/>
      <c r="K247" s="148">
        <v>0</v>
      </c>
      <c r="L247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63"/>
      <c r="AI247" s="64"/>
      <c r="AJ247" s="65"/>
      <c r="AK247" s="65"/>
      <c r="AL247" s="53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 s="62"/>
      <c r="BZ247" s="62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</row>
    <row r="248" spans="1:468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48">
        <v>5</v>
      </c>
      <c r="J248" s="148"/>
      <c r="K248" s="148">
        <v>5</v>
      </c>
      <c r="L248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63"/>
      <c r="AI248" s="64"/>
      <c r="AJ248" s="65"/>
      <c r="AK248" s="65"/>
      <c r="AL248" s="53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 s="62"/>
      <c r="BZ248" s="62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</row>
    <row r="249" spans="1:468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48">
        <v>39</v>
      </c>
      <c r="J249" s="148"/>
      <c r="K249" s="148">
        <v>39</v>
      </c>
      <c r="L249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63"/>
      <c r="AI249" s="64"/>
      <c r="AJ249" s="65"/>
      <c r="AK249" s="65"/>
      <c r="AL249" s="53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 s="62"/>
      <c r="BZ249" s="62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</row>
    <row r="250" spans="1:468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48">
        <v>0</v>
      </c>
      <c r="J250" s="148"/>
      <c r="K250" s="148">
        <v>0</v>
      </c>
      <c r="L250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63"/>
      <c r="AI250" s="64"/>
      <c r="AJ250" s="65"/>
      <c r="AK250" s="65"/>
      <c r="AL250" s="53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 s="62"/>
      <c r="BZ250" s="62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</row>
    <row r="251" spans="1:468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48">
        <v>0</v>
      </c>
      <c r="J251" s="148"/>
      <c r="K251" s="148">
        <v>0</v>
      </c>
      <c r="L251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63"/>
      <c r="AI251" s="64"/>
      <c r="AJ251" s="65"/>
      <c r="AK251" s="65"/>
      <c r="AL251" s="53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 s="62"/>
      <c r="BZ251" s="62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</row>
    <row r="252" spans="1:468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48">
        <v>20</v>
      </c>
      <c r="J252" s="148"/>
      <c r="K252" s="148">
        <v>20</v>
      </c>
      <c r="L252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63"/>
      <c r="AI252" s="64"/>
      <c r="AJ252" s="65"/>
      <c r="AK252" s="65"/>
      <c r="AL252" s="53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 s="62"/>
      <c r="BZ252" s="6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</row>
    <row r="253" spans="1:468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48">
        <v>295</v>
      </c>
      <c r="J253" s="148"/>
      <c r="K253" s="148">
        <v>295</v>
      </c>
      <c r="L2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63"/>
      <c r="AI253" s="64"/>
      <c r="AJ253" s="65"/>
      <c r="AK253" s="65"/>
      <c r="AL253" s="53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 s="62"/>
      <c r="BZ253" s="62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</row>
    <row r="254" spans="1:468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48">
        <v>325</v>
      </c>
      <c r="J254" s="148"/>
      <c r="K254" s="148">
        <v>325</v>
      </c>
      <c r="L254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63"/>
      <c r="AI254" s="64"/>
      <c r="AJ254" s="65"/>
      <c r="AK254" s="65"/>
      <c r="AL254" s="53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 s="62"/>
      <c r="BZ254" s="62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</row>
    <row r="255" spans="1:468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48">
        <v>0</v>
      </c>
      <c r="J255" s="148"/>
      <c r="K255" s="148">
        <v>0</v>
      </c>
      <c r="L255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63"/>
      <c r="AI255" s="64"/>
      <c r="AJ255" s="65"/>
      <c r="AK255" s="65"/>
      <c r="AL255" s="53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 s="62"/>
      <c r="BZ255" s="62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</row>
    <row r="256" spans="1:468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48">
        <v>0</v>
      </c>
      <c r="J256" s="148"/>
      <c r="K256" s="148">
        <v>0</v>
      </c>
      <c r="L256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63"/>
      <c r="AI256" s="64"/>
      <c r="AJ256" s="65"/>
      <c r="AK256" s="65"/>
      <c r="AL256" s="53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 s="62"/>
      <c r="BZ256" s="62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</row>
    <row r="257" spans="1:468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48">
        <v>57</v>
      </c>
      <c r="J257" s="148"/>
      <c r="K257" s="148">
        <v>57</v>
      </c>
      <c r="L257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63"/>
      <c r="AI257" s="64"/>
      <c r="AJ257" s="65"/>
      <c r="AK257" s="65"/>
      <c r="AL257" s="53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 s="62"/>
      <c r="BZ257" s="62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</row>
    <row r="258" spans="1:468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48">
        <v>14</v>
      </c>
      <c r="J258" s="148"/>
      <c r="K258" s="148">
        <v>14</v>
      </c>
      <c r="L258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63"/>
      <c r="AI258" s="64"/>
      <c r="AJ258" s="65"/>
      <c r="AK258" s="65"/>
      <c r="AL258" s="53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 s="62"/>
      <c r="BZ258" s="62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</row>
    <row r="259" spans="1:468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48">
        <v>1154</v>
      </c>
      <c r="J259" s="148"/>
      <c r="K259" s="148">
        <v>1154</v>
      </c>
      <c r="L259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63"/>
      <c r="AI259" s="64"/>
      <c r="AJ259" s="65"/>
      <c r="AK259" s="65"/>
      <c r="AL259" s="53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 s="62"/>
      <c r="BZ259" s="62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</row>
    <row r="260" spans="1:468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48">
        <v>1322</v>
      </c>
      <c r="J260" s="148"/>
      <c r="K260" s="148">
        <v>1322</v>
      </c>
      <c r="L260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63"/>
      <c r="AI260" s="64"/>
      <c r="AJ260" s="65"/>
      <c r="AK260" s="65"/>
      <c r="AL260" s="53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 s="62"/>
      <c r="BZ260" s="62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</row>
    <row r="261" spans="1:468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48">
        <v>0</v>
      </c>
      <c r="J261" s="148"/>
      <c r="K261" s="148">
        <v>0</v>
      </c>
      <c r="L261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63"/>
      <c r="AI261" s="64"/>
      <c r="AJ261" s="65"/>
      <c r="AK261" s="65"/>
      <c r="AL261" s="53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 s="62"/>
      <c r="BZ261" s="62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</row>
    <row r="262" spans="1:468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48">
        <v>804</v>
      </c>
      <c r="J262" s="148"/>
      <c r="K262" s="148">
        <v>804</v>
      </c>
      <c r="L262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63"/>
      <c r="AI262" s="64"/>
      <c r="AJ262" s="65"/>
      <c r="AK262" s="65"/>
      <c r="AL262" s="53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 s="62"/>
      <c r="BZ262" s="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</row>
    <row r="263" spans="1:468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48">
        <v>969</v>
      </c>
      <c r="J263" s="148"/>
      <c r="K263" s="148">
        <v>969</v>
      </c>
      <c r="L26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63"/>
      <c r="AI263" s="64"/>
      <c r="AJ263" s="65"/>
      <c r="AK263" s="65"/>
      <c r="AL263" s="53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 s="62"/>
      <c r="BZ263" s="62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</row>
    <row r="264" spans="1:468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19.439999999999998</v>
      </c>
      <c r="I264" s="148">
        <v>135</v>
      </c>
      <c r="J264" s="148"/>
      <c r="K264" s="148">
        <v>135</v>
      </c>
      <c r="L264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63"/>
      <c r="AI264" s="64"/>
      <c r="AJ264" s="65"/>
      <c r="AK264" s="65"/>
      <c r="AL264" s="53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 s="62"/>
      <c r="BZ264" s="62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</row>
    <row r="265" spans="1:468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48">
        <v>5</v>
      </c>
      <c r="J265" s="148"/>
      <c r="K265" s="148">
        <v>5</v>
      </c>
      <c r="L265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63"/>
      <c r="AI265" s="64"/>
      <c r="AJ265" s="65"/>
      <c r="AK265" s="65"/>
      <c r="AL265" s="53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 s="62"/>
      <c r="BZ265" s="62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</row>
    <row r="266" spans="1:468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48">
        <v>0</v>
      </c>
      <c r="J266" s="148"/>
      <c r="K266" s="148">
        <v>0</v>
      </c>
      <c r="L266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63"/>
      <c r="AI266" s="64"/>
      <c r="AJ266" s="65"/>
      <c r="AK266" s="65"/>
      <c r="AL266" s="53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 s="62"/>
      <c r="BZ266" s="62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</row>
    <row r="267" spans="1:468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48">
        <v>945</v>
      </c>
      <c r="J267" s="148"/>
      <c r="K267" s="148">
        <v>945</v>
      </c>
      <c r="L267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63"/>
      <c r="AI267" s="64"/>
      <c r="AJ267" s="65"/>
      <c r="AK267" s="65"/>
      <c r="AL267" s="53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 s="62"/>
      <c r="BZ267" s="62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</row>
    <row r="268" spans="1:468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48">
        <v>3</v>
      </c>
      <c r="J268" s="148"/>
      <c r="K268" s="148">
        <v>3</v>
      </c>
      <c r="L268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63"/>
      <c r="AI268" s="64"/>
      <c r="AJ268" s="65"/>
      <c r="AK268" s="65"/>
      <c r="AL268" s="53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 s="62"/>
      <c r="BZ268" s="62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</row>
    <row r="269" spans="1:468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48">
        <v>26</v>
      </c>
      <c r="J269" s="148"/>
      <c r="K269" s="148">
        <v>26</v>
      </c>
      <c r="L269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63"/>
      <c r="AI269" s="64"/>
      <c r="AJ269" s="65"/>
      <c r="AK269" s="65"/>
      <c r="AL269" s="53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 s="62"/>
      <c r="BZ269" s="62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</row>
    <row r="270" spans="1:468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48">
        <v>10</v>
      </c>
      <c r="J270" s="148"/>
      <c r="K270" s="148">
        <v>10</v>
      </c>
      <c r="L270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63"/>
      <c r="AI270" s="64"/>
      <c r="AJ270" s="65"/>
      <c r="AK270" s="65"/>
      <c r="AL270" s="53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 s="62"/>
      <c r="BZ270" s="62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</row>
    <row r="271" spans="1:468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48">
        <v>87</v>
      </c>
      <c r="J271" s="148"/>
      <c r="K271" s="148">
        <v>87</v>
      </c>
      <c r="L271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63"/>
      <c r="AI271" s="64"/>
      <c r="AJ271" s="65"/>
      <c r="AK271" s="65"/>
      <c r="AL271" s="53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 s="62"/>
      <c r="BZ271" s="62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</row>
    <row r="272" spans="1:468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48">
        <v>687</v>
      </c>
      <c r="J272" s="148"/>
      <c r="K272" s="148">
        <v>687</v>
      </c>
      <c r="L272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63"/>
      <c r="AI272" s="64"/>
      <c r="AJ272" s="65"/>
      <c r="AK272" s="65"/>
      <c r="AL272" s="53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 s="62"/>
      <c r="BZ272" s="6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</row>
    <row r="273" spans="1:468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48">
        <v>101</v>
      </c>
      <c r="J273" s="148"/>
      <c r="K273" s="148">
        <v>101</v>
      </c>
      <c r="L27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63"/>
      <c r="AI273" s="64"/>
      <c r="AJ273" s="65"/>
      <c r="AK273" s="65"/>
      <c r="AL273" s="53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 s="62"/>
      <c r="BZ273" s="62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</row>
    <row r="274" spans="1:468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48">
        <v>0</v>
      </c>
      <c r="J274" s="148"/>
      <c r="K274" s="148">
        <v>0</v>
      </c>
      <c r="L274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63"/>
      <c r="AI274" s="64"/>
      <c r="AJ274" s="65"/>
      <c r="AK274" s="65"/>
      <c r="AL274" s="53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 s="62"/>
      <c r="BZ274" s="62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</row>
    <row r="275" spans="1:468" x14ac:dyDescent="0.35">
      <c r="A275" s="53"/>
      <c r="B275" s="53"/>
      <c r="C275" s="55"/>
      <c r="D275" s="53"/>
      <c r="E275" s="53"/>
      <c r="F275" s="126" t="s">
        <v>1361</v>
      </c>
      <c r="G275" s="125">
        <v>0.16339999999999999</v>
      </c>
      <c r="H275" s="125">
        <v>77.124799999999993</v>
      </c>
      <c r="I275" s="148">
        <v>472</v>
      </c>
      <c r="J275" s="148"/>
      <c r="K275" s="148">
        <v>472</v>
      </c>
      <c r="L275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63"/>
      <c r="AI275" s="64"/>
      <c r="AJ275" s="65"/>
      <c r="AK275" s="65"/>
      <c r="AL275" s="53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 s="62"/>
      <c r="BZ275" s="62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</row>
    <row r="276" spans="1:468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48">
        <v>2</v>
      </c>
      <c r="J276" s="148"/>
      <c r="K276" s="148">
        <v>2</v>
      </c>
      <c r="L276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63"/>
      <c r="AI276" s="64"/>
      <c r="AJ276" s="65"/>
      <c r="AK276" s="65"/>
      <c r="AL276" s="53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 s="62"/>
      <c r="BZ276" s="62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</row>
    <row r="277" spans="1:468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48">
        <v>8</v>
      </c>
      <c r="J277" s="148"/>
      <c r="K277" s="148">
        <v>8</v>
      </c>
      <c r="L277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63"/>
      <c r="AI277" s="64"/>
      <c r="AJ277" s="65"/>
      <c r="AK277" s="65"/>
      <c r="AL277" s="53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 s="62"/>
      <c r="BZ277" s="62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</row>
    <row r="278" spans="1:468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48">
        <v>1</v>
      </c>
      <c r="J278" s="148"/>
      <c r="K278" s="148">
        <v>1</v>
      </c>
      <c r="L278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63"/>
      <c r="AI278" s="64"/>
      <c r="AJ278" s="65"/>
      <c r="AK278" s="65"/>
      <c r="AL278" s="53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 s="62"/>
      <c r="BZ278" s="62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</row>
    <row r="279" spans="1:468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48">
        <v>1</v>
      </c>
      <c r="J279" s="148"/>
      <c r="K279" s="148">
        <v>1</v>
      </c>
      <c r="L279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63"/>
      <c r="AI279" s="64"/>
      <c r="AJ279" s="65"/>
      <c r="AK279" s="65"/>
      <c r="AL279" s="53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 s="62"/>
      <c r="BZ279" s="62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</row>
    <row r="280" spans="1:468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48">
        <v>0</v>
      </c>
      <c r="J280" s="148"/>
      <c r="K280" s="148">
        <v>0</v>
      </c>
      <c r="L280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63"/>
      <c r="AI280" s="64"/>
      <c r="AJ280" s="65"/>
      <c r="AK280" s="65"/>
      <c r="AL280" s="53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 s="62"/>
      <c r="BZ280" s="62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</row>
    <row r="281" spans="1:468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48">
        <v>3</v>
      </c>
      <c r="J281" s="148"/>
      <c r="K281" s="148">
        <v>3</v>
      </c>
      <c r="L281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63"/>
      <c r="AI281" s="64"/>
      <c r="AJ281" s="65"/>
      <c r="AK281" s="65"/>
      <c r="AL281" s="53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 s="62"/>
      <c r="BZ281" s="62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</row>
    <row r="282" spans="1:468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48">
        <v>1</v>
      </c>
      <c r="J282" s="148"/>
      <c r="K282" s="148">
        <v>1</v>
      </c>
      <c r="L282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63"/>
      <c r="AI282" s="64"/>
      <c r="AJ282" s="65"/>
      <c r="AK282" s="65"/>
      <c r="AL282" s="53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 s="62"/>
      <c r="BZ282" s="6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</row>
    <row r="283" spans="1:468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48">
        <v>1</v>
      </c>
      <c r="J283" s="148"/>
      <c r="K283" s="148">
        <v>1</v>
      </c>
      <c r="L28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63"/>
      <c r="AI283" s="64"/>
      <c r="AJ283" s="65"/>
      <c r="AK283" s="65"/>
      <c r="AL283" s="53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 s="62"/>
      <c r="BZ283" s="62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</row>
    <row r="284" spans="1:468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48">
        <v>1</v>
      </c>
      <c r="J284" s="148"/>
      <c r="K284" s="148">
        <v>1</v>
      </c>
      <c r="L284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63"/>
      <c r="AI284" s="64"/>
      <c r="AJ284" s="65"/>
      <c r="AK284" s="65"/>
      <c r="AL284" s="53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 s="62"/>
      <c r="BZ284" s="62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</row>
    <row r="285" spans="1:468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48">
        <v>2</v>
      </c>
      <c r="J285" s="148"/>
      <c r="K285" s="148">
        <v>2</v>
      </c>
      <c r="L285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63"/>
      <c r="AI285" s="64"/>
      <c r="AJ285" s="65"/>
      <c r="AK285" s="65"/>
      <c r="AL285" s="53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 s="62"/>
      <c r="BZ285" s="62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</row>
    <row r="286" spans="1:468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48">
        <v>0</v>
      </c>
      <c r="J286" s="148"/>
      <c r="K286" s="148">
        <v>0</v>
      </c>
      <c r="L286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63"/>
      <c r="AI286" s="64"/>
      <c r="AJ286" s="65"/>
      <c r="AK286" s="65"/>
      <c r="AL286" s="53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 s="62"/>
      <c r="BZ286" s="62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</row>
    <row r="287" spans="1:468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48">
        <v>0</v>
      </c>
      <c r="J287" s="148"/>
      <c r="K287" s="148">
        <v>0</v>
      </c>
      <c r="L287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63"/>
      <c r="AI287" s="64"/>
      <c r="AJ287" s="65"/>
      <c r="AK287" s="65"/>
      <c r="AL287" s="53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 s="62"/>
      <c r="BZ287" s="62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</row>
    <row r="288" spans="1:468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48">
        <v>0</v>
      </c>
      <c r="J288" s="148"/>
      <c r="K288" s="148">
        <v>0</v>
      </c>
      <c r="L288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63"/>
      <c r="AI288" s="64"/>
      <c r="AJ288" s="65"/>
      <c r="AK288" s="65"/>
      <c r="AL288" s="53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 s="62"/>
      <c r="BZ288" s="62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</row>
    <row r="289" spans="1:468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48">
        <v>1</v>
      </c>
      <c r="J289" s="148"/>
      <c r="K289" s="148">
        <v>1</v>
      </c>
      <c r="L289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63"/>
      <c r="AI289" s="64"/>
      <c r="AJ289" s="65"/>
      <c r="AK289" s="65"/>
      <c r="AL289" s="53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 s="62"/>
      <c r="BZ289" s="62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</row>
    <row r="290" spans="1:468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48">
        <v>0</v>
      </c>
      <c r="J290" s="148"/>
      <c r="K290" s="148">
        <v>0</v>
      </c>
      <c r="L290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63"/>
      <c r="AI290" s="64"/>
      <c r="AJ290" s="65"/>
      <c r="AK290" s="65"/>
      <c r="AL290" s="53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 s="62"/>
      <c r="BZ290" s="62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</row>
    <row r="291" spans="1:468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48">
        <v>0</v>
      </c>
      <c r="J291" s="148"/>
      <c r="K291" s="148">
        <v>0</v>
      </c>
      <c r="L291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63"/>
      <c r="AI291" s="64"/>
      <c r="AJ291" s="65"/>
      <c r="AK291" s="65"/>
      <c r="AL291" s="53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 s="62"/>
      <c r="BZ291" s="62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</row>
    <row r="292" spans="1:468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48">
        <v>1</v>
      </c>
      <c r="J292" s="148"/>
      <c r="K292" s="148">
        <v>1</v>
      </c>
      <c r="L292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63"/>
      <c r="AI292" s="64"/>
      <c r="AJ292" s="65"/>
      <c r="AK292" s="65"/>
      <c r="AL292" s="53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 s="62"/>
      <c r="BZ292" s="6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</row>
    <row r="293" spans="1:468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48">
        <v>2</v>
      </c>
      <c r="J293" s="148"/>
      <c r="K293" s="148">
        <v>2</v>
      </c>
      <c r="L29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63"/>
      <c r="AI293" s="64"/>
      <c r="AJ293" s="65"/>
      <c r="AK293" s="65"/>
      <c r="AL293" s="53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 s="62"/>
      <c r="BZ293" s="62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</row>
    <row r="294" spans="1:468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48">
        <v>0</v>
      </c>
      <c r="J294" s="148"/>
      <c r="K294" s="148">
        <v>0</v>
      </c>
      <c r="L294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63"/>
      <c r="AI294" s="64"/>
      <c r="AJ294" s="65"/>
      <c r="AK294" s="65"/>
      <c r="AL294" s="53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 s="62"/>
      <c r="BZ294" s="62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</row>
    <row r="295" spans="1:468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48">
        <v>0</v>
      </c>
      <c r="J295" s="148"/>
      <c r="K295" s="148">
        <v>0</v>
      </c>
      <c r="L295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63"/>
      <c r="AI295" s="64"/>
      <c r="AJ295" s="65"/>
      <c r="AK295" s="65"/>
      <c r="AL295" s="53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 s="62"/>
      <c r="BZ295" s="62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</row>
    <row r="296" spans="1:468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48">
        <v>0</v>
      </c>
      <c r="J296" s="148"/>
      <c r="K296" s="148">
        <v>0</v>
      </c>
      <c r="L296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63"/>
      <c r="AI296" s="64"/>
      <c r="AJ296" s="65"/>
      <c r="AK296" s="65"/>
      <c r="AL296" s="53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 s="62"/>
      <c r="BZ296" s="62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</row>
    <row r="297" spans="1:468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48">
        <v>2</v>
      </c>
      <c r="J297" s="148"/>
      <c r="K297" s="148">
        <v>2</v>
      </c>
      <c r="L297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63"/>
      <c r="AI297" s="64"/>
      <c r="AJ297" s="65"/>
      <c r="AK297" s="65"/>
      <c r="AL297" s="53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 s="62"/>
      <c r="BZ297" s="62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</row>
    <row r="298" spans="1:468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48">
        <v>0</v>
      </c>
      <c r="J298" s="148"/>
      <c r="K298" s="148">
        <v>0</v>
      </c>
      <c r="L298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63"/>
      <c r="AI298" s="64"/>
      <c r="AJ298" s="65"/>
      <c r="AK298" s="65"/>
      <c r="AL298" s="53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 s="62"/>
      <c r="BZ298" s="62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</row>
    <row r="299" spans="1:468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48">
        <v>0</v>
      </c>
      <c r="J299" s="148"/>
      <c r="K299" s="148">
        <v>0</v>
      </c>
      <c r="L299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63"/>
      <c r="AI299" s="64"/>
      <c r="AJ299" s="65"/>
      <c r="AK299" s="65"/>
      <c r="AL299" s="53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 s="62"/>
      <c r="BZ299" s="62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</row>
    <row r="300" spans="1:468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48">
        <v>0</v>
      </c>
      <c r="J300" s="148"/>
      <c r="K300" s="148">
        <v>0</v>
      </c>
      <c r="L300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63"/>
      <c r="AI300" s="64"/>
      <c r="AJ300" s="65"/>
      <c r="AK300" s="65"/>
      <c r="AL300" s="53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 s="62"/>
      <c r="BZ300" s="62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</row>
    <row r="301" spans="1:468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48">
        <v>0</v>
      </c>
      <c r="J301" s="148"/>
      <c r="K301" s="148">
        <v>0</v>
      </c>
      <c r="L301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63"/>
      <c r="AI301" s="64"/>
      <c r="AJ301" s="65"/>
      <c r="AK301" s="65"/>
      <c r="AL301" s="53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 s="62"/>
      <c r="BZ301" s="62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</row>
    <row r="302" spans="1:468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48">
        <v>0</v>
      </c>
      <c r="J302" s="148"/>
      <c r="K302" s="148">
        <v>0</v>
      </c>
      <c r="L302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63"/>
      <c r="AI302" s="64"/>
      <c r="AJ302" s="65"/>
      <c r="AK302" s="65"/>
      <c r="AL302" s="53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 s="62"/>
      <c r="BZ302" s="6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</row>
    <row r="303" spans="1:468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48">
        <v>1</v>
      </c>
      <c r="J303" s="148"/>
      <c r="K303" s="148">
        <v>1</v>
      </c>
      <c r="L30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63"/>
      <c r="AI303" s="64"/>
      <c r="AJ303" s="65"/>
      <c r="AK303" s="65"/>
      <c r="AL303" s="53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 s="62"/>
      <c r="BZ303" s="62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</row>
    <row r="304" spans="1:468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48">
        <v>1</v>
      </c>
      <c r="J304" s="148"/>
      <c r="K304" s="148">
        <v>1</v>
      </c>
      <c r="L304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63"/>
      <c r="AI304" s="64"/>
      <c r="AJ304" s="65"/>
      <c r="AK304" s="65"/>
      <c r="AL304" s="53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 s="62"/>
      <c r="BZ304" s="62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</row>
    <row r="305" spans="1:468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48">
        <v>252</v>
      </c>
      <c r="J305" s="148"/>
      <c r="K305" s="148">
        <v>252</v>
      </c>
      <c r="L305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63"/>
      <c r="AI305" s="64"/>
      <c r="AJ305" s="65"/>
      <c r="AK305" s="65"/>
      <c r="AL305" s="53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 s="62"/>
      <c r="BZ305" s="62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</row>
    <row r="306" spans="1:468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48">
        <v>0</v>
      </c>
      <c r="J306" s="148"/>
      <c r="K306" s="148">
        <v>0</v>
      </c>
      <c r="L306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63"/>
      <c r="AI306" s="64"/>
      <c r="AJ306" s="65"/>
      <c r="AK306" s="65"/>
      <c r="AL306" s="53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 s="62"/>
      <c r="BZ306" s="62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</row>
    <row r="307" spans="1:468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48">
        <v>0</v>
      </c>
      <c r="J307" s="148"/>
      <c r="K307" s="148">
        <v>0</v>
      </c>
      <c r="L307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63"/>
      <c r="AI307" s="64"/>
      <c r="AJ307" s="65"/>
      <c r="AK307" s="65"/>
      <c r="AL307" s="53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 s="62"/>
      <c r="BZ307" s="62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</row>
    <row r="308" spans="1:468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48">
        <v>252</v>
      </c>
      <c r="J308" s="148"/>
      <c r="K308" s="148">
        <v>252</v>
      </c>
      <c r="L308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63"/>
      <c r="AI308" s="64"/>
      <c r="AJ308" s="65"/>
      <c r="AK308" s="65"/>
      <c r="AL308" s="53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 s="62"/>
      <c r="BZ308" s="62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</row>
    <row r="309" spans="1:468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48">
        <v>0</v>
      </c>
      <c r="J309" s="148"/>
      <c r="K309" s="148">
        <v>0</v>
      </c>
      <c r="L309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63"/>
      <c r="AI309" s="64"/>
      <c r="AJ309" s="65"/>
      <c r="AK309" s="65"/>
      <c r="AL309" s="53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 s="62"/>
      <c r="BZ309" s="62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</row>
    <row r="310" spans="1:468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48">
        <v>0</v>
      </c>
      <c r="J310" s="148"/>
      <c r="K310" s="148">
        <v>0</v>
      </c>
      <c r="L310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63"/>
      <c r="AI310" s="64"/>
      <c r="AJ310" s="65"/>
      <c r="AK310" s="65"/>
      <c r="AL310" s="53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 s="62"/>
      <c r="BZ310" s="62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</row>
    <row r="311" spans="1:468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48">
        <v>0</v>
      </c>
      <c r="J311" s="148"/>
      <c r="K311" s="148">
        <v>0</v>
      </c>
      <c r="L311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63"/>
      <c r="AI311" s="64"/>
      <c r="AJ311" s="65"/>
      <c r="AK311" s="65"/>
      <c r="AL311" s="53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 s="62"/>
      <c r="BZ311" s="62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</row>
    <row r="312" spans="1:468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48">
        <v>0</v>
      </c>
      <c r="J312" s="148"/>
      <c r="K312" s="148">
        <v>0</v>
      </c>
      <c r="L312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63"/>
      <c r="AI312" s="64"/>
      <c r="AJ312" s="65"/>
      <c r="AK312" s="65"/>
      <c r="AL312" s="53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 s="62"/>
      <c r="BZ312" s="6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</row>
    <row r="313" spans="1:468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7340</v>
      </c>
      <c r="I313" s="148">
        <v>5</v>
      </c>
      <c r="J313" s="148"/>
      <c r="K313" s="148">
        <v>5</v>
      </c>
      <c r="L31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63"/>
      <c r="AI313" s="64"/>
      <c r="AJ313" s="65"/>
      <c r="AK313" s="65"/>
      <c r="AL313" s="53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 s="62"/>
      <c r="BZ313" s="62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</row>
    <row r="314" spans="1:468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0</v>
      </c>
      <c r="I314" s="148">
        <v>0</v>
      </c>
      <c r="J314" s="148"/>
      <c r="K314" s="148">
        <v>0</v>
      </c>
      <c r="L314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63"/>
      <c r="AI314" s="64"/>
      <c r="AJ314" s="65"/>
      <c r="AK314" s="65"/>
      <c r="AL314" s="53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 s="62"/>
      <c r="BZ314" s="62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</row>
    <row r="315" spans="1:468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48">
        <v>3</v>
      </c>
      <c r="J315" s="148"/>
      <c r="K315" s="148">
        <v>3</v>
      </c>
      <c r="L315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63"/>
      <c r="AI315" s="64"/>
      <c r="AJ315" s="65"/>
      <c r="AK315" s="65"/>
      <c r="AL315" s="53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 s="62"/>
      <c r="BZ315" s="62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</row>
    <row r="316" spans="1:468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3200</v>
      </c>
      <c r="I316" s="148">
        <v>2</v>
      </c>
      <c r="J316" s="148"/>
      <c r="K316" s="148">
        <v>2</v>
      </c>
      <c r="L316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63"/>
      <c r="AI316" s="64"/>
      <c r="AJ316" s="65"/>
      <c r="AK316" s="65"/>
      <c r="AL316" s="53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 s="62"/>
      <c r="BZ316" s="62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</row>
    <row r="317" spans="1:468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48">
        <v>0</v>
      </c>
      <c r="J317" s="148"/>
      <c r="K317" s="148">
        <v>0</v>
      </c>
      <c r="L317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63"/>
      <c r="AI317" s="64"/>
      <c r="AJ317" s="65"/>
      <c r="AK317" s="65"/>
      <c r="AL317" s="53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 s="62"/>
      <c r="BZ317" s="62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</row>
    <row r="318" spans="1:468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48">
        <v>0</v>
      </c>
      <c r="J318" s="148"/>
      <c r="K318" s="148">
        <v>0</v>
      </c>
      <c r="L318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63"/>
      <c r="AI318" s="64"/>
      <c r="AJ318" s="65"/>
      <c r="AK318" s="65"/>
      <c r="AL318" s="53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 s="62"/>
      <c r="BZ318" s="62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</row>
    <row r="319" spans="1:468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48">
        <v>4</v>
      </c>
      <c r="J319" s="148"/>
      <c r="K319" s="148">
        <v>4</v>
      </c>
      <c r="L319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63"/>
      <c r="AI319" s="64"/>
      <c r="AJ319" s="65"/>
      <c r="AK319" s="65"/>
      <c r="AL319" s="53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 s="62"/>
      <c r="BZ319" s="62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</row>
    <row r="320" spans="1:468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48">
        <v>4</v>
      </c>
      <c r="J320" s="148"/>
      <c r="K320" s="148">
        <v>4</v>
      </c>
      <c r="L320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63"/>
      <c r="AI320" s="64"/>
      <c r="AJ320" s="65"/>
      <c r="AK320" s="65"/>
      <c r="AL320" s="53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 s="62"/>
      <c r="BZ320" s="62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</row>
    <row r="321" spans="1:468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48">
        <v>0</v>
      </c>
      <c r="J321" s="148"/>
      <c r="K321" s="148">
        <v>0</v>
      </c>
      <c r="L321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63"/>
      <c r="AI321" s="64"/>
      <c r="AJ321" s="65"/>
      <c r="AK321" s="65"/>
      <c r="AL321" s="53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 s="62"/>
      <c r="BZ321" s="62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</row>
    <row r="322" spans="1:468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48">
        <v>0</v>
      </c>
      <c r="J322" s="148"/>
      <c r="K322" s="148">
        <v>0</v>
      </c>
      <c r="L322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63"/>
      <c r="AI322" s="64"/>
      <c r="AJ322" s="65"/>
      <c r="AK322" s="65"/>
      <c r="AL322" s="53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 s="62"/>
      <c r="BZ322" s="6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</row>
    <row r="323" spans="1:468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48">
        <v>0</v>
      </c>
      <c r="J323" s="148"/>
      <c r="K323" s="148">
        <v>0</v>
      </c>
      <c r="L32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63"/>
      <c r="AI323" s="64"/>
      <c r="AJ323" s="65"/>
      <c r="AK323" s="65"/>
      <c r="AL323" s="53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 s="62"/>
      <c r="BZ323" s="62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</row>
    <row r="324" spans="1:468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48">
        <v>674</v>
      </c>
      <c r="J324" s="148"/>
      <c r="K324" s="148">
        <v>674</v>
      </c>
      <c r="L324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63"/>
      <c r="AI324" s="64"/>
      <c r="AJ324" s="65"/>
      <c r="AK324" s="65"/>
      <c r="AL324" s="53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 s="62"/>
      <c r="BZ324" s="62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</row>
    <row r="325" spans="1:468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48">
        <v>0</v>
      </c>
      <c r="J325" s="148"/>
      <c r="K325" s="148">
        <v>0</v>
      </c>
      <c r="L325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63"/>
      <c r="AI325" s="64"/>
      <c r="AJ325" s="65"/>
      <c r="AK325" s="65"/>
      <c r="AL325" s="53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 s="62"/>
      <c r="BZ325" s="62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</row>
    <row r="326" spans="1:468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48">
        <v>1</v>
      </c>
      <c r="J326" s="148"/>
      <c r="K326" s="148">
        <v>1</v>
      </c>
      <c r="L326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63"/>
      <c r="AI326" s="64"/>
      <c r="AJ326" s="65"/>
      <c r="AK326" s="65"/>
      <c r="AL326" s="53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 s="62"/>
      <c r="BZ326" s="62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</row>
    <row r="327" spans="1:468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48">
        <v>0</v>
      </c>
      <c r="J327" s="148"/>
      <c r="K327" s="148">
        <v>0</v>
      </c>
      <c r="L327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63"/>
      <c r="AI327" s="64"/>
      <c r="AJ327" s="65"/>
      <c r="AK327" s="65"/>
      <c r="AL327" s="53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 s="62"/>
      <c r="BZ327" s="62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</row>
    <row r="328" spans="1:468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48">
        <v>4</v>
      </c>
      <c r="J328" s="148"/>
      <c r="K328" s="148">
        <v>4</v>
      </c>
      <c r="L328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63"/>
      <c r="AI328" s="64"/>
      <c r="AJ328" s="65"/>
      <c r="AK328" s="65"/>
      <c r="AL328" s="53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 s="62"/>
      <c r="BZ328" s="62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</row>
    <row r="329" spans="1:468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48">
        <v>1</v>
      </c>
      <c r="J329" s="148"/>
      <c r="K329" s="148">
        <v>1</v>
      </c>
      <c r="L329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63"/>
      <c r="AI329" s="64"/>
      <c r="AJ329" s="65"/>
      <c r="AK329" s="65"/>
      <c r="AL329" s="53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 s="62"/>
      <c r="BZ329" s="62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</row>
    <row r="330" spans="1:468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48">
        <v>61</v>
      </c>
      <c r="J330" s="148"/>
      <c r="K330" s="148">
        <v>61</v>
      </c>
      <c r="L330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63"/>
      <c r="AI330" s="64"/>
      <c r="AJ330" s="65"/>
      <c r="AK330" s="65"/>
      <c r="AL330" s="53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 s="62"/>
      <c r="BZ330" s="62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</row>
    <row r="331" spans="1:468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48">
        <v>53</v>
      </c>
      <c r="J331" s="148"/>
      <c r="K331" s="148">
        <v>53</v>
      </c>
      <c r="L331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63"/>
      <c r="AI331" s="64"/>
      <c r="AJ331" s="65"/>
      <c r="AK331" s="65"/>
      <c r="AL331" s="53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 s="62"/>
      <c r="BZ331" s="62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</row>
    <row r="332" spans="1:468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48">
        <v>28</v>
      </c>
      <c r="J332" s="148"/>
      <c r="K332" s="148">
        <v>28</v>
      </c>
      <c r="L332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63"/>
      <c r="AI332" s="64"/>
      <c r="AJ332" s="65"/>
      <c r="AK332" s="65"/>
      <c r="AL332" s="53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 s="62"/>
      <c r="BZ332" s="6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</row>
    <row r="333" spans="1:468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48">
        <v>267</v>
      </c>
      <c r="J333" s="148"/>
      <c r="K333" s="148">
        <v>267</v>
      </c>
      <c r="L33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63"/>
      <c r="AI333" s="64"/>
      <c r="AJ333" s="65"/>
      <c r="AK333" s="65"/>
      <c r="AL333" s="53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 s="62"/>
      <c r="BZ333" s="62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</row>
    <row r="334" spans="1:468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48">
        <v>7</v>
      </c>
      <c r="J334" s="148"/>
      <c r="K334" s="148">
        <v>7</v>
      </c>
      <c r="L334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63"/>
      <c r="AI334" s="64"/>
      <c r="AJ334" s="65"/>
      <c r="AK334" s="65"/>
      <c r="AL334" s="53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 s="62"/>
      <c r="BZ334" s="62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</row>
    <row r="335" spans="1:468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48">
        <v>2</v>
      </c>
      <c r="J335" s="148"/>
      <c r="K335" s="148">
        <v>2</v>
      </c>
      <c r="L335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63"/>
      <c r="AI335" s="64"/>
      <c r="AJ335" s="65"/>
      <c r="AK335" s="65"/>
      <c r="AL335" s="53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 s="62"/>
      <c r="BZ335" s="62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</row>
    <row r="336" spans="1:468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48">
        <v>10</v>
      </c>
      <c r="J336" s="148"/>
      <c r="K336" s="148">
        <v>10</v>
      </c>
      <c r="L336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63"/>
      <c r="AI336" s="64"/>
      <c r="AJ336" s="65"/>
      <c r="AK336" s="65"/>
      <c r="AL336" s="53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 s="62"/>
      <c r="BZ336" s="62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</row>
    <row r="337" spans="1:468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48">
        <v>3</v>
      </c>
      <c r="J337" s="148"/>
      <c r="K337" s="148">
        <v>3</v>
      </c>
      <c r="L337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63"/>
      <c r="AI337" s="64"/>
      <c r="AJ337" s="65"/>
      <c r="AK337" s="65"/>
      <c r="AL337" s="53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 s="62"/>
      <c r="BZ337" s="62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</row>
    <row r="338" spans="1:468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48">
        <v>1</v>
      </c>
      <c r="J338" s="148"/>
      <c r="K338" s="148">
        <v>1</v>
      </c>
      <c r="L338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63"/>
      <c r="AI338" s="64"/>
      <c r="AJ338" s="65"/>
      <c r="AK338" s="65"/>
      <c r="AL338" s="53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 s="62"/>
      <c r="BZ338" s="62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</row>
    <row r="339" spans="1:468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48">
        <v>5</v>
      </c>
      <c r="J339" s="148"/>
      <c r="K339" s="148">
        <v>5</v>
      </c>
      <c r="L339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63"/>
      <c r="AI339" s="64"/>
      <c r="AJ339" s="65"/>
      <c r="AK339" s="65"/>
      <c r="AL339" s="53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 s="62"/>
      <c r="BZ339" s="62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</row>
    <row r="340" spans="1:468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48">
        <v>7</v>
      </c>
      <c r="J340" s="148"/>
      <c r="K340" s="148">
        <v>7</v>
      </c>
      <c r="L340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63"/>
      <c r="AI340" s="64"/>
      <c r="AJ340" s="65"/>
      <c r="AK340" s="65"/>
      <c r="AL340" s="53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 s="62"/>
      <c r="BZ340" s="62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</row>
    <row r="341" spans="1:468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48">
        <v>0</v>
      </c>
      <c r="J341" s="148"/>
      <c r="K341" s="148">
        <v>0</v>
      </c>
      <c r="L341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63"/>
      <c r="AI341" s="64"/>
      <c r="AJ341" s="65"/>
      <c r="AK341" s="65"/>
      <c r="AL341" s="53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 s="62"/>
      <c r="BZ341" s="62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</row>
    <row r="342" spans="1:468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48">
        <v>223</v>
      </c>
      <c r="J342" s="148"/>
      <c r="K342" s="148">
        <v>223</v>
      </c>
      <c r="L342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63"/>
      <c r="AI342" s="64"/>
      <c r="AJ342" s="65"/>
      <c r="AK342" s="65"/>
      <c r="AL342" s="53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 s="62"/>
      <c r="BZ342" s="6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</row>
    <row r="343" spans="1:468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48">
        <v>0</v>
      </c>
      <c r="J343" s="148"/>
      <c r="K343" s="148">
        <v>0</v>
      </c>
      <c r="L34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63"/>
      <c r="AI343" s="64"/>
      <c r="AJ343" s="65"/>
      <c r="AK343" s="65"/>
      <c r="AL343" s="53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 s="62"/>
      <c r="BZ343" s="62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</row>
    <row r="344" spans="1:468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48">
        <v>1</v>
      </c>
      <c r="J344" s="148"/>
      <c r="K344" s="148">
        <v>1</v>
      </c>
      <c r="L344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63"/>
      <c r="AI344" s="64"/>
      <c r="AJ344" s="65"/>
      <c r="AK344" s="65"/>
      <c r="AL344" s="53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 s="62"/>
      <c r="BZ344" s="62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</row>
    <row r="345" spans="1:468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48">
        <v>4</v>
      </c>
      <c r="J345" s="148"/>
      <c r="K345" s="148">
        <v>4</v>
      </c>
      <c r="L345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63"/>
      <c r="AI345" s="64"/>
      <c r="AJ345" s="65"/>
      <c r="AK345" s="65"/>
      <c r="AL345" s="53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 s="62"/>
      <c r="BZ345" s="62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</row>
    <row r="346" spans="1:468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48">
        <v>4</v>
      </c>
      <c r="J346" s="148"/>
      <c r="K346" s="148">
        <v>4</v>
      </c>
      <c r="L346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63"/>
      <c r="AI346" s="64"/>
      <c r="AJ346" s="65"/>
      <c r="AK346" s="65"/>
      <c r="AL346" s="53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 s="62"/>
      <c r="BZ346" s="62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</row>
    <row r="347" spans="1:468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48">
        <v>2893</v>
      </c>
      <c r="J347" s="148"/>
      <c r="K347" s="148">
        <v>2893</v>
      </c>
      <c r="L347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63"/>
      <c r="AI347" s="64"/>
      <c r="AJ347" s="65"/>
      <c r="AK347" s="65"/>
      <c r="AL347" s="53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 s="62"/>
      <c r="BZ347" s="62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</row>
    <row r="348" spans="1:468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48">
        <v>2893</v>
      </c>
      <c r="J348" s="148"/>
      <c r="K348" s="148">
        <v>2893</v>
      </c>
      <c r="L348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63"/>
      <c r="AI348" s="64"/>
      <c r="AJ348" s="65"/>
      <c r="AK348" s="65"/>
      <c r="AL348" s="53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 s="62"/>
      <c r="BZ348" s="62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</row>
    <row r="349" spans="1:468" x14ac:dyDescent="0.35">
      <c r="A349" s="53"/>
      <c r="B349" s="53"/>
      <c r="C349" s="55"/>
      <c r="D349" s="53"/>
      <c r="E349" s="53"/>
      <c r="F349" s="124" t="s">
        <v>594</v>
      </c>
      <c r="G349" s="125">
        <v>48124.484000000004</v>
      </c>
      <c r="H349" s="125">
        <v>183279.8</v>
      </c>
      <c r="I349" s="148">
        <v>630</v>
      </c>
      <c r="J349" s="148">
        <v>157</v>
      </c>
      <c r="K349" s="148">
        <v>473</v>
      </c>
      <c r="L349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63"/>
      <c r="AI349" s="64"/>
      <c r="AJ349" s="65"/>
      <c r="AK349" s="65"/>
      <c r="AL349" s="53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 s="62"/>
      <c r="BZ349" s="62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</row>
    <row r="350" spans="1:468" x14ac:dyDescent="0.35">
      <c r="A350" s="53"/>
      <c r="B350" s="53"/>
      <c r="C350" s="55"/>
      <c r="D350" s="53"/>
      <c r="E350" s="53"/>
      <c r="F350" s="149" t="s">
        <v>592</v>
      </c>
      <c r="G350" s="125"/>
      <c r="H350" s="125">
        <v>0</v>
      </c>
      <c r="I350" s="148">
        <v>2</v>
      </c>
      <c r="J350" s="148"/>
      <c r="K350" s="148">
        <v>2</v>
      </c>
      <c r="L350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63"/>
      <c r="AI350" s="64"/>
      <c r="AJ350" s="65"/>
      <c r="AK350" s="65"/>
      <c r="AL350" s="53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 s="62"/>
      <c r="BZ350" s="62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</row>
    <row r="351" spans="1:468" x14ac:dyDescent="0.35">
      <c r="A351" s="53"/>
      <c r="B351" s="53"/>
      <c r="C351" s="55"/>
      <c r="D351" s="53"/>
      <c r="E351" s="53"/>
      <c r="F351" s="149" t="s">
        <v>595</v>
      </c>
      <c r="G351" s="125">
        <v>25.89</v>
      </c>
      <c r="H351" s="125">
        <v>517.79999999999995</v>
      </c>
      <c r="I351" s="148">
        <v>20</v>
      </c>
      <c r="J351" s="148"/>
      <c r="K351" s="148">
        <v>20</v>
      </c>
      <c r="L351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63"/>
      <c r="AI351" s="64"/>
      <c r="AJ351" s="65"/>
      <c r="AK351" s="65"/>
      <c r="AL351" s="53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 s="62"/>
      <c r="BZ351" s="62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</row>
    <row r="352" spans="1:468" x14ac:dyDescent="0.35">
      <c r="A352" s="53"/>
      <c r="B352" s="53"/>
      <c r="C352" s="55"/>
      <c r="D352" s="53"/>
      <c r="E352" s="53"/>
      <c r="F352" s="149" t="s">
        <v>596</v>
      </c>
      <c r="G352" s="125">
        <v>39.15</v>
      </c>
      <c r="H352" s="125">
        <v>0</v>
      </c>
      <c r="I352" s="148">
        <v>0</v>
      </c>
      <c r="J352" s="148"/>
      <c r="K352" s="148">
        <v>0</v>
      </c>
      <c r="L352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63"/>
      <c r="AI352" s="64"/>
      <c r="AJ352" s="65"/>
      <c r="AK352" s="65"/>
      <c r="AL352" s="53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 s="62"/>
      <c r="BZ352" s="6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</row>
    <row r="353" spans="1:468" x14ac:dyDescent="0.35">
      <c r="A353" s="53"/>
      <c r="B353" s="53"/>
      <c r="C353" s="55"/>
      <c r="D353" s="53"/>
      <c r="E353" s="53"/>
      <c r="F353" s="149" t="s">
        <v>597</v>
      </c>
      <c r="G353" s="125">
        <v>205</v>
      </c>
      <c r="H353" s="125">
        <v>1230</v>
      </c>
      <c r="I353" s="148">
        <v>6</v>
      </c>
      <c r="J353" s="148"/>
      <c r="K353" s="148">
        <v>6</v>
      </c>
      <c r="L3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63"/>
      <c r="AI353" s="64"/>
      <c r="AJ353" s="65"/>
      <c r="AK353" s="65"/>
      <c r="AL353" s="53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 s="62"/>
      <c r="BZ353" s="62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</row>
    <row r="354" spans="1:468" x14ac:dyDescent="0.35">
      <c r="A354" s="53"/>
      <c r="B354" s="53"/>
      <c r="C354" s="55"/>
      <c r="D354" s="53"/>
      <c r="E354" s="53"/>
      <c r="F354" s="149" t="s">
        <v>599</v>
      </c>
      <c r="G354" s="125"/>
      <c r="H354" s="125">
        <v>0</v>
      </c>
      <c r="I354" s="148">
        <v>2</v>
      </c>
      <c r="J354" s="148"/>
      <c r="K354" s="148">
        <v>2</v>
      </c>
      <c r="L354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63"/>
      <c r="AI354" s="64"/>
      <c r="AJ354" s="65"/>
      <c r="AK354" s="65"/>
      <c r="AL354" s="53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 s="62"/>
      <c r="BZ354" s="62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</row>
    <row r="355" spans="1:468" x14ac:dyDescent="0.35">
      <c r="A355" s="53"/>
      <c r="B355" s="53"/>
      <c r="C355" s="55"/>
      <c r="D355" s="53"/>
      <c r="E355" s="53"/>
      <c r="F355" s="149" t="s">
        <v>1267</v>
      </c>
      <c r="G355" s="125">
        <v>190.36</v>
      </c>
      <c r="H355" s="125">
        <v>17893.84</v>
      </c>
      <c r="I355" s="148">
        <v>94</v>
      </c>
      <c r="J355" s="148"/>
      <c r="K355" s="148">
        <v>94</v>
      </c>
      <c r="L355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63"/>
      <c r="AI355" s="64"/>
      <c r="AJ355" s="65"/>
      <c r="AK355" s="65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  <c r="BY355" s="53"/>
      <c r="BZ355" s="53"/>
    </row>
    <row r="356" spans="1:468" x14ac:dyDescent="0.35">
      <c r="A356" s="53"/>
      <c r="B356" s="53"/>
      <c r="C356" s="55"/>
      <c r="D356" s="53"/>
      <c r="E356" s="53"/>
      <c r="F356" s="149" t="s">
        <v>605</v>
      </c>
      <c r="G356" s="125">
        <v>324.52999999999997</v>
      </c>
      <c r="H356" s="125">
        <v>324.52999999999997</v>
      </c>
      <c r="I356" s="148">
        <v>1</v>
      </c>
      <c r="J356" s="148"/>
      <c r="K356" s="148">
        <v>1</v>
      </c>
      <c r="L356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63"/>
      <c r="AI356" s="64"/>
      <c r="AJ356" s="65"/>
      <c r="AK356" s="65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  <c r="BY356" s="53"/>
      <c r="BZ356" s="53"/>
    </row>
    <row r="357" spans="1:468" x14ac:dyDescent="0.35">
      <c r="A357" s="53"/>
      <c r="B357" s="53"/>
      <c r="C357" s="55"/>
      <c r="D357" s="53"/>
      <c r="E357" s="53"/>
      <c r="F357" s="149" t="s">
        <v>1243</v>
      </c>
      <c r="G357" s="125"/>
      <c r="H357" s="125">
        <v>0</v>
      </c>
      <c r="I357" s="148">
        <v>0</v>
      </c>
      <c r="J357" s="148"/>
      <c r="K357" s="148">
        <v>0</v>
      </c>
      <c r="L357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63"/>
      <c r="AI357" s="64"/>
      <c r="AJ357" s="65"/>
      <c r="AK357" s="65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  <c r="BY357" s="53"/>
      <c r="BZ357" s="53"/>
    </row>
    <row r="358" spans="1:468" x14ac:dyDescent="0.35">
      <c r="A358" s="53"/>
      <c r="B358" s="53"/>
      <c r="C358" s="55"/>
      <c r="D358" s="53"/>
      <c r="E358" s="53"/>
      <c r="F358" s="149" t="s">
        <v>607</v>
      </c>
      <c r="G358" s="125">
        <v>559.26</v>
      </c>
      <c r="H358" s="125">
        <v>559.26</v>
      </c>
      <c r="I358" s="148">
        <v>1</v>
      </c>
      <c r="J358" s="148"/>
      <c r="K358" s="148">
        <v>1</v>
      </c>
      <c r="L358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63"/>
      <c r="AI358" s="64"/>
      <c r="AJ358" s="65"/>
      <c r="AK358" s="65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  <c r="BY358" s="53"/>
      <c r="BZ358" s="53"/>
    </row>
    <row r="359" spans="1:468" x14ac:dyDescent="0.35">
      <c r="A359" s="53"/>
      <c r="B359" s="53"/>
      <c r="C359" s="55"/>
      <c r="D359" s="53"/>
      <c r="E359" s="53"/>
      <c r="F359" s="149" t="s">
        <v>609</v>
      </c>
      <c r="G359" s="125"/>
      <c r="H359" s="125">
        <v>0</v>
      </c>
      <c r="I359" s="148">
        <v>1</v>
      </c>
      <c r="J359" s="148"/>
      <c r="K359" s="148">
        <v>1</v>
      </c>
      <c r="L359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63"/>
      <c r="AI359" s="64"/>
      <c r="AJ359" s="65"/>
      <c r="AK359" s="65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  <c r="BY359" s="53"/>
      <c r="BZ359" s="53"/>
    </row>
    <row r="360" spans="1:468" x14ac:dyDescent="0.35">
      <c r="A360" s="53"/>
      <c r="B360" s="53"/>
      <c r="C360" s="55"/>
      <c r="D360" s="53"/>
      <c r="E360" s="53"/>
      <c r="F360" s="149" t="s">
        <v>611</v>
      </c>
      <c r="G360" s="125">
        <v>249</v>
      </c>
      <c r="H360" s="125">
        <v>0</v>
      </c>
      <c r="I360" s="148">
        <v>0</v>
      </c>
      <c r="J360" s="148"/>
      <c r="K360" s="148">
        <v>0</v>
      </c>
      <c r="L360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63"/>
      <c r="AI360" s="64"/>
      <c r="AJ360" s="65"/>
      <c r="AK360" s="65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  <c r="BY360" s="53"/>
      <c r="BZ360" s="53"/>
    </row>
    <row r="361" spans="1:468" x14ac:dyDescent="0.35">
      <c r="A361" s="53"/>
      <c r="B361" s="53"/>
      <c r="C361" s="55"/>
      <c r="D361" s="53"/>
      <c r="E361" s="53"/>
      <c r="F361" s="149" t="s">
        <v>613</v>
      </c>
      <c r="G361" s="125">
        <v>264.27</v>
      </c>
      <c r="H361" s="125">
        <v>2114.16</v>
      </c>
      <c r="I361" s="148">
        <v>8</v>
      </c>
      <c r="J361" s="148"/>
      <c r="K361" s="148">
        <v>8</v>
      </c>
      <c r="L361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63"/>
      <c r="AI361" s="64"/>
      <c r="AJ361" s="65"/>
      <c r="AK361" s="65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  <c r="BY361" s="53"/>
      <c r="BZ361" s="53"/>
    </row>
    <row r="362" spans="1:468" x14ac:dyDescent="0.35">
      <c r="A362" s="53"/>
      <c r="B362" s="53"/>
      <c r="C362" s="55"/>
      <c r="D362" s="53"/>
      <c r="E362" s="53"/>
      <c r="F362" s="149" t="s">
        <v>615</v>
      </c>
      <c r="G362" s="125">
        <v>392.16</v>
      </c>
      <c r="H362" s="125">
        <v>28235.52</v>
      </c>
      <c r="I362" s="148">
        <v>72</v>
      </c>
      <c r="J362" s="148">
        <v>72</v>
      </c>
      <c r="K362" s="148">
        <v>0</v>
      </c>
      <c r="L362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63"/>
      <c r="AI362" s="64"/>
      <c r="AJ362" s="65"/>
      <c r="AK362" s="65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  <c r="BY362" s="53"/>
      <c r="BZ362" s="53"/>
    </row>
    <row r="363" spans="1:468" x14ac:dyDescent="0.35">
      <c r="A363" s="53"/>
      <c r="B363" s="53"/>
      <c r="C363" s="55"/>
      <c r="D363" s="53"/>
      <c r="E363" s="53"/>
      <c r="F363" s="149" t="s">
        <v>1268</v>
      </c>
      <c r="G363" s="125"/>
      <c r="H363" s="125">
        <v>0</v>
      </c>
      <c r="I363" s="148">
        <v>0</v>
      </c>
      <c r="J363" s="148"/>
      <c r="K363" s="148">
        <v>0</v>
      </c>
      <c r="L36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63"/>
      <c r="AI363" s="64"/>
      <c r="AJ363" s="65"/>
      <c r="AK363" s="65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  <c r="BY363" s="53"/>
      <c r="BZ363" s="53"/>
    </row>
    <row r="364" spans="1:468" x14ac:dyDescent="0.35">
      <c r="A364" s="53"/>
      <c r="B364" s="53"/>
      <c r="C364" s="55"/>
      <c r="D364" s="53"/>
      <c r="E364" s="53"/>
      <c r="F364" s="149" t="s">
        <v>618</v>
      </c>
      <c r="G364" s="125">
        <v>350</v>
      </c>
      <c r="H364" s="125">
        <v>0</v>
      </c>
      <c r="I364" s="148">
        <v>0</v>
      </c>
      <c r="J364" s="148"/>
      <c r="K364" s="148">
        <v>0</v>
      </c>
      <c r="L364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63"/>
      <c r="AI364" s="64"/>
      <c r="AJ364" s="65"/>
      <c r="AK364" s="65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  <c r="BY364" s="53"/>
      <c r="BZ364" s="53"/>
    </row>
    <row r="365" spans="1:468" x14ac:dyDescent="0.35">
      <c r="A365" s="53"/>
      <c r="B365" s="53"/>
      <c r="C365" s="55"/>
      <c r="D365" s="53"/>
      <c r="E365" s="53"/>
      <c r="F365" s="149" t="s">
        <v>621</v>
      </c>
      <c r="G365" s="125"/>
      <c r="H365" s="125">
        <v>0</v>
      </c>
      <c r="I365" s="148">
        <v>1</v>
      </c>
      <c r="J365" s="148"/>
      <c r="K365" s="148">
        <v>1</v>
      </c>
      <c r="L365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63"/>
      <c r="AI365" s="64"/>
      <c r="AJ365" s="65"/>
      <c r="AK365" s="65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  <c r="BY365" s="53"/>
      <c r="BZ365" s="53"/>
    </row>
    <row r="366" spans="1:468" x14ac:dyDescent="0.35">
      <c r="A366" s="53"/>
      <c r="B366" s="53"/>
      <c r="C366" s="55"/>
      <c r="D366" s="53"/>
      <c r="E366" s="53"/>
      <c r="F366" s="149" t="s">
        <v>623</v>
      </c>
      <c r="G366" s="125">
        <v>724.8</v>
      </c>
      <c r="H366" s="125">
        <v>0</v>
      </c>
      <c r="I366" s="148">
        <v>0</v>
      </c>
      <c r="J366" s="148"/>
      <c r="K366" s="148">
        <v>0</v>
      </c>
      <c r="L366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63"/>
      <c r="AI366" s="64"/>
      <c r="AJ366" s="65"/>
      <c r="AK366" s="65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  <c r="BY366" s="53"/>
      <c r="BZ366" s="53"/>
    </row>
    <row r="367" spans="1:468" x14ac:dyDescent="0.35">
      <c r="A367" s="53"/>
      <c r="B367" s="53"/>
      <c r="C367" s="55"/>
      <c r="D367" s="53"/>
      <c r="E367" s="53"/>
      <c r="F367" s="149" t="s">
        <v>625</v>
      </c>
      <c r="G367" s="125">
        <v>525</v>
      </c>
      <c r="H367" s="125">
        <v>525</v>
      </c>
      <c r="I367" s="148">
        <v>1</v>
      </c>
      <c r="J367" s="148"/>
      <c r="K367" s="148">
        <v>1</v>
      </c>
      <c r="L367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63"/>
      <c r="AI367" s="64"/>
      <c r="AJ367" s="65"/>
      <c r="AK367" s="65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  <c r="BY367" s="53"/>
      <c r="BZ367" s="53"/>
    </row>
    <row r="368" spans="1:468" x14ac:dyDescent="0.35">
      <c r="A368" s="53"/>
      <c r="B368" s="53"/>
      <c r="C368" s="55"/>
      <c r="D368" s="53"/>
      <c r="E368" s="53"/>
      <c r="F368" s="149" t="s">
        <v>627</v>
      </c>
      <c r="G368" s="125">
        <v>433.49</v>
      </c>
      <c r="H368" s="125">
        <v>26876.38</v>
      </c>
      <c r="I368" s="148">
        <v>62</v>
      </c>
      <c r="J368" s="148">
        <v>33</v>
      </c>
      <c r="K368" s="148">
        <v>29</v>
      </c>
      <c r="L368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63"/>
      <c r="AI368" s="64"/>
      <c r="AJ368" s="65"/>
      <c r="AK368" s="65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  <c r="BY368" s="53"/>
      <c r="BZ368" s="53"/>
    </row>
    <row r="369" spans="1:78" x14ac:dyDescent="0.35">
      <c r="A369" s="53"/>
      <c r="B369" s="53"/>
      <c r="C369" s="55"/>
      <c r="D369" s="53"/>
      <c r="E369" s="53"/>
      <c r="F369" s="149" t="s">
        <v>630</v>
      </c>
      <c r="G369" s="125"/>
      <c r="H369" s="125">
        <v>0</v>
      </c>
      <c r="I369" s="148">
        <v>0</v>
      </c>
      <c r="J369" s="148"/>
      <c r="K369" s="148">
        <v>0</v>
      </c>
      <c r="L369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63"/>
      <c r="AI369" s="64"/>
      <c r="AJ369" s="65"/>
      <c r="AK369" s="65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  <c r="BY369" s="53"/>
      <c r="BZ369" s="53"/>
    </row>
    <row r="370" spans="1:78" x14ac:dyDescent="0.35">
      <c r="A370" s="53"/>
      <c r="B370" s="53"/>
      <c r="C370" s="55"/>
      <c r="D370" s="53"/>
      <c r="E370" s="53"/>
      <c r="F370" s="149" t="s">
        <v>633</v>
      </c>
      <c r="G370" s="125">
        <v>813.96</v>
      </c>
      <c r="H370" s="125">
        <v>0</v>
      </c>
      <c r="I370" s="148">
        <v>0</v>
      </c>
      <c r="J370" s="148"/>
      <c r="K370" s="148">
        <v>0</v>
      </c>
      <c r="L370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63"/>
      <c r="AI370" s="64"/>
      <c r="AJ370" s="65"/>
      <c r="AK370" s="65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  <c r="BY370" s="53"/>
      <c r="BZ370" s="53"/>
    </row>
    <row r="371" spans="1:78" x14ac:dyDescent="0.35">
      <c r="A371" s="53"/>
      <c r="B371" s="53"/>
      <c r="C371" s="55"/>
      <c r="D371" s="53"/>
      <c r="E371" s="53"/>
      <c r="F371" s="126" t="s">
        <v>635</v>
      </c>
      <c r="G371" s="125">
        <v>16.45</v>
      </c>
      <c r="H371" s="125">
        <v>855.4</v>
      </c>
      <c r="I371" s="148">
        <v>52</v>
      </c>
      <c r="J371" s="148">
        <v>52</v>
      </c>
      <c r="K371" s="148">
        <v>0</v>
      </c>
      <c r="L371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63"/>
      <c r="AI371" s="64"/>
      <c r="AJ371" s="65"/>
      <c r="AK371" s="65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  <c r="BY371" s="53"/>
      <c r="BZ371" s="53"/>
    </row>
    <row r="372" spans="1:78" x14ac:dyDescent="0.35">
      <c r="A372" s="53"/>
      <c r="B372" s="53"/>
      <c r="C372" s="55"/>
      <c r="D372" s="53"/>
      <c r="E372" s="53"/>
      <c r="F372" s="149" t="s">
        <v>637</v>
      </c>
      <c r="G372" s="150">
        <v>17</v>
      </c>
      <c r="H372" s="150">
        <v>0</v>
      </c>
      <c r="I372" s="151">
        <v>0</v>
      </c>
      <c r="J372" s="151"/>
      <c r="K372" s="151">
        <v>0</v>
      </c>
      <c r="L372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63"/>
      <c r="AI372" s="64"/>
      <c r="AJ372" s="65"/>
      <c r="AK372" s="65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  <c r="BY372" s="53"/>
      <c r="BZ372" s="53"/>
    </row>
    <row r="373" spans="1:78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48">
        <v>7</v>
      </c>
      <c r="J373" s="148"/>
      <c r="K373" s="148">
        <v>7</v>
      </c>
      <c r="L37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63"/>
      <c r="AI373" s="64"/>
      <c r="AJ373" s="65"/>
      <c r="AK373" s="65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  <c r="BY373" s="53"/>
      <c r="BZ373" s="53"/>
    </row>
    <row r="374" spans="1:78" x14ac:dyDescent="0.35">
      <c r="A374" s="53"/>
      <c r="B374" s="53"/>
      <c r="C374" s="55"/>
      <c r="D374" s="53"/>
      <c r="E374" s="53"/>
      <c r="F374" s="149" t="s">
        <v>1352</v>
      </c>
      <c r="G374" s="125">
        <v>200</v>
      </c>
      <c r="H374" s="125">
        <v>400</v>
      </c>
      <c r="I374" s="148">
        <v>2</v>
      </c>
      <c r="J374" s="148"/>
      <c r="K374" s="148">
        <v>2</v>
      </c>
      <c r="L374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63"/>
      <c r="AI374" s="64"/>
      <c r="AJ374" s="65"/>
      <c r="AK374" s="65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  <c r="BY374" s="53"/>
      <c r="BZ374" s="53"/>
    </row>
    <row r="375" spans="1:78" x14ac:dyDescent="0.35">
      <c r="A375" s="53"/>
      <c r="B375" s="53"/>
      <c r="C375" s="55"/>
      <c r="D375" s="53"/>
      <c r="E375" s="53"/>
      <c r="F375" s="149" t="s">
        <v>1171</v>
      </c>
      <c r="G375" s="125">
        <v>207.53</v>
      </c>
      <c r="H375" s="125">
        <v>0</v>
      </c>
      <c r="I375" s="148">
        <v>0</v>
      </c>
      <c r="J375" s="148"/>
      <c r="K375" s="148">
        <v>0</v>
      </c>
      <c r="L375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63"/>
      <c r="AI375" s="64"/>
      <c r="AJ375" s="65"/>
      <c r="AK375" s="65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  <c r="BY375" s="53"/>
      <c r="BZ375" s="53"/>
    </row>
    <row r="376" spans="1:78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33751.810000000005</v>
      </c>
      <c r="I376" s="148">
        <v>257</v>
      </c>
      <c r="J376" s="148"/>
      <c r="K376" s="148">
        <v>257</v>
      </c>
      <c r="L376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63"/>
      <c r="AI376" s="64"/>
      <c r="AJ376" s="65"/>
      <c r="AK376" s="65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  <c r="BY376" s="53"/>
      <c r="BZ376" s="53"/>
    </row>
    <row r="377" spans="1:78" x14ac:dyDescent="0.35">
      <c r="A377" s="53"/>
      <c r="B377" s="53"/>
      <c r="C377" s="55"/>
      <c r="D377" s="53"/>
      <c r="E377" s="53"/>
      <c r="F377" s="149" t="s">
        <v>639</v>
      </c>
      <c r="G377" s="125">
        <v>460</v>
      </c>
      <c r="H377" s="125">
        <v>0</v>
      </c>
      <c r="I377" s="148">
        <v>0</v>
      </c>
      <c r="J377" s="148"/>
      <c r="K377" s="148">
        <v>0</v>
      </c>
      <c r="L377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63"/>
      <c r="AI377" s="64"/>
      <c r="AJ377" s="65"/>
      <c r="AK377" s="65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  <c r="BY377" s="53"/>
      <c r="BZ377" s="53"/>
    </row>
    <row r="378" spans="1:78" x14ac:dyDescent="0.35">
      <c r="A378" s="53"/>
      <c r="B378" s="53"/>
      <c r="C378" s="55"/>
      <c r="D378" s="53"/>
      <c r="E378" s="53"/>
      <c r="F378" s="149" t="s">
        <v>1172</v>
      </c>
      <c r="G378" s="125">
        <v>395</v>
      </c>
      <c r="H378" s="125">
        <v>395</v>
      </c>
      <c r="I378" s="148">
        <v>1</v>
      </c>
      <c r="J378" s="148"/>
      <c r="K378" s="148">
        <v>1</v>
      </c>
      <c r="L378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63"/>
      <c r="AI378" s="64"/>
      <c r="AJ378" s="65"/>
      <c r="AK378" s="65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  <c r="BY378" s="53"/>
      <c r="BZ378" s="53"/>
    </row>
    <row r="379" spans="1:78" x14ac:dyDescent="0.35">
      <c r="A379" s="53"/>
      <c r="B379" s="53"/>
      <c r="C379" s="55"/>
      <c r="D379" s="53"/>
      <c r="E379" s="53"/>
      <c r="F379" s="149" t="s">
        <v>641</v>
      </c>
      <c r="G379" s="125"/>
      <c r="H379" s="125">
        <v>0</v>
      </c>
      <c r="I379" s="148">
        <v>0</v>
      </c>
      <c r="J379" s="148"/>
      <c r="K379" s="148">
        <v>0</v>
      </c>
      <c r="L379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63"/>
      <c r="AI379" s="64"/>
      <c r="AJ379" s="65"/>
      <c r="AK379" s="65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  <c r="BY379" s="53"/>
      <c r="BZ379" s="53"/>
    </row>
    <row r="380" spans="1:78" x14ac:dyDescent="0.35">
      <c r="A380" s="53"/>
      <c r="B380" s="53"/>
      <c r="C380" s="55"/>
      <c r="D380" s="53"/>
      <c r="E380" s="53"/>
      <c r="F380" s="149" t="s">
        <v>1266</v>
      </c>
      <c r="G380" s="125">
        <v>80.739999999999995</v>
      </c>
      <c r="H380" s="125">
        <v>161.47999999999999</v>
      </c>
      <c r="I380" s="148">
        <v>2</v>
      </c>
      <c r="J380" s="148"/>
      <c r="K380" s="148">
        <v>2</v>
      </c>
      <c r="L380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63"/>
      <c r="AI380" s="64"/>
      <c r="AJ380" s="65"/>
      <c r="AK380" s="65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  <c r="BY380" s="53"/>
      <c r="BZ380" s="53"/>
    </row>
    <row r="381" spans="1:78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48">
        <v>2</v>
      </c>
      <c r="J381" s="148"/>
      <c r="K381" s="148">
        <v>2</v>
      </c>
      <c r="L381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63"/>
      <c r="AI381" s="64"/>
      <c r="AJ381" s="65"/>
      <c r="AK381" s="65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  <c r="BY381" s="53"/>
      <c r="BZ381" s="53"/>
    </row>
    <row r="382" spans="1:78" x14ac:dyDescent="0.35">
      <c r="A382" s="53"/>
      <c r="B382" s="53"/>
      <c r="C382" s="55"/>
      <c r="D382" s="53"/>
      <c r="E382" s="53"/>
      <c r="F382" s="149" t="s">
        <v>643</v>
      </c>
      <c r="G382" s="125"/>
      <c r="H382" s="125">
        <v>0</v>
      </c>
      <c r="I382" s="148">
        <v>1</v>
      </c>
      <c r="J382" s="148"/>
      <c r="K382" s="148">
        <v>1</v>
      </c>
      <c r="L382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63"/>
      <c r="AI382" s="64"/>
      <c r="AJ382" s="65"/>
      <c r="AK382" s="65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  <c r="BY382" s="53"/>
      <c r="BZ382" s="53"/>
    </row>
    <row r="383" spans="1:78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48">
        <v>0</v>
      </c>
      <c r="J383" s="148"/>
      <c r="K383" s="148">
        <v>0</v>
      </c>
      <c r="L38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63"/>
      <c r="AI383" s="64"/>
      <c r="AJ383" s="65"/>
      <c r="AK383" s="65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  <c r="BY383" s="53"/>
      <c r="BZ383" s="53"/>
    </row>
    <row r="384" spans="1:78" x14ac:dyDescent="0.35">
      <c r="A384" s="53"/>
      <c r="B384" s="53"/>
      <c r="C384" s="55"/>
      <c r="D384" s="53"/>
      <c r="E384" s="53"/>
      <c r="F384" s="149" t="s">
        <v>648</v>
      </c>
      <c r="G384" s="125">
        <v>530</v>
      </c>
      <c r="H384" s="125">
        <v>0</v>
      </c>
      <c r="I384" s="148">
        <v>0</v>
      </c>
      <c r="J384" s="148"/>
      <c r="K384" s="148">
        <v>0</v>
      </c>
      <c r="L384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63"/>
      <c r="AI384" s="64"/>
      <c r="AJ384" s="65"/>
      <c r="AK384" s="65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  <c r="BY384" s="53"/>
      <c r="BZ384" s="53"/>
    </row>
    <row r="385" spans="1:78" x14ac:dyDescent="0.35">
      <c r="A385" s="53"/>
      <c r="B385" s="53"/>
      <c r="C385" s="55"/>
      <c r="D385" s="53"/>
      <c r="E385" s="53"/>
      <c r="F385" s="149" t="s">
        <v>645</v>
      </c>
      <c r="G385" s="125">
        <v>1775</v>
      </c>
      <c r="H385" s="125">
        <v>1775</v>
      </c>
      <c r="I385" s="148">
        <v>1</v>
      </c>
      <c r="J385" s="148"/>
      <c r="K385" s="148">
        <v>1</v>
      </c>
      <c r="L385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63"/>
      <c r="AI385" s="64"/>
      <c r="AJ385" s="65"/>
      <c r="AK385" s="65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  <c r="BY385" s="53"/>
      <c r="BZ385" s="53"/>
    </row>
    <row r="386" spans="1:78" x14ac:dyDescent="0.35">
      <c r="A386" s="53"/>
      <c r="B386" s="53"/>
      <c r="C386" s="55"/>
      <c r="D386" s="53"/>
      <c r="E386" s="53"/>
      <c r="F386" s="149" t="s">
        <v>650</v>
      </c>
      <c r="G386" s="125">
        <v>875.72</v>
      </c>
      <c r="H386" s="125">
        <v>0</v>
      </c>
      <c r="I386" s="148">
        <v>0</v>
      </c>
      <c r="J386" s="148"/>
      <c r="K386" s="148">
        <v>0</v>
      </c>
      <c r="L386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63"/>
      <c r="AI386" s="64"/>
      <c r="AJ386" s="65"/>
      <c r="AK386" s="65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  <c r="BY386" s="53"/>
      <c r="BZ386" s="53"/>
    </row>
    <row r="387" spans="1:78" x14ac:dyDescent="0.35">
      <c r="A387" s="53"/>
      <c r="B387" s="53"/>
      <c r="C387" s="55"/>
      <c r="D387" s="53"/>
      <c r="E387" s="53"/>
      <c r="F387" s="149" t="s">
        <v>1269</v>
      </c>
      <c r="G387" s="125"/>
      <c r="H387" s="125">
        <v>0</v>
      </c>
      <c r="I387" s="148">
        <v>0</v>
      </c>
      <c r="J387" s="148"/>
      <c r="K387" s="148">
        <v>0</v>
      </c>
      <c r="L387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63"/>
      <c r="AI387" s="64"/>
      <c r="AJ387" s="65"/>
      <c r="AK387" s="65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  <c r="BY387" s="53"/>
      <c r="BZ387" s="53"/>
    </row>
    <row r="388" spans="1:78" x14ac:dyDescent="0.35">
      <c r="A388" s="53"/>
      <c r="B388" s="53"/>
      <c r="C388" s="55"/>
      <c r="D388" s="53"/>
      <c r="E388" s="53"/>
      <c r="F388" s="149" t="s">
        <v>653</v>
      </c>
      <c r="G388" s="125">
        <v>975</v>
      </c>
      <c r="H388" s="125">
        <v>0</v>
      </c>
      <c r="I388" s="148">
        <v>0</v>
      </c>
      <c r="J388" s="148"/>
      <c r="K388" s="148">
        <v>0</v>
      </c>
      <c r="L388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63"/>
      <c r="AI388" s="64"/>
      <c r="AJ388" s="65"/>
      <c r="AK388" s="65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  <c r="BY388" s="53"/>
      <c r="BZ388" s="53"/>
    </row>
    <row r="389" spans="1:78" x14ac:dyDescent="0.35">
      <c r="A389" s="53"/>
      <c r="B389" s="53"/>
      <c r="C389" s="55"/>
      <c r="D389" s="53"/>
      <c r="E389" s="53"/>
      <c r="F389" s="149" t="s">
        <v>656</v>
      </c>
      <c r="G389" s="125"/>
      <c r="H389" s="125">
        <v>0</v>
      </c>
      <c r="I389" s="148">
        <v>0</v>
      </c>
      <c r="J389" s="148"/>
      <c r="K389" s="148">
        <v>0</v>
      </c>
      <c r="L389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63"/>
      <c r="AI389" s="64"/>
      <c r="AJ389" s="65"/>
      <c r="AK389" s="65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  <c r="BY389" s="53"/>
      <c r="BZ389" s="53"/>
    </row>
    <row r="390" spans="1:78" x14ac:dyDescent="0.35">
      <c r="A390" s="53"/>
      <c r="B390" s="53"/>
      <c r="C390" s="55"/>
      <c r="D390" s="53"/>
      <c r="E390" s="53"/>
      <c r="F390" s="149" t="s">
        <v>660</v>
      </c>
      <c r="G390" s="125">
        <v>1323</v>
      </c>
      <c r="H390" s="125">
        <v>0</v>
      </c>
      <c r="I390" s="148">
        <v>0</v>
      </c>
      <c r="J390" s="148"/>
      <c r="K390" s="148">
        <v>0</v>
      </c>
      <c r="L390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63"/>
      <c r="AI390" s="64"/>
      <c r="AJ390" s="65"/>
      <c r="AK390" s="65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  <c r="BY390" s="53"/>
      <c r="BZ390" s="53"/>
    </row>
    <row r="391" spans="1:78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48">
        <v>0</v>
      </c>
      <c r="J391" s="148"/>
      <c r="K391" s="148">
        <v>0</v>
      </c>
      <c r="L391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63"/>
      <c r="AI391" s="64"/>
      <c r="AJ391" s="65"/>
      <c r="AK391" s="65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  <c r="BY391" s="53"/>
      <c r="BZ391" s="53"/>
    </row>
    <row r="392" spans="1:78" x14ac:dyDescent="0.35">
      <c r="A392" s="53"/>
      <c r="B392" s="53"/>
      <c r="C392" s="55"/>
      <c r="D392" s="53"/>
      <c r="E392" s="53"/>
      <c r="F392" s="149" t="s">
        <v>666</v>
      </c>
      <c r="G392" s="125"/>
      <c r="H392" s="125">
        <v>0</v>
      </c>
      <c r="I392" s="148">
        <v>0</v>
      </c>
      <c r="J392" s="148"/>
      <c r="K392" s="148">
        <v>0</v>
      </c>
      <c r="L392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63"/>
      <c r="AI392" s="64"/>
      <c r="AJ392" s="65"/>
      <c r="AK392" s="65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  <c r="BY392" s="53"/>
      <c r="BZ392" s="53"/>
    </row>
    <row r="393" spans="1:78" x14ac:dyDescent="0.35">
      <c r="A393" s="53"/>
      <c r="B393" s="53"/>
      <c r="C393" s="55"/>
      <c r="D393" s="53"/>
      <c r="E393" s="53"/>
      <c r="F393" s="149" t="s">
        <v>663</v>
      </c>
      <c r="G393" s="125">
        <v>1348</v>
      </c>
      <c r="H393" s="125">
        <v>0</v>
      </c>
      <c r="I393" s="148">
        <v>0</v>
      </c>
      <c r="J393" s="148"/>
      <c r="K393" s="148">
        <v>0</v>
      </c>
      <c r="L39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63"/>
      <c r="AI393" s="64"/>
      <c r="AJ393" s="65"/>
      <c r="AK393" s="65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  <c r="BY393" s="53"/>
      <c r="BZ393" s="53"/>
    </row>
    <row r="394" spans="1:78" x14ac:dyDescent="0.35">
      <c r="A394" s="53"/>
      <c r="B394" s="53"/>
      <c r="C394" s="55"/>
      <c r="D394" s="53"/>
      <c r="E394" s="53"/>
      <c r="F394" s="149" t="s">
        <v>668</v>
      </c>
      <c r="G394" s="125">
        <v>3000</v>
      </c>
      <c r="H394" s="125">
        <v>12000</v>
      </c>
      <c r="I394" s="148">
        <v>4</v>
      </c>
      <c r="J394" s="148"/>
      <c r="K394" s="148">
        <v>4</v>
      </c>
      <c r="L394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63"/>
      <c r="AI394" s="64"/>
      <c r="AJ394" s="65"/>
      <c r="AK394" s="65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  <c r="BY394" s="53"/>
      <c r="BZ394" s="53"/>
    </row>
    <row r="395" spans="1:78" x14ac:dyDescent="0.35">
      <c r="A395" s="53"/>
      <c r="B395" s="53"/>
      <c r="C395" s="55"/>
      <c r="D395" s="53"/>
      <c r="E395" s="53"/>
      <c r="F395" s="149" t="s">
        <v>1173</v>
      </c>
      <c r="G395" s="125">
        <v>1094.81</v>
      </c>
      <c r="H395" s="125">
        <v>0</v>
      </c>
      <c r="I395" s="148">
        <v>0</v>
      </c>
      <c r="J395" s="148"/>
      <c r="K395" s="148">
        <v>0</v>
      </c>
      <c r="L395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63"/>
      <c r="AI395" s="64"/>
      <c r="AJ395" s="65"/>
      <c r="AK395" s="65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  <c r="BY395" s="53"/>
      <c r="BZ395" s="53"/>
    </row>
    <row r="396" spans="1:78" x14ac:dyDescent="0.35">
      <c r="A396" s="53"/>
      <c r="B396" s="53"/>
      <c r="C396" s="55"/>
      <c r="D396" s="53"/>
      <c r="E396" s="53"/>
      <c r="F396" s="149" t="s">
        <v>1174</v>
      </c>
      <c r="G396" s="125"/>
      <c r="H396" s="125">
        <v>0</v>
      </c>
      <c r="I396" s="148">
        <v>0</v>
      </c>
      <c r="J396" s="148"/>
      <c r="K396" s="148">
        <v>0</v>
      </c>
      <c r="L396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63"/>
      <c r="AI396" s="64"/>
      <c r="AJ396" s="65"/>
      <c r="AK396" s="65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  <c r="BY396" s="53"/>
      <c r="BZ396" s="53"/>
    </row>
    <row r="397" spans="1:78" x14ac:dyDescent="0.35">
      <c r="A397" s="53"/>
      <c r="B397" s="53"/>
      <c r="C397" s="55"/>
      <c r="D397" s="53"/>
      <c r="E397" s="53"/>
      <c r="F397" s="149" t="s">
        <v>670</v>
      </c>
      <c r="G397" s="125">
        <v>5138.74</v>
      </c>
      <c r="H397" s="125">
        <v>0</v>
      </c>
      <c r="I397" s="148">
        <v>0</v>
      </c>
      <c r="J397" s="148"/>
      <c r="K397" s="148">
        <v>0</v>
      </c>
      <c r="L397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63"/>
      <c r="AI397" s="64"/>
      <c r="AJ397" s="65"/>
      <c r="AK397" s="65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  <c r="BY397" s="53"/>
      <c r="BZ397" s="53"/>
    </row>
    <row r="398" spans="1:78" x14ac:dyDescent="0.35">
      <c r="A398" s="53"/>
      <c r="B398" s="53"/>
      <c r="C398" s="55"/>
      <c r="D398" s="53"/>
      <c r="E398" s="53"/>
      <c r="F398" s="149" t="s">
        <v>1175</v>
      </c>
      <c r="G398" s="125">
        <v>3961.71</v>
      </c>
      <c r="H398" s="125">
        <v>7923.42</v>
      </c>
      <c r="I398" s="148">
        <v>2</v>
      </c>
      <c r="J398" s="148"/>
      <c r="K398" s="148">
        <v>2</v>
      </c>
      <c r="L398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63"/>
      <c r="AI398" s="64"/>
      <c r="AJ398" s="65"/>
      <c r="AK398" s="65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  <c r="BY398" s="53"/>
      <c r="BZ398" s="53"/>
    </row>
    <row r="399" spans="1:78" x14ac:dyDescent="0.35">
      <c r="A399" s="53"/>
      <c r="B399" s="53"/>
      <c r="C399" s="55"/>
      <c r="D399" s="53"/>
      <c r="E399" s="53"/>
      <c r="F399" s="149" t="s">
        <v>672</v>
      </c>
      <c r="G399" s="125"/>
      <c r="H399" s="125">
        <v>0</v>
      </c>
      <c r="I399" s="148">
        <v>0</v>
      </c>
      <c r="J399" s="148"/>
      <c r="K399" s="148">
        <v>0</v>
      </c>
      <c r="L399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63"/>
      <c r="AI399" s="64"/>
      <c r="AJ399" s="65"/>
      <c r="AK399" s="65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  <c r="BY399" s="53"/>
      <c r="BZ399" s="53"/>
    </row>
    <row r="400" spans="1:78" x14ac:dyDescent="0.35">
      <c r="A400" s="53"/>
      <c r="B400" s="53"/>
      <c r="C400" s="55"/>
      <c r="D400" s="53"/>
      <c r="E400" s="53"/>
      <c r="F400" s="149" t="s">
        <v>675</v>
      </c>
      <c r="G400" s="125"/>
      <c r="H400" s="125">
        <v>0</v>
      </c>
      <c r="I400" s="148">
        <v>0</v>
      </c>
      <c r="J400" s="148"/>
      <c r="K400" s="148">
        <v>0</v>
      </c>
      <c r="L400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63"/>
      <c r="AI400" s="64"/>
      <c r="AJ400" s="65"/>
      <c r="AK400" s="65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  <c r="BY400" s="53"/>
      <c r="BZ400" s="53"/>
    </row>
    <row r="401" spans="1:78" x14ac:dyDescent="0.35">
      <c r="A401" s="53"/>
      <c r="B401" s="53"/>
      <c r="C401" s="55"/>
      <c r="D401" s="53"/>
      <c r="E401" s="53"/>
      <c r="F401" s="149" t="s">
        <v>1176</v>
      </c>
      <c r="G401" s="125">
        <v>711.31</v>
      </c>
      <c r="H401" s="125">
        <v>711.31</v>
      </c>
      <c r="I401" s="148">
        <v>1</v>
      </c>
      <c r="J401" s="148"/>
      <c r="K401" s="148">
        <v>1</v>
      </c>
      <c r="L401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63"/>
      <c r="AI401" s="64"/>
      <c r="AJ401" s="65"/>
      <c r="AK401" s="65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  <c r="BY401" s="53"/>
      <c r="BZ401" s="53"/>
    </row>
    <row r="402" spans="1:78" x14ac:dyDescent="0.35">
      <c r="A402" s="53"/>
      <c r="B402" s="53"/>
      <c r="C402" s="55"/>
      <c r="D402" s="53"/>
      <c r="E402" s="53"/>
      <c r="F402" s="149" t="s">
        <v>1270</v>
      </c>
      <c r="G402" s="125">
        <v>1692.44</v>
      </c>
      <c r="H402" s="125">
        <v>5077.32</v>
      </c>
      <c r="I402" s="148">
        <v>3</v>
      </c>
      <c r="J402" s="148"/>
      <c r="K402" s="148">
        <v>3</v>
      </c>
      <c r="L402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63"/>
      <c r="AI402" s="64"/>
      <c r="AJ402" s="65"/>
      <c r="AK402" s="65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  <c r="BY402" s="53"/>
      <c r="BZ402" s="53"/>
    </row>
    <row r="403" spans="1:78" x14ac:dyDescent="0.35">
      <c r="A403" s="53"/>
      <c r="B403" s="53"/>
      <c r="C403" s="55"/>
      <c r="D403" s="53"/>
      <c r="E403" s="53"/>
      <c r="F403" s="149" t="s">
        <v>677</v>
      </c>
      <c r="G403" s="125"/>
      <c r="H403" s="125">
        <v>0</v>
      </c>
      <c r="I403" s="148">
        <v>0</v>
      </c>
      <c r="J403" s="148"/>
      <c r="K403" s="148">
        <v>0</v>
      </c>
      <c r="L40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63"/>
      <c r="AI403" s="64"/>
      <c r="AJ403" s="65"/>
      <c r="AK403" s="65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  <c r="BY403" s="53"/>
      <c r="BZ403" s="53"/>
    </row>
    <row r="404" spans="1:78" x14ac:dyDescent="0.35">
      <c r="A404" s="53"/>
      <c r="B404" s="53"/>
      <c r="C404" s="55"/>
      <c r="D404" s="53"/>
      <c r="E404" s="53"/>
      <c r="F404" s="149" t="s">
        <v>1177</v>
      </c>
      <c r="G404" s="125">
        <v>1030.18</v>
      </c>
      <c r="H404" s="125">
        <v>0</v>
      </c>
      <c r="I404" s="148">
        <v>0</v>
      </c>
      <c r="J404" s="148"/>
      <c r="K404" s="148">
        <v>0</v>
      </c>
      <c r="L404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63"/>
      <c r="AI404" s="64"/>
      <c r="AJ404" s="65"/>
      <c r="AK404" s="65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  <c r="BY404" s="53"/>
      <c r="BZ404" s="53"/>
    </row>
    <row r="405" spans="1:78" x14ac:dyDescent="0.35">
      <c r="A405" s="53"/>
      <c r="B405" s="53"/>
      <c r="C405" s="55"/>
      <c r="D405" s="53"/>
      <c r="E405" s="53"/>
      <c r="F405" s="149" t="s">
        <v>1271</v>
      </c>
      <c r="G405" s="125"/>
      <c r="H405" s="125">
        <v>0</v>
      </c>
      <c r="I405" s="148">
        <v>0</v>
      </c>
      <c r="J405" s="148"/>
      <c r="K405" s="148">
        <v>0</v>
      </c>
      <c r="L405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63"/>
      <c r="AI405" s="64"/>
      <c r="AJ405" s="65"/>
      <c r="AK405" s="65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  <c r="BY405" s="53"/>
      <c r="BZ405" s="53"/>
    </row>
    <row r="406" spans="1:78" x14ac:dyDescent="0.35">
      <c r="A406" s="53"/>
      <c r="B406" s="53"/>
      <c r="C406" s="55"/>
      <c r="D406" s="53"/>
      <c r="E406" s="53"/>
      <c r="F406" s="149" t="s">
        <v>679</v>
      </c>
      <c r="G406" s="125">
        <v>1843.48</v>
      </c>
      <c r="H406" s="125">
        <v>0</v>
      </c>
      <c r="I406" s="148">
        <v>0</v>
      </c>
      <c r="J406" s="148"/>
      <c r="K406" s="148">
        <v>0</v>
      </c>
      <c r="L406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63"/>
      <c r="AI406" s="64"/>
      <c r="AJ406" s="65"/>
      <c r="AK406" s="65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  <c r="BY406" s="53"/>
      <c r="BZ406" s="53"/>
    </row>
    <row r="407" spans="1:78" x14ac:dyDescent="0.35">
      <c r="A407" s="53"/>
      <c r="B407" s="53"/>
      <c r="C407" s="55"/>
      <c r="D407" s="53"/>
      <c r="E407" s="53"/>
      <c r="F407" s="149" t="s">
        <v>681</v>
      </c>
      <c r="G407" s="125">
        <v>1833</v>
      </c>
      <c r="H407" s="125">
        <v>10998</v>
      </c>
      <c r="I407" s="148">
        <v>6</v>
      </c>
      <c r="J407" s="148"/>
      <c r="K407" s="148">
        <v>6</v>
      </c>
      <c r="L407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63"/>
      <c r="AI407" s="64"/>
      <c r="AJ407" s="65"/>
      <c r="AK407" s="65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  <c r="BY407" s="53"/>
      <c r="BZ407" s="53"/>
    </row>
    <row r="408" spans="1:78" x14ac:dyDescent="0.35">
      <c r="A408" s="53"/>
      <c r="B408" s="53"/>
      <c r="C408" s="55"/>
      <c r="D408" s="53"/>
      <c r="E408" s="53"/>
      <c r="F408" s="149" t="s">
        <v>684</v>
      </c>
      <c r="G408" s="125">
        <v>2782.61</v>
      </c>
      <c r="H408" s="125">
        <v>19478.27</v>
      </c>
      <c r="I408" s="148">
        <v>7</v>
      </c>
      <c r="J408" s="148"/>
      <c r="K408" s="148">
        <v>7</v>
      </c>
      <c r="L408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63"/>
      <c r="AI408" s="64"/>
      <c r="AJ408" s="65"/>
      <c r="AK408" s="65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  <c r="BY408" s="53"/>
      <c r="BZ408" s="53"/>
    </row>
    <row r="409" spans="1:78" x14ac:dyDescent="0.35">
      <c r="A409" s="53"/>
      <c r="B409" s="53"/>
      <c r="C409" s="55"/>
      <c r="D409" s="53"/>
      <c r="E409" s="53"/>
      <c r="F409" s="149" t="s">
        <v>686</v>
      </c>
      <c r="G409" s="125"/>
      <c r="H409" s="125">
        <v>0</v>
      </c>
      <c r="I409" s="148">
        <v>0</v>
      </c>
      <c r="J409" s="148"/>
      <c r="K409" s="148">
        <v>0</v>
      </c>
      <c r="L409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63"/>
      <c r="AI409" s="64"/>
      <c r="AJ409" s="65"/>
      <c r="AK409" s="65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  <c r="BY409" s="53"/>
      <c r="BZ409" s="53"/>
    </row>
    <row r="410" spans="1:78" x14ac:dyDescent="0.35">
      <c r="A410" s="53"/>
      <c r="B410" s="53"/>
      <c r="C410" s="55"/>
      <c r="D410" s="53"/>
      <c r="E410" s="53"/>
      <c r="F410" s="149" t="s">
        <v>1170</v>
      </c>
      <c r="G410" s="125">
        <v>122.16</v>
      </c>
      <c r="H410" s="125">
        <v>244.32</v>
      </c>
      <c r="I410" s="148">
        <v>2</v>
      </c>
      <c r="J410" s="148"/>
      <c r="K410" s="148">
        <v>2</v>
      </c>
      <c r="L410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63"/>
      <c r="AI410" s="64"/>
      <c r="AJ410" s="65"/>
      <c r="AK410" s="65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  <c r="BY410" s="53"/>
      <c r="BZ410" s="53"/>
    </row>
    <row r="411" spans="1:78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48">
        <v>0</v>
      </c>
      <c r="J411" s="148"/>
      <c r="K411" s="148">
        <v>0</v>
      </c>
      <c r="L411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63"/>
      <c r="AI411" s="64"/>
      <c r="AJ411" s="65"/>
      <c r="AK411" s="65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  <c r="BY411" s="53"/>
      <c r="BZ411" s="53"/>
    </row>
    <row r="412" spans="1:78" x14ac:dyDescent="0.35">
      <c r="A412" s="53"/>
      <c r="B412" s="53"/>
      <c r="C412" s="55"/>
      <c r="D412" s="53"/>
      <c r="E412" s="53"/>
      <c r="F412" s="149" t="s">
        <v>603</v>
      </c>
      <c r="G412" s="125"/>
      <c r="H412" s="125">
        <v>0</v>
      </c>
      <c r="I412" s="148">
        <v>0</v>
      </c>
      <c r="J412" s="148"/>
      <c r="K412" s="148">
        <v>0</v>
      </c>
      <c r="L412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63"/>
      <c r="AI412" s="64"/>
      <c r="AJ412" s="65"/>
      <c r="AK412" s="65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  <c r="BY412" s="53"/>
      <c r="BZ412" s="53"/>
    </row>
    <row r="413" spans="1:78" x14ac:dyDescent="0.35">
      <c r="A413" s="53"/>
      <c r="B413" s="53"/>
      <c r="C413" s="55"/>
      <c r="D413" s="53"/>
      <c r="E413" s="53"/>
      <c r="F413" s="149" t="s">
        <v>690</v>
      </c>
      <c r="G413" s="125">
        <v>12.78</v>
      </c>
      <c r="H413" s="125">
        <v>63.9</v>
      </c>
      <c r="I413" s="148">
        <v>5</v>
      </c>
      <c r="J413" s="148"/>
      <c r="K413" s="148">
        <v>5</v>
      </c>
      <c r="L41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63"/>
      <c r="AI413" s="64"/>
      <c r="AJ413" s="65"/>
      <c r="AK413" s="65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  <c r="BY413" s="53"/>
      <c r="BZ413" s="53"/>
    </row>
    <row r="414" spans="1:78" x14ac:dyDescent="0.35">
      <c r="A414" s="53"/>
      <c r="B414" s="53"/>
      <c r="C414" s="55"/>
      <c r="D414" s="53"/>
      <c r="E414" s="53"/>
      <c r="F414" s="149" t="s">
        <v>1353</v>
      </c>
      <c r="G414" s="125"/>
      <c r="H414" s="125">
        <v>0</v>
      </c>
      <c r="I414" s="148">
        <v>0</v>
      </c>
      <c r="J414" s="148"/>
      <c r="K414" s="148">
        <v>0</v>
      </c>
      <c r="L414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63"/>
      <c r="AI414" s="64"/>
      <c r="AJ414" s="65"/>
      <c r="AK414" s="65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  <c r="BY414" s="53"/>
      <c r="BZ414" s="53"/>
    </row>
    <row r="415" spans="1:78" x14ac:dyDescent="0.35">
      <c r="A415" s="53"/>
      <c r="B415" s="53"/>
      <c r="C415" s="55"/>
      <c r="D415" s="53"/>
      <c r="E415" s="53"/>
      <c r="F415" s="149" t="s">
        <v>1337</v>
      </c>
      <c r="G415" s="125"/>
      <c r="H415" s="125">
        <v>0</v>
      </c>
      <c r="I415" s="148">
        <v>0</v>
      </c>
      <c r="J415" s="148"/>
      <c r="K415" s="148">
        <v>0</v>
      </c>
      <c r="L415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63"/>
      <c r="AI415" s="64"/>
      <c r="AJ415" s="65"/>
      <c r="AK415" s="65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  <c r="BY415" s="53"/>
      <c r="BZ415" s="53"/>
    </row>
    <row r="416" spans="1:78" x14ac:dyDescent="0.35">
      <c r="A416" s="53"/>
      <c r="B416" s="53"/>
      <c r="C416" s="55"/>
      <c r="D416" s="53"/>
      <c r="E416" s="53"/>
      <c r="F416" s="149" t="s">
        <v>1338</v>
      </c>
      <c r="G416" s="125">
        <v>5125.82</v>
      </c>
      <c r="H416" s="125">
        <v>10251.64</v>
      </c>
      <c r="I416" s="148">
        <v>2</v>
      </c>
      <c r="J416" s="148"/>
      <c r="K416" s="148">
        <v>2</v>
      </c>
      <c r="L416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63"/>
      <c r="AI416" s="64"/>
      <c r="AJ416" s="65"/>
      <c r="AK416" s="65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  <c r="BY416" s="53"/>
      <c r="BZ416" s="53"/>
    </row>
    <row r="417" spans="1:78" x14ac:dyDescent="0.35">
      <c r="A417" s="53"/>
      <c r="B417" s="53"/>
      <c r="C417" s="55"/>
      <c r="D417" s="53"/>
      <c r="E417" s="53"/>
      <c r="F417" s="149" t="s">
        <v>1169</v>
      </c>
      <c r="G417" s="125"/>
      <c r="H417" s="125">
        <v>0</v>
      </c>
      <c r="I417" s="148">
        <v>0</v>
      </c>
      <c r="J417" s="148"/>
      <c r="K417" s="148">
        <v>0</v>
      </c>
      <c r="L417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63"/>
      <c r="AI417" s="64"/>
      <c r="AJ417" s="65"/>
      <c r="AK417" s="65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  <c r="BY417" s="53"/>
      <c r="BZ417" s="53"/>
    </row>
    <row r="418" spans="1:78" x14ac:dyDescent="0.35">
      <c r="A418" s="53"/>
      <c r="B418" s="53"/>
      <c r="C418" s="55"/>
      <c r="D418" s="53"/>
      <c r="E418" s="53"/>
      <c r="F418" s="149" t="s">
        <v>693</v>
      </c>
      <c r="G418" s="125">
        <v>458.22</v>
      </c>
      <c r="H418" s="125">
        <v>916.44</v>
      </c>
      <c r="I418" s="148">
        <v>2</v>
      </c>
      <c r="J418" s="148"/>
      <c r="K418" s="148">
        <v>2</v>
      </c>
      <c r="L418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63"/>
      <c r="AI418" s="64"/>
      <c r="AJ418" s="65"/>
      <c r="AK418" s="65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  <c r="BY418" s="53"/>
      <c r="BZ418" s="53"/>
    </row>
    <row r="419" spans="1:78" x14ac:dyDescent="0.35">
      <c r="A419" s="53"/>
      <c r="B419" s="53"/>
      <c r="C419" s="55"/>
      <c r="D419" s="53"/>
      <c r="E419" s="53"/>
      <c r="F419" s="149" t="s">
        <v>600</v>
      </c>
      <c r="G419" s="125">
        <v>205</v>
      </c>
      <c r="H419" s="125">
        <v>0</v>
      </c>
      <c r="I419" s="148">
        <v>0</v>
      </c>
      <c r="J419" s="148"/>
      <c r="K419" s="148">
        <v>0</v>
      </c>
      <c r="L419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63"/>
      <c r="AI419" s="64"/>
      <c r="AJ419" s="65"/>
      <c r="AK419" s="65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  <c r="BY419" s="53"/>
      <c r="BZ419" s="53"/>
    </row>
    <row r="420" spans="1:78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48">
        <v>150</v>
      </c>
      <c r="J420" s="148"/>
      <c r="K420" s="148">
        <v>150</v>
      </c>
      <c r="L420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63"/>
      <c r="AI420" s="64"/>
      <c r="AJ420" s="65"/>
      <c r="AK420" s="65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  <c r="BY420" s="53"/>
      <c r="BZ420" s="53"/>
    </row>
    <row r="421" spans="1:78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48">
        <v>1</v>
      </c>
      <c r="J421" s="148"/>
      <c r="K421" s="148">
        <v>1</v>
      </c>
      <c r="L421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63"/>
      <c r="AI421" s="64"/>
      <c r="AJ421" s="65"/>
      <c r="AK421" s="65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  <c r="BY421" s="53"/>
      <c r="BZ421" s="53"/>
    </row>
    <row r="422" spans="1:78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48">
        <v>1</v>
      </c>
      <c r="J422" s="148"/>
      <c r="K422" s="148">
        <v>1</v>
      </c>
      <c r="L422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63"/>
      <c r="AI422" s="64"/>
      <c r="AJ422" s="65"/>
      <c r="AK422" s="65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  <c r="BY422" s="53"/>
      <c r="BZ422" s="53"/>
    </row>
    <row r="423" spans="1:78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48">
        <v>0</v>
      </c>
      <c r="J423" s="148"/>
      <c r="K423" s="148">
        <v>0</v>
      </c>
      <c r="L42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63"/>
      <c r="AI423" s="64"/>
      <c r="AJ423" s="65"/>
      <c r="AK423" s="65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  <c r="BY423" s="53"/>
      <c r="BZ423" s="53"/>
    </row>
    <row r="424" spans="1:78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48">
        <v>0</v>
      </c>
      <c r="J424" s="148"/>
      <c r="K424" s="148">
        <v>0</v>
      </c>
      <c r="L424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63"/>
      <c r="AI424" s="64"/>
      <c r="AJ424" s="65"/>
      <c r="AK424" s="65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  <c r="BY424" s="53"/>
      <c r="BZ424" s="53"/>
    </row>
    <row r="425" spans="1:78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48">
        <v>0</v>
      </c>
      <c r="J425" s="148"/>
      <c r="K425" s="148">
        <v>0</v>
      </c>
      <c r="L425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63"/>
      <c r="AI425" s="64"/>
      <c r="AJ425" s="65"/>
      <c r="AK425" s="65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  <c r="BY425" s="53"/>
      <c r="BZ425" s="53"/>
    </row>
    <row r="426" spans="1:78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48">
        <v>5</v>
      </c>
      <c r="J426" s="148"/>
      <c r="K426" s="148">
        <v>5</v>
      </c>
      <c r="L426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63"/>
      <c r="AI426" s="64"/>
      <c r="AJ426" s="65"/>
      <c r="AK426" s="65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  <c r="BY426" s="53"/>
      <c r="BZ426" s="53"/>
    </row>
    <row r="427" spans="1:78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48">
        <v>3</v>
      </c>
      <c r="J427" s="148"/>
      <c r="K427" s="148">
        <v>3</v>
      </c>
      <c r="L427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63"/>
      <c r="AI427" s="64"/>
      <c r="AJ427" s="65"/>
      <c r="AK427" s="65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  <c r="BY427" s="53"/>
      <c r="BZ427" s="53"/>
    </row>
    <row r="428" spans="1:78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48">
        <v>0</v>
      </c>
      <c r="J428" s="148"/>
      <c r="K428" s="148">
        <v>0</v>
      </c>
      <c r="L428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63"/>
      <c r="AI428" s="64"/>
      <c r="AJ428" s="65"/>
      <c r="AK428" s="65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  <c r="BY428" s="53"/>
      <c r="BZ428" s="53"/>
    </row>
    <row r="429" spans="1:78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48">
        <v>1</v>
      </c>
      <c r="J429" s="148"/>
      <c r="K429" s="148">
        <v>1</v>
      </c>
      <c r="L429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63"/>
      <c r="AI429" s="64"/>
      <c r="AJ429" s="65"/>
      <c r="AK429" s="65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  <c r="BY429" s="53"/>
      <c r="BZ429" s="53"/>
    </row>
    <row r="430" spans="1:78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48">
        <v>1</v>
      </c>
      <c r="J430" s="148"/>
      <c r="K430" s="148">
        <v>1</v>
      </c>
      <c r="L430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63"/>
      <c r="AI430" s="64"/>
      <c r="AJ430" s="65"/>
      <c r="AK430" s="65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  <c r="BY430" s="53"/>
      <c r="BZ430" s="53"/>
    </row>
    <row r="431" spans="1:78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48">
        <v>4</v>
      </c>
      <c r="J431" s="148"/>
      <c r="K431" s="148">
        <v>4</v>
      </c>
      <c r="L431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63"/>
      <c r="AI431" s="64"/>
      <c r="AJ431" s="65"/>
      <c r="AK431" s="65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  <c r="BY431" s="53"/>
      <c r="BZ431" s="53"/>
    </row>
    <row r="432" spans="1:78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48">
        <v>0</v>
      </c>
      <c r="J432" s="148"/>
      <c r="K432" s="148">
        <v>0</v>
      </c>
      <c r="L432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63"/>
      <c r="AI432" s="64"/>
      <c r="AJ432" s="65"/>
      <c r="AK432" s="65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  <c r="BY432" s="53"/>
      <c r="BZ432" s="53"/>
    </row>
    <row r="433" spans="1:78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48">
        <v>0</v>
      </c>
      <c r="J433" s="148"/>
      <c r="K433" s="148">
        <v>0</v>
      </c>
      <c r="L43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63"/>
      <c r="AI433" s="64"/>
      <c r="AJ433" s="65"/>
      <c r="AK433" s="65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  <c r="BY433" s="53"/>
      <c r="BZ433" s="53"/>
    </row>
    <row r="434" spans="1:78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48">
        <v>0</v>
      </c>
      <c r="J434" s="148"/>
      <c r="K434" s="148">
        <v>0</v>
      </c>
      <c r="L434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63"/>
      <c r="AI434" s="64"/>
      <c r="AJ434" s="65"/>
      <c r="AK434" s="65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  <c r="BY434" s="53"/>
      <c r="BZ434" s="53"/>
    </row>
    <row r="435" spans="1:78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48">
        <v>0</v>
      </c>
      <c r="J435" s="148"/>
      <c r="K435" s="148">
        <v>0</v>
      </c>
      <c r="L435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63"/>
      <c r="AI435" s="64"/>
      <c r="AJ435" s="65"/>
      <c r="AK435" s="65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  <c r="BY435" s="53"/>
      <c r="BZ435" s="53"/>
    </row>
    <row r="436" spans="1:78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48">
        <v>20</v>
      </c>
      <c r="J436" s="148"/>
      <c r="K436" s="148">
        <v>20</v>
      </c>
      <c r="L436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63"/>
      <c r="AI436" s="64"/>
      <c r="AJ436" s="65"/>
      <c r="AK436" s="65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  <c r="BY436" s="53"/>
      <c r="BZ436" s="53"/>
    </row>
    <row r="437" spans="1:78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48">
        <v>0</v>
      </c>
      <c r="J437" s="148"/>
      <c r="K437" s="148">
        <v>0</v>
      </c>
      <c r="L437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63"/>
      <c r="AI437" s="64"/>
      <c r="AJ437" s="65"/>
      <c r="AK437" s="65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  <c r="BY437" s="53"/>
      <c r="BZ437" s="53"/>
    </row>
    <row r="438" spans="1:78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48">
        <v>5</v>
      </c>
      <c r="J438" s="148"/>
      <c r="K438" s="148">
        <v>5</v>
      </c>
      <c r="L438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63"/>
      <c r="AI438" s="64"/>
      <c r="AJ438" s="65"/>
      <c r="AK438" s="65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  <c r="BY438" s="53"/>
      <c r="BZ438" s="53"/>
    </row>
    <row r="439" spans="1:78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48">
        <v>3</v>
      </c>
      <c r="J439" s="148"/>
      <c r="K439" s="148">
        <v>3</v>
      </c>
      <c r="L439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63"/>
      <c r="AI439" s="64"/>
      <c r="AJ439" s="65"/>
      <c r="AK439" s="65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  <c r="BY439" s="53"/>
      <c r="BZ439" s="53"/>
    </row>
    <row r="440" spans="1:78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48">
        <v>4</v>
      </c>
      <c r="J440" s="148"/>
      <c r="K440" s="148">
        <v>4</v>
      </c>
      <c r="L440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63"/>
      <c r="AI440" s="64"/>
      <c r="AJ440" s="65"/>
      <c r="AK440" s="65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  <c r="BY440" s="53"/>
      <c r="BZ440" s="53"/>
    </row>
    <row r="441" spans="1:78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48">
        <v>9</v>
      </c>
      <c r="J441" s="148"/>
      <c r="K441" s="148">
        <v>9</v>
      </c>
      <c r="L441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63"/>
      <c r="AI441" s="64"/>
      <c r="AJ441" s="65"/>
      <c r="AK441" s="65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  <c r="BY441" s="53"/>
      <c r="BZ441" s="53"/>
    </row>
    <row r="442" spans="1:78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48">
        <v>11</v>
      </c>
      <c r="J442" s="148"/>
      <c r="K442" s="148">
        <v>11</v>
      </c>
      <c r="L442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63"/>
      <c r="AI442" s="64"/>
      <c r="AJ442" s="65"/>
      <c r="AK442" s="65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  <c r="BY442" s="53"/>
      <c r="BZ442" s="53"/>
    </row>
    <row r="443" spans="1:78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48">
        <v>1</v>
      </c>
      <c r="J443" s="148"/>
      <c r="K443" s="148">
        <v>1</v>
      </c>
      <c r="L44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63"/>
      <c r="AI443" s="64"/>
      <c r="AJ443" s="65"/>
      <c r="AK443" s="65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  <c r="BY443" s="53"/>
      <c r="BZ443" s="53"/>
    </row>
    <row r="444" spans="1:78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48">
        <v>16</v>
      </c>
      <c r="J444" s="148"/>
      <c r="K444" s="148">
        <v>16</v>
      </c>
      <c r="L444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63"/>
      <c r="AI444" s="64"/>
      <c r="AJ444" s="65"/>
      <c r="AK444" s="65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  <c r="BY444" s="53"/>
      <c r="BZ444" s="53"/>
    </row>
    <row r="445" spans="1:78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48">
        <v>54</v>
      </c>
      <c r="J445" s="148"/>
      <c r="K445" s="148">
        <v>54</v>
      </c>
      <c r="L445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63"/>
      <c r="AI445" s="64"/>
      <c r="AJ445" s="65"/>
      <c r="AK445" s="65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  <c r="BY445" s="53"/>
      <c r="BZ445" s="53"/>
    </row>
    <row r="446" spans="1:78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48">
        <v>10</v>
      </c>
      <c r="J446" s="148"/>
      <c r="K446" s="148">
        <v>10</v>
      </c>
      <c r="L446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63"/>
      <c r="AI446" s="64"/>
      <c r="AJ446" s="65"/>
      <c r="AK446" s="65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  <c r="BY446" s="53"/>
      <c r="BZ446" s="53"/>
    </row>
    <row r="447" spans="1:78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48">
        <v>1</v>
      </c>
      <c r="J447" s="148"/>
      <c r="K447" s="148">
        <v>1</v>
      </c>
      <c r="L447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63"/>
      <c r="AI447" s="64"/>
      <c r="AJ447" s="65"/>
      <c r="AK447" s="65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  <c r="BY447" s="53"/>
      <c r="BZ447" s="53"/>
    </row>
    <row r="448" spans="1:78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48">
        <v>2</v>
      </c>
      <c r="J448" s="148"/>
      <c r="K448" s="148">
        <v>2</v>
      </c>
      <c r="L448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63"/>
      <c r="AI448" s="64"/>
      <c r="AJ448" s="65"/>
      <c r="AK448" s="65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  <c r="BY448" s="53"/>
      <c r="BZ448" s="53"/>
    </row>
    <row r="449" spans="1:78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48">
        <v>2</v>
      </c>
      <c r="J449" s="148"/>
      <c r="K449" s="148">
        <v>2</v>
      </c>
      <c r="L449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63"/>
      <c r="AI449" s="64"/>
      <c r="AJ449" s="65"/>
      <c r="AK449" s="65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  <c r="BY449" s="53"/>
      <c r="BZ449" s="53"/>
    </row>
    <row r="450" spans="1:78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48">
        <v>0</v>
      </c>
      <c r="J450" s="148"/>
      <c r="K450" s="148">
        <v>0</v>
      </c>
      <c r="L450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63"/>
      <c r="AI450" s="64"/>
      <c r="AJ450" s="65"/>
      <c r="AK450" s="65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  <c r="BY450" s="53"/>
      <c r="BZ450" s="53"/>
    </row>
    <row r="451" spans="1:78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48">
        <v>0</v>
      </c>
      <c r="J451" s="148"/>
      <c r="K451" s="148">
        <v>0</v>
      </c>
      <c r="L451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63"/>
      <c r="AI451" s="64"/>
      <c r="AJ451" s="65"/>
      <c r="AK451" s="65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  <c r="BW451" s="53"/>
      <c r="BX451" s="53"/>
    </row>
    <row r="452" spans="1:78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48">
        <v>0</v>
      </c>
      <c r="J452" s="148"/>
      <c r="K452" s="148">
        <v>0</v>
      </c>
      <c r="L452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63"/>
      <c r="AI452" s="64"/>
      <c r="AJ452" s="65"/>
      <c r="AK452" s="65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  <c r="BW452" s="53"/>
      <c r="BX452" s="53"/>
    </row>
    <row r="453" spans="1:78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48">
        <v>0</v>
      </c>
      <c r="J453" s="148"/>
      <c r="K453" s="148">
        <v>0</v>
      </c>
      <c r="L4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63"/>
      <c r="AI453" s="64"/>
      <c r="AJ453" s="65"/>
      <c r="AK453" s="65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  <c r="BW453" s="53"/>
      <c r="BX453" s="53"/>
    </row>
    <row r="454" spans="1:78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48">
        <v>0</v>
      </c>
      <c r="J454" s="148"/>
      <c r="K454" s="148">
        <v>0</v>
      </c>
      <c r="L454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63"/>
      <c r="AI454" s="64"/>
      <c r="AJ454" s="65"/>
      <c r="AK454" s="65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  <c r="BW454" s="53"/>
      <c r="BX454" s="53"/>
    </row>
    <row r="455" spans="1:78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48">
        <v>0</v>
      </c>
      <c r="J455" s="148"/>
      <c r="K455" s="148">
        <v>0</v>
      </c>
      <c r="L455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63"/>
      <c r="AI455" s="64"/>
      <c r="AJ455" s="65"/>
      <c r="AK455" s="65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  <c r="BW455" s="53"/>
      <c r="BX455" s="53"/>
    </row>
    <row r="456" spans="1:78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48">
        <v>0</v>
      </c>
      <c r="J456" s="148"/>
      <c r="K456" s="148">
        <v>0</v>
      </c>
      <c r="L456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63"/>
      <c r="AI456" s="64"/>
      <c r="AJ456" s="65"/>
      <c r="AK456" s="65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  <c r="BW456" s="53"/>
      <c r="BX456" s="53"/>
    </row>
    <row r="457" spans="1:78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48">
        <v>0</v>
      </c>
      <c r="J457" s="148"/>
      <c r="K457" s="148">
        <v>0</v>
      </c>
      <c r="L457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63"/>
      <c r="AI457" s="64"/>
      <c r="AJ457" s="65"/>
      <c r="AK457" s="65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  <c r="BW457" s="53"/>
      <c r="BX457" s="53"/>
    </row>
    <row r="458" spans="1:78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48">
        <v>0</v>
      </c>
      <c r="J458" s="148"/>
      <c r="K458" s="148">
        <v>0</v>
      </c>
      <c r="L458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63"/>
      <c r="AI458" s="64"/>
      <c r="AJ458" s="65"/>
      <c r="AK458" s="65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  <c r="BW458" s="53"/>
      <c r="BX458" s="53"/>
    </row>
    <row r="459" spans="1:78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48">
        <v>0</v>
      </c>
      <c r="J459" s="148"/>
      <c r="K459" s="148">
        <v>0</v>
      </c>
      <c r="L459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63"/>
      <c r="AI459" s="64"/>
      <c r="AJ459" s="65"/>
      <c r="AK459" s="65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  <c r="BW459" s="53"/>
      <c r="BX459" s="53"/>
    </row>
    <row r="460" spans="1:78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48">
        <v>0</v>
      </c>
      <c r="J460" s="148"/>
      <c r="K460" s="148">
        <v>0</v>
      </c>
      <c r="L460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63"/>
      <c r="AI460" s="64"/>
      <c r="AJ460" s="65"/>
      <c r="AK460" s="65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  <c r="BW460" s="53"/>
      <c r="BX460" s="53"/>
    </row>
    <row r="461" spans="1:78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48">
        <v>0</v>
      </c>
      <c r="J461" s="148"/>
      <c r="K461" s="148">
        <v>0</v>
      </c>
      <c r="L461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63"/>
      <c r="AI461" s="64"/>
      <c r="AJ461" s="65"/>
      <c r="AK461" s="65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  <c r="BW461" s="53"/>
      <c r="BX461" s="53"/>
    </row>
    <row r="462" spans="1:78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48">
        <v>0</v>
      </c>
      <c r="J462" s="148"/>
      <c r="K462" s="148">
        <v>0</v>
      </c>
      <c r="L462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63"/>
      <c r="AI462" s="64"/>
      <c r="AJ462" s="65"/>
      <c r="AK462" s="65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  <c r="BW462" s="53"/>
      <c r="BX462" s="53"/>
    </row>
    <row r="463" spans="1:78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48">
        <v>0</v>
      </c>
      <c r="J463" s="148"/>
      <c r="K463" s="148">
        <v>0</v>
      </c>
      <c r="L46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63"/>
      <c r="AI463" s="64"/>
      <c r="AJ463" s="65"/>
      <c r="AK463" s="65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  <c r="BW463" s="53"/>
      <c r="BX463" s="53"/>
    </row>
    <row r="464" spans="1:78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48">
        <v>0</v>
      </c>
      <c r="J464" s="148"/>
      <c r="K464" s="148">
        <v>0</v>
      </c>
      <c r="L464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63"/>
      <c r="AI464" s="64"/>
      <c r="AJ464" s="65"/>
      <c r="AK464" s="65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  <c r="BW464" s="53"/>
      <c r="BX464" s="53"/>
    </row>
    <row r="465" spans="1:76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48">
        <v>0</v>
      </c>
      <c r="J465" s="148"/>
      <c r="K465" s="148">
        <v>0</v>
      </c>
      <c r="L465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63"/>
      <c r="AI465" s="64"/>
      <c r="AJ465" s="65"/>
      <c r="AK465" s="65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  <c r="BW465" s="53"/>
      <c r="BX465" s="53"/>
    </row>
    <row r="466" spans="1:76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48">
        <v>0</v>
      </c>
      <c r="J466" s="148"/>
      <c r="K466" s="148">
        <v>0</v>
      </c>
      <c r="L466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63"/>
      <c r="AI466" s="64"/>
      <c r="AJ466" s="65"/>
      <c r="AK466" s="65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  <c r="BW466" s="53"/>
      <c r="BX466" s="53"/>
    </row>
    <row r="467" spans="1:76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48">
        <v>0</v>
      </c>
      <c r="J467" s="148"/>
      <c r="K467" s="148">
        <v>0</v>
      </c>
      <c r="L467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63"/>
      <c r="AI467" s="64"/>
      <c r="AJ467" s="65"/>
      <c r="AK467" s="65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  <c r="BW467" s="53"/>
      <c r="BX467" s="53"/>
    </row>
    <row r="468" spans="1:76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48"/>
      <c r="J468" s="148"/>
      <c r="K468" s="148">
        <v>0</v>
      </c>
      <c r="L468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63"/>
      <c r="AI468" s="64"/>
      <c r="AJ468" s="65"/>
      <c r="AK468" s="65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  <c r="BW468" s="53"/>
      <c r="BX468" s="53"/>
    </row>
    <row r="469" spans="1:76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48"/>
      <c r="J469" s="148"/>
      <c r="K469" s="148">
        <v>0</v>
      </c>
      <c r="L469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63"/>
      <c r="AI469" s="64"/>
      <c r="AJ469" s="65"/>
      <c r="AK469" s="65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  <c r="BW469" s="53"/>
      <c r="BX469" s="53"/>
    </row>
    <row r="470" spans="1:76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48">
        <v>2</v>
      </c>
      <c r="J470" s="148"/>
      <c r="K470" s="148">
        <v>2</v>
      </c>
      <c r="L470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63"/>
      <c r="AI470" s="64"/>
      <c r="AJ470" s="65"/>
      <c r="AK470" s="65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  <c r="BW470" s="53"/>
      <c r="BX470" s="53"/>
    </row>
    <row r="471" spans="1:76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48">
        <v>1</v>
      </c>
      <c r="J471" s="148"/>
      <c r="K471" s="148">
        <v>1</v>
      </c>
      <c r="L471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63"/>
      <c r="AI471" s="64"/>
      <c r="AJ471" s="65"/>
      <c r="AK471" s="65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  <c r="BW471" s="53"/>
      <c r="BX471" s="53"/>
    </row>
    <row r="472" spans="1:76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48">
        <v>1</v>
      </c>
      <c r="J472" s="148"/>
      <c r="K472" s="148">
        <v>1</v>
      </c>
      <c r="L472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63"/>
      <c r="AI472" s="64"/>
      <c r="AJ472" s="65"/>
      <c r="AK472" s="65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  <c r="BW472" s="53"/>
      <c r="BX472" s="53"/>
    </row>
    <row r="473" spans="1:76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48">
        <v>60</v>
      </c>
      <c r="J473" s="148"/>
      <c r="K473" s="148">
        <v>60</v>
      </c>
      <c r="L47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63"/>
      <c r="AI473" s="64"/>
      <c r="AJ473" s="65"/>
      <c r="AK473" s="65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  <c r="BW473" s="53"/>
      <c r="BX473" s="53"/>
    </row>
    <row r="474" spans="1:76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48">
        <v>60</v>
      </c>
      <c r="J474" s="148"/>
      <c r="K474" s="148">
        <v>60</v>
      </c>
      <c r="L474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63"/>
      <c r="AI474" s="64"/>
      <c r="AJ474" s="65"/>
      <c r="AK474" s="65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  <c r="BW474" s="53"/>
      <c r="BX474" s="53"/>
    </row>
    <row r="475" spans="1:76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237618.11</v>
      </c>
      <c r="I475" s="148">
        <v>1223</v>
      </c>
      <c r="J475" s="148"/>
      <c r="K475" s="148">
        <v>1223</v>
      </c>
      <c r="L475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63"/>
      <c r="AI475" s="64"/>
      <c r="AJ475" s="65"/>
      <c r="AK475" s="65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  <c r="BW475" s="53"/>
      <c r="BX475" s="53"/>
    </row>
    <row r="476" spans="1:76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27147.96</v>
      </c>
      <c r="I476" s="148">
        <v>266</v>
      </c>
      <c r="J476" s="148"/>
      <c r="K476" s="148">
        <v>266</v>
      </c>
      <c r="L476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63"/>
      <c r="AI476" s="64"/>
      <c r="AJ476" s="65"/>
      <c r="AK476" s="65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  <c r="BW476" s="53"/>
      <c r="BX476" s="53"/>
    </row>
    <row r="477" spans="1:76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48">
        <v>192</v>
      </c>
      <c r="J477" s="148"/>
      <c r="K477" s="148">
        <v>192</v>
      </c>
      <c r="L477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63"/>
      <c r="AI477" s="64"/>
      <c r="AJ477" s="65"/>
      <c r="AK477" s="65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  <c r="BW477" s="53"/>
      <c r="BX477" s="53"/>
    </row>
    <row r="478" spans="1:76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48">
        <v>619</v>
      </c>
      <c r="J478" s="148"/>
      <c r="K478" s="148">
        <v>619</v>
      </c>
      <c r="L478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63"/>
      <c r="AI478" s="64"/>
      <c r="AJ478" s="65"/>
      <c r="AK478" s="65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  <c r="BW478" s="53"/>
      <c r="BX478" s="53"/>
    </row>
    <row r="479" spans="1:76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52">
        <v>97</v>
      </c>
      <c r="J479" s="152"/>
      <c r="K479" s="152">
        <v>97</v>
      </c>
      <c r="L479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63"/>
      <c r="AI479" s="64"/>
      <c r="AJ479" s="65"/>
      <c r="AK479" s="65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  <c r="BW479" s="53"/>
      <c r="BX479" s="53"/>
    </row>
    <row r="480" spans="1:76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52">
        <v>49</v>
      </c>
      <c r="J480" s="152"/>
      <c r="K480" s="152">
        <v>49</v>
      </c>
      <c r="L480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63"/>
      <c r="AI480" s="64"/>
      <c r="AJ480" s="65"/>
      <c r="AK480" s="65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  <c r="BW480" s="53"/>
      <c r="BX480" s="53"/>
    </row>
    <row r="481" spans="1:76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14</v>
      </c>
      <c r="I481" s="148">
        <v>6</v>
      </c>
      <c r="J481" s="148"/>
      <c r="K481" s="148">
        <v>6</v>
      </c>
      <c r="L481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63"/>
      <c r="AI481" s="64"/>
      <c r="AJ481" s="65"/>
      <c r="AK481" s="65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  <c r="BW481" s="53"/>
      <c r="BX481" s="53"/>
    </row>
    <row r="482" spans="1:76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0</v>
      </c>
      <c r="I482" s="148">
        <v>0</v>
      </c>
      <c r="J482" s="148"/>
      <c r="K482" s="148">
        <v>0</v>
      </c>
      <c r="L482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63"/>
      <c r="AI482" s="64"/>
      <c r="AJ482" s="65"/>
      <c r="AK482" s="65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  <c r="BW482" s="53"/>
      <c r="BX482" s="53"/>
    </row>
    <row r="483" spans="1:76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0</v>
      </c>
      <c r="I483" s="148">
        <v>0</v>
      </c>
      <c r="J483" s="148"/>
      <c r="K483" s="148">
        <v>0</v>
      </c>
      <c r="L48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63"/>
      <c r="AI483" s="64"/>
      <c r="AJ483" s="65"/>
      <c r="AK483" s="65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  <c r="BW483" s="53"/>
      <c r="BX483" s="53"/>
    </row>
    <row r="484" spans="1:76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48">
        <v>1</v>
      </c>
      <c r="J484" s="148"/>
      <c r="K484" s="148">
        <v>1</v>
      </c>
      <c r="L484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63"/>
      <c r="AI484" s="64"/>
      <c r="AJ484" s="65"/>
      <c r="AK484" s="65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  <c r="BW484" s="53"/>
      <c r="BX484" s="53"/>
    </row>
    <row r="485" spans="1:76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48">
        <v>5</v>
      </c>
      <c r="J485" s="148"/>
      <c r="K485" s="148">
        <v>5</v>
      </c>
      <c r="L485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63"/>
      <c r="AI485" s="64"/>
      <c r="AJ485" s="65"/>
      <c r="AK485" s="65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  <c r="BW485" s="53"/>
      <c r="BX485" s="53"/>
    </row>
    <row r="486" spans="1:76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48">
        <v>0</v>
      </c>
      <c r="J486" s="148"/>
      <c r="K486" s="148">
        <v>0</v>
      </c>
      <c r="L486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63"/>
      <c r="AI486" s="64"/>
      <c r="AJ486" s="65"/>
      <c r="AK486" s="65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  <c r="BW486" s="53"/>
      <c r="BX486" s="53"/>
    </row>
    <row r="487" spans="1:76" x14ac:dyDescent="0.35">
      <c r="A487" s="53"/>
      <c r="B487" s="53"/>
      <c r="C487" s="55"/>
      <c r="D487" s="53"/>
      <c r="E487" s="53"/>
      <c r="F487" s="124" t="s">
        <v>1579</v>
      </c>
      <c r="G487" s="125">
        <v>502.64</v>
      </c>
      <c r="H487" s="125">
        <v>4021.12</v>
      </c>
      <c r="I487" s="148">
        <v>16</v>
      </c>
      <c r="J487" s="148">
        <v>16</v>
      </c>
      <c r="K487" s="148">
        <v>0</v>
      </c>
      <c r="L487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63"/>
      <c r="AI487" s="64"/>
      <c r="AJ487" s="65"/>
      <c r="AK487" s="65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  <c r="BW487" s="53"/>
      <c r="BX487" s="53"/>
    </row>
    <row r="488" spans="1:76" x14ac:dyDescent="0.35">
      <c r="A488" s="53"/>
      <c r="B488" s="53"/>
      <c r="C488" s="55"/>
      <c r="D488" s="53"/>
      <c r="E488" s="53"/>
      <c r="F488" s="126" t="s">
        <v>1574</v>
      </c>
      <c r="G488" s="125">
        <v>448.05</v>
      </c>
      <c r="H488" s="125">
        <v>3584.4</v>
      </c>
      <c r="I488" s="148">
        <v>8</v>
      </c>
      <c r="J488" s="148">
        <v>8</v>
      </c>
      <c r="K488" s="148">
        <v>0</v>
      </c>
      <c r="L488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63"/>
      <c r="AI488" s="64"/>
      <c r="AJ488" s="65"/>
      <c r="AK488" s="65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  <c r="BW488" s="53"/>
      <c r="BX488" s="53"/>
    </row>
    <row r="489" spans="1:76" x14ac:dyDescent="0.35">
      <c r="A489" s="53"/>
      <c r="B489" s="53"/>
      <c r="C489" s="55"/>
      <c r="D489" s="53"/>
      <c r="E489" s="53"/>
      <c r="F489" s="126" t="s">
        <v>1575</v>
      </c>
      <c r="G489" s="125">
        <v>54.59</v>
      </c>
      <c r="H489" s="125">
        <v>436.72</v>
      </c>
      <c r="I489" s="148">
        <v>8</v>
      </c>
      <c r="J489" s="148">
        <v>8</v>
      </c>
      <c r="K489" s="148">
        <v>0</v>
      </c>
      <c r="L489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63"/>
      <c r="AI489" s="64"/>
      <c r="AJ489" s="65"/>
      <c r="AK489" s="65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  <c r="BW489" s="53"/>
      <c r="BX489" s="53"/>
    </row>
    <row r="490" spans="1:76" x14ac:dyDescent="0.35">
      <c r="F490" s="124" t="s">
        <v>1583</v>
      </c>
      <c r="G490" s="125">
        <v>22</v>
      </c>
      <c r="H490" s="125">
        <v>88</v>
      </c>
      <c r="I490" s="148">
        <v>4</v>
      </c>
      <c r="J490" s="148">
        <v>4</v>
      </c>
      <c r="K490" s="148">
        <v>0</v>
      </c>
      <c r="L490"/>
      <c r="M490" s="53"/>
      <c r="N490" s="53"/>
    </row>
    <row r="491" spans="1:76" x14ac:dyDescent="0.35">
      <c r="F491" s="126" t="s">
        <v>1580</v>
      </c>
      <c r="G491" s="125">
        <v>22</v>
      </c>
      <c r="H491" s="125">
        <v>88</v>
      </c>
      <c r="I491" s="148">
        <v>4</v>
      </c>
      <c r="J491" s="148">
        <v>4</v>
      </c>
      <c r="K491" s="148">
        <v>0</v>
      </c>
      <c r="L491"/>
      <c r="M491" s="53"/>
      <c r="N491" s="53"/>
    </row>
    <row r="492" spans="1:76" x14ac:dyDescent="0.35">
      <c r="F492" s="128" t="s">
        <v>1155</v>
      </c>
      <c r="G492" s="127">
        <v>90001.503917621361</v>
      </c>
      <c r="H492" s="127">
        <v>585146.39075738145</v>
      </c>
      <c r="I492" s="152">
        <v>63351</v>
      </c>
      <c r="J492" s="152">
        <v>207</v>
      </c>
      <c r="K492" s="152">
        <v>63144</v>
      </c>
      <c r="L492"/>
      <c r="M492" s="53"/>
      <c r="N492" s="53"/>
    </row>
    <row r="493" spans="1:76" x14ac:dyDescent="0.35">
      <c r="M493" s="53"/>
      <c r="N493" s="53"/>
    </row>
    <row r="494" spans="1:76" x14ac:dyDescent="0.35">
      <c r="M494" s="53"/>
      <c r="N494" s="53"/>
    </row>
    <row r="495" spans="1:76" x14ac:dyDescent="0.35">
      <c r="M495" s="53"/>
      <c r="N495" s="53"/>
    </row>
    <row r="496" spans="1:76" x14ac:dyDescent="0.35">
      <c r="M496" s="53"/>
      <c r="N496" s="53"/>
    </row>
    <row r="497" spans="13:14" x14ac:dyDescent="0.35">
      <c r="M497" s="53"/>
      <c r="N497" s="53"/>
    </row>
  </sheetData>
  <mergeCells count="2">
    <mergeCell ref="AA1:AG1"/>
    <mergeCell ref="Z2:AD2"/>
  </mergeCells>
  <pageMargins left="0.7" right="0.7" top="0.75" bottom="0.75" header="0.3" footer="0.3"/>
  <ignoredErrors>
    <ignoredError sqref="N6:N112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20</xdr:col>
                <xdr:colOff>116732</xdr:colOff>
                <xdr:row>22</xdr:row>
                <xdr:rowOff>77821</xdr:rowOff>
              </from>
              <to>
                <xdr:col>27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19</xdr:col>
                <xdr:colOff>38911</xdr:colOff>
                <xdr:row>18</xdr:row>
                <xdr:rowOff>123217</xdr:rowOff>
              </from>
              <to>
                <xdr:col>29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19</xdr:col>
                <xdr:colOff>38911</xdr:colOff>
                <xdr:row>20</xdr:row>
                <xdr:rowOff>116732</xdr:rowOff>
              </from>
              <to>
                <xdr:col>29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S836"/>
  <sheetViews>
    <sheetView topLeftCell="DJ1" zoomScale="90" zoomScaleNormal="90" workbookViewId="0">
      <pane ySplit="1" topLeftCell="A2" activePane="bottomLeft" state="frozenSplit"/>
      <selection pane="bottomLeft" activeCell="DQ1" sqref="DQ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0" width="14.26953125" style="76" customWidth="1"/>
    <col min="121" max="122" width="14" style="76" bestFit="1" customWidth="1"/>
    <col min="123" max="123" width="55.54296875" style="144" customWidth="1"/>
    <col min="124" max="16384" width="8.90625" style="13"/>
  </cols>
  <sheetData>
    <row r="1" spans="1:123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1595</v>
      </c>
      <c r="DR1" s="71" t="s">
        <v>1596</v>
      </c>
      <c r="DS1" s="133" t="s">
        <v>1586</v>
      </c>
    </row>
    <row r="2" spans="1:123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M2*DP2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/>
      <c r="DR2" s="72">
        <v>0</v>
      </c>
      <c r="DS2" s="77"/>
    </row>
    <row r="3" spans="1:123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M3*DP3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/>
      <c r="DR3" s="72">
        <v>1</v>
      </c>
      <c r="DS3" s="77"/>
    </row>
    <row r="4" spans="1:123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/>
      <c r="DR4" s="72">
        <v>1</v>
      </c>
      <c r="DS4" s="134"/>
    </row>
    <row r="5" spans="1:123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/>
      <c r="DR5" s="72">
        <v>0</v>
      </c>
      <c r="DS5" s="77"/>
    </row>
    <row r="6" spans="1:123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/>
      <c r="DR6" s="72">
        <v>14</v>
      </c>
      <c r="DS6" s="77"/>
    </row>
    <row r="7" spans="1:123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/>
      <c r="DR7" s="72">
        <v>56</v>
      </c>
      <c r="DS7" s="77"/>
    </row>
    <row r="8" spans="1:123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/>
      <c r="DR8" s="72">
        <v>43</v>
      </c>
      <c r="DS8" s="90"/>
    </row>
    <row r="9" spans="1:123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/>
      <c r="DR9" s="72">
        <v>0</v>
      </c>
      <c r="DS9" s="77"/>
    </row>
    <row r="10" spans="1:123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/>
      <c r="DR10" s="72">
        <v>0</v>
      </c>
      <c r="DS10" s="77"/>
    </row>
    <row r="11" spans="1:123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/>
      <c r="DR11" s="72">
        <v>0</v>
      </c>
      <c r="DS11" s="77"/>
    </row>
    <row r="12" spans="1:123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/>
      <c r="DR12" s="72">
        <v>0</v>
      </c>
      <c r="DS12" s="77"/>
    </row>
    <row r="13" spans="1:123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/>
      <c r="DR13" s="72">
        <v>0</v>
      </c>
      <c r="DS13" s="77"/>
    </row>
    <row r="14" spans="1:123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/>
      <c r="DR14" s="72">
        <v>0</v>
      </c>
      <c r="DS14" s="77"/>
    </row>
    <row r="15" spans="1:123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/>
      <c r="DR15" s="72">
        <v>1</v>
      </c>
      <c r="DS15" s="135"/>
    </row>
    <row r="16" spans="1:123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/>
      <c r="DR16" s="72">
        <v>1</v>
      </c>
      <c r="DS16" s="135"/>
    </row>
    <row r="17" spans="1:123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/>
      <c r="DR17" s="72">
        <v>1</v>
      </c>
      <c r="DS17" s="135"/>
    </row>
    <row r="18" spans="1:123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/>
      <c r="DR18" s="72">
        <v>1</v>
      </c>
      <c r="DS18" s="135"/>
    </row>
    <row r="19" spans="1:123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/>
      <c r="DR19" s="72">
        <v>9</v>
      </c>
      <c r="DS19" s="136"/>
    </row>
    <row r="20" spans="1:123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/>
      <c r="DR20" s="72">
        <v>0</v>
      </c>
      <c r="DS20" s="77"/>
    </row>
    <row r="21" spans="1:123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/>
      <c r="DR21" s="72">
        <v>0</v>
      </c>
      <c r="DS21" s="77"/>
    </row>
    <row r="22" spans="1:123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/>
      <c r="DR22" s="72">
        <v>0</v>
      </c>
      <c r="DS22" s="77"/>
    </row>
    <row r="23" spans="1:123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/>
      <c r="DR23" s="72">
        <v>0</v>
      </c>
      <c r="DS23" s="77"/>
    </row>
    <row r="24" spans="1:123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/>
      <c r="DR24" s="72">
        <v>0</v>
      </c>
      <c r="DS24" s="77"/>
    </row>
    <row r="25" spans="1:123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/>
      <c r="DR25" s="72">
        <v>2</v>
      </c>
      <c r="DS25" s="77"/>
    </row>
    <row r="26" spans="1:123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/>
      <c r="DR26" s="72">
        <v>1</v>
      </c>
      <c r="DS26" s="137"/>
    </row>
    <row r="27" spans="1:123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/>
      <c r="DR27" s="72">
        <v>28</v>
      </c>
      <c r="DS27" s="77"/>
    </row>
    <row r="28" spans="1:123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/>
      <c r="DR28" s="72">
        <v>30</v>
      </c>
      <c r="DS28" s="77"/>
    </row>
    <row r="29" spans="1:123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/>
      <c r="DR29" s="72">
        <v>28</v>
      </c>
      <c r="DS29" s="77"/>
    </row>
    <row r="30" spans="1:123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/>
      <c r="DR30" s="72">
        <v>10</v>
      </c>
      <c r="DS30" s="77"/>
    </row>
    <row r="31" spans="1:123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/>
      <c r="DR31" s="72">
        <v>0</v>
      </c>
      <c r="DS31" s="77"/>
    </row>
    <row r="32" spans="1:123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/>
      <c r="DR32" s="72">
        <v>500</v>
      </c>
      <c r="DS32" s="137"/>
    </row>
    <row r="33" spans="1:123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/>
      <c r="DR33" s="72">
        <v>207</v>
      </c>
      <c r="DS33" s="90"/>
    </row>
    <row r="34" spans="1:123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/>
      <c r="DR34" s="72">
        <v>13</v>
      </c>
      <c r="DS34" s="90"/>
    </row>
    <row r="35" spans="1:123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/>
      <c r="DR35" s="72">
        <v>2</v>
      </c>
      <c r="DS35" s="90"/>
    </row>
    <row r="36" spans="1:123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/>
      <c r="DR36" s="72">
        <v>24</v>
      </c>
      <c r="DS36" s="90"/>
    </row>
    <row r="37" spans="1:123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/>
      <c r="DR37" s="72">
        <v>2</v>
      </c>
      <c r="DS37" s="77"/>
    </row>
    <row r="38" spans="1:123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/>
      <c r="DR38" s="72">
        <v>1</v>
      </c>
      <c r="DS38" s="90"/>
    </row>
    <row r="39" spans="1:123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/>
      <c r="DR39" s="72">
        <v>0</v>
      </c>
      <c r="DS39" s="90"/>
    </row>
    <row r="40" spans="1:123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/>
      <c r="DR40" s="72">
        <v>1</v>
      </c>
      <c r="DS40" s="77"/>
    </row>
    <row r="41" spans="1:123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/>
      <c r="DR41" s="72">
        <v>1</v>
      </c>
      <c r="DS41" s="137"/>
    </row>
    <row r="42" spans="1:123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/>
      <c r="DR42" s="72">
        <v>0</v>
      </c>
      <c r="DS42" s="77"/>
    </row>
    <row r="43" spans="1:123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/>
      <c r="DR43" s="72">
        <v>7</v>
      </c>
      <c r="DS43" s="137"/>
    </row>
    <row r="44" spans="1:123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/>
      <c r="DR44" s="72">
        <v>0</v>
      </c>
      <c r="DS44" s="137"/>
    </row>
    <row r="45" spans="1:123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/>
      <c r="DR45" s="72">
        <v>0</v>
      </c>
      <c r="DS45" s="90"/>
    </row>
    <row r="46" spans="1:123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  <c r="DQ46" s="72">
        <v>2</v>
      </c>
      <c r="DR46" s="72">
        <v>0</v>
      </c>
      <c r="DS46" s="90" t="s">
        <v>1587</v>
      </c>
    </row>
    <row r="47" spans="1:123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  <c r="DQ47" s="72">
        <v>8</v>
      </c>
      <c r="DR47" s="72">
        <v>0</v>
      </c>
      <c r="DS47" s="90" t="s">
        <v>1588</v>
      </c>
    </row>
    <row r="48" spans="1:123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  <c r="DQ48" s="72">
        <v>16</v>
      </c>
      <c r="DR48" s="72">
        <v>2</v>
      </c>
      <c r="DS48" s="90" t="s">
        <v>1589</v>
      </c>
    </row>
    <row r="49" spans="1:123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  <c r="DQ49" s="72">
        <v>4</v>
      </c>
      <c r="DR49" s="72">
        <v>0</v>
      </c>
      <c r="DS49" s="90" t="s">
        <v>1590</v>
      </c>
    </row>
    <row r="50" spans="1:123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  <c r="DQ50" s="72"/>
      <c r="DR50" s="72">
        <v>0</v>
      </c>
      <c r="DS50" s="77"/>
    </row>
    <row r="51" spans="1:123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  <c r="DQ51" s="72"/>
      <c r="DR51" s="72">
        <v>0</v>
      </c>
      <c r="DS51" s="137"/>
    </row>
    <row r="52" spans="1:123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/>
      <c r="DR52" s="72">
        <v>0</v>
      </c>
      <c r="DS52" s="77"/>
    </row>
    <row r="53" spans="1:123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/>
      <c r="DR53" s="72">
        <v>0</v>
      </c>
      <c r="DS53" s="77"/>
    </row>
    <row r="54" spans="1:123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  <c r="DQ54" s="72"/>
      <c r="DR54" s="72">
        <v>24</v>
      </c>
      <c r="DS54" s="137"/>
    </row>
    <row r="55" spans="1:123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  <c r="DQ55" s="72"/>
      <c r="DR55" s="72">
        <v>161</v>
      </c>
      <c r="DS55" s="77"/>
    </row>
    <row r="56" spans="1:123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  <c r="DQ56" s="72"/>
      <c r="DR56" s="72">
        <v>0</v>
      </c>
      <c r="DS56" s="77"/>
    </row>
    <row r="57" spans="1:123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  <c r="DQ57" s="72"/>
      <c r="DR57" s="72">
        <v>0</v>
      </c>
      <c r="DS57" s="77"/>
    </row>
    <row r="58" spans="1:123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  <c r="DQ58" s="72"/>
      <c r="DR58" s="72">
        <v>6</v>
      </c>
      <c r="DS58" s="77"/>
    </row>
    <row r="59" spans="1:123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  <c r="DQ59" s="72"/>
      <c r="DR59" s="72">
        <v>27</v>
      </c>
      <c r="DS59" s="77"/>
    </row>
    <row r="60" spans="1:123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  <c r="DQ60" s="72"/>
      <c r="DR60" s="72">
        <v>0</v>
      </c>
      <c r="DS60" s="77"/>
    </row>
    <row r="61" spans="1:123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  <c r="DQ61" s="72"/>
      <c r="DR61" s="72">
        <v>1</v>
      </c>
      <c r="DS61" s="77"/>
    </row>
    <row r="62" spans="1:123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  <c r="DQ62" s="72"/>
      <c r="DR62" s="72">
        <v>141</v>
      </c>
      <c r="DS62" s="77"/>
    </row>
    <row r="63" spans="1:123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  <c r="DQ63" s="72"/>
      <c r="DR63" s="72">
        <v>29</v>
      </c>
      <c r="DS63" s="77"/>
    </row>
    <row r="64" spans="1:123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  <c r="DQ64" s="72"/>
      <c r="DR64" s="72">
        <v>0</v>
      </c>
      <c r="DS64" s="77"/>
    </row>
    <row r="65" spans="1:123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  <c r="DQ65" s="72"/>
      <c r="DR65" s="72">
        <v>0</v>
      </c>
      <c r="DS65" s="77"/>
    </row>
    <row r="66" spans="1:123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/>
      <c r="DR66" s="72">
        <v>0</v>
      </c>
      <c r="DS66" s="77"/>
    </row>
    <row r="67" spans="1:123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M67*DP67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/>
      <c r="DR67" s="72">
        <v>0</v>
      </c>
      <c r="DS67" s="77"/>
    </row>
    <row r="68" spans="1:123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/>
      <c r="DR68" s="72">
        <v>0</v>
      </c>
      <c r="DS68" s="77"/>
    </row>
    <row r="69" spans="1:123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  <c r="DQ69" s="72"/>
      <c r="DR69" s="72">
        <v>38</v>
      </c>
      <c r="DS69" s="77"/>
    </row>
    <row r="70" spans="1:123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/>
      <c r="DR70" s="72">
        <v>0</v>
      </c>
      <c r="DS70" s="77"/>
    </row>
    <row r="71" spans="1:123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  <c r="DQ71" s="72"/>
      <c r="DR71" s="72">
        <v>128</v>
      </c>
      <c r="DS71" s="77"/>
    </row>
    <row r="72" spans="1:123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/>
      <c r="DR72" s="72">
        <v>0</v>
      </c>
      <c r="DS72" s="77"/>
    </row>
    <row r="73" spans="1:123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  <c r="DQ73" s="72"/>
      <c r="DR73" s="72">
        <v>0</v>
      </c>
      <c r="DS73" s="77"/>
    </row>
    <row r="74" spans="1:123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/>
      <c r="DR74" s="72">
        <v>0</v>
      </c>
      <c r="DS74" s="77"/>
    </row>
    <row r="75" spans="1:123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  <c r="DQ75" s="72"/>
      <c r="DR75" s="72">
        <v>73</v>
      </c>
      <c r="DS75" s="77"/>
    </row>
    <row r="76" spans="1:123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  <c r="DQ76" s="72"/>
      <c r="DR76" s="72">
        <v>8</v>
      </c>
      <c r="DS76" s="77"/>
    </row>
    <row r="77" spans="1:123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  <c r="DQ77" s="72"/>
      <c r="DR77" s="72">
        <v>0</v>
      </c>
      <c r="DS77" s="77"/>
    </row>
    <row r="78" spans="1:123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  <c r="DQ78" s="72"/>
      <c r="DR78" s="72">
        <v>0</v>
      </c>
      <c r="DS78" s="77"/>
    </row>
    <row r="79" spans="1:123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/>
      <c r="DR79" s="72">
        <v>0</v>
      </c>
      <c r="DS79" s="77"/>
    </row>
    <row r="80" spans="1:123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/>
      <c r="DR80" s="72">
        <v>0</v>
      </c>
      <c r="DS80" s="77"/>
    </row>
    <row r="81" spans="1:123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/>
      <c r="DR81" s="72">
        <v>0</v>
      </c>
      <c r="DS81" s="77"/>
    </row>
    <row r="82" spans="1:123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/>
      <c r="DR82" s="72">
        <v>0</v>
      </c>
      <c r="DS82" s="77"/>
    </row>
    <row r="83" spans="1:123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/>
      <c r="DR83" s="72">
        <v>0</v>
      </c>
      <c r="DS83" s="77"/>
    </row>
    <row r="84" spans="1:123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/>
      <c r="DR84" s="72">
        <v>0</v>
      </c>
      <c r="DS84" s="77"/>
    </row>
    <row r="85" spans="1:123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/>
      <c r="DR85" s="72">
        <v>0</v>
      </c>
      <c r="DS85" s="77"/>
    </row>
    <row r="86" spans="1:123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/>
      <c r="DR86" s="72">
        <v>0</v>
      </c>
      <c r="DS86" s="77"/>
    </row>
    <row r="87" spans="1:123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/>
      <c r="DR87" s="72">
        <v>0</v>
      </c>
      <c r="DS87" s="77"/>
    </row>
    <row r="88" spans="1:123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  <c r="DQ88" s="72"/>
      <c r="DR88" s="72">
        <v>10</v>
      </c>
      <c r="DS88" s="77"/>
    </row>
    <row r="89" spans="1:123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  <c r="DQ89" s="72"/>
      <c r="DR89" s="72">
        <v>2</v>
      </c>
      <c r="DS89" s="77"/>
    </row>
    <row r="90" spans="1:123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  <c r="DQ90" s="72"/>
      <c r="DR90" s="72">
        <v>0</v>
      </c>
      <c r="DS90" s="77"/>
    </row>
    <row r="91" spans="1:123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  <c r="DQ91" s="72"/>
      <c r="DR91" s="72">
        <v>0</v>
      </c>
      <c r="DS91" s="77"/>
    </row>
    <row r="92" spans="1:123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  <c r="DQ92" s="72"/>
      <c r="DR92" s="72">
        <v>0</v>
      </c>
      <c r="DS92" s="77"/>
    </row>
    <row r="93" spans="1:123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  <c r="DQ93" s="72"/>
      <c r="DR93" s="72">
        <v>6</v>
      </c>
      <c r="DS93" s="77"/>
    </row>
    <row r="94" spans="1:123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/>
      <c r="DR94" s="72">
        <v>0</v>
      </c>
      <c r="DS94" s="137"/>
    </row>
    <row r="95" spans="1:123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/>
      <c r="DR95" s="72">
        <v>0</v>
      </c>
      <c r="DS95" s="77"/>
    </row>
    <row r="96" spans="1:123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/>
      <c r="DR96" s="72">
        <v>0</v>
      </c>
      <c r="DS96" s="77"/>
    </row>
    <row r="97" spans="1:123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  <c r="DQ97" s="72"/>
      <c r="DR97" s="72">
        <v>0</v>
      </c>
      <c r="DS97" s="77"/>
    </row>
    <row r="98" spans="1:123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/>
      <c r="DR98" s="72">
        <v>0</v>
      </c>
      <c r="DS98" s="77"/>
    </row>
    <row r="99" spans="1:123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/>
      <c r="DR99" s="72">
        <v>0</v>
      </c>
      <c r="DS99" s="77"/>
    </row>
    <row r="100" spans="1:123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/>
      <c r="DR100" s="72">
        <v>0</v>
      </c>
      <c r="DS100" s="77"/>
    </row>
    <row r="101" spans="1:123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  <c r="DQ101" s="72"/>
      <c r="DR101" s="72">
        <v>26</v>
      </c>
      <c r="DS101" s="77"/>
    </row>
    <row r="102" spans="1:123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  <c r="DQ102" s="72"/>
      <c r="DR102" s="72">
        <v>5</v>
      </c>
      <c r="DS102" s="137"/>
    </row>
    <row r="103" spans="1:123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  <c r="DQ103" s="72"/>
      <c r="DR103" s="72">
        <v>18</v>
      </c>
      <c r="DS103" s="77"/>
    </row>
    <row r="104" spans="1:123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  <c r="DQ104" s="72"/>
      <c r="DR104" s="72">
        <v>116</v>
      </c>
      <c r="DS104" s="77"/>
    </row>
    <row r="105" spans="1:123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  <c r="DQ105" s="72"/>
      <c r="DR105" s="72">
        <v>28</v>
      </c>
      <c r="DS105" s="77"/>
    </row>
    <row r="106" spans="1:123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  <c r="DQ106" s="72"/>
      <c r="DR106" s="72">
        <v>16</v>
      </c>
      <c r="DS106" s="77"/>
    </row>
    <row r="107" spans="1:123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  <c r="DQ107" s="72"/>
      <c r="DR107" s="72">
        <v>64</v>
      </c>
      <c r="DS107" s="77"/>
    </row>
    <row r="108" spans="1:123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  <c r="DQ108" s="72"/>
      <c r="DR108" s="72">
        <v>97</v>
      </c>
      <c r="DS108" s="77"/>
    </row>
    <row r="109" spans="1:123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  <c r="DQ109" s="72"/>
      <c r="DR109" s="72">
        <v>78</v>
      </c>
      <c r="DS109" s="77"/>
    </row>
    <row r="110" spans="1:123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  <c r="DQ110" s="72"/>
      <c r="DR110" s="72">
        <v>500</v>
      </c>
      <c r="DS110" s="77"/>
    </row>
    <row r="111" spans="1:123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  <c r="DQ111" s="72"/>
      <c r="DR111" s="72">
        <v>400</v>
      </c>
      <c r="DS111" s="77"/>
    </row>
    <row r="112" spans="1:123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  <c r="DQ112" s="75"/>
      <c r="DR112" s="72">
        <v>0</v>
      </c>
      <c r="DS112" s="134"/>
    </row>
    <row r="113" spans="1:123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  <c r="DQ113" s="72"/>
      <c r="DR113" s="72">
        <v>0</v>
      </c>
      <c r="DS113" s="90"/>
    </row>
    <row r="114" spans="1:123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  <c r="DQ114" s="75"/>
      <c r="DR114" s="72">
        <v>0</v>
      </c>
      <c r="DS114" s="90"/>
    </row>
    <row r="115" spans="1:123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  <c r="DQ115" s="75"/>
      <c r="DR115" s="72">
        <v>2</v>
      </c>
      <c r="DS115" s="90"/>
    </row>
    <row r="116" spans="1:123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  <c r="DQ116" s="72"/>
      <c r="DR116" s="72">
        <v>0</v>
      </c>
      <c r="DS116" s="77"/>
    </row>
    <row r="117" spans="1:123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  <c r="DQ117" s="72"/>
      <c r="DR117" s="72">
        <v>288</v>
      </c>
      <c r="DS117" s="77"/>
    </row>
    <row r="118" spans="1:123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  <c r="DQ118" s="72"/>
      <c r="DR118" s="72">
        <v>65</v>
      </c>
      <c r="DS118" s="77"/>
    </row>
    <row r="119" spans="1:123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  <c r="DQ119" s="72"/>
      <c r="DR119" s="72">
        <v>80</v>
      </c>
      <c r="DS119" s="77"/>
    </row>
    <row r="120" spans="1:123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/>
      <c r="DR120" s="72">
        <v>0</v>
      </c>
      <c r="DS120" s="90"/>
    </row>
    <row r="121" spans="1:123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  <c r="DQ121" s="72"/>
      <c r="DR121" s="72">
        <v>0</v>
      </c>
      <c r="DS121" s="77"/>
    </row>
    <row r="122" spans="1:123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  <c r="DQ122" s="72"/>
      <c r="DR122" s="72">
        <v>204</v>
      </c>
      <c r="DS122" s="77"/>
    </row>
    <row r="123" spans="1:123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  <c r="DQ123" s="72"/>
      <c r="DR123" s="72">
        <v>548</v>
      </c>
      <c r="DS123" s="77"/>
    </row>
    <row r="124" spans="1:123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  <c r="DQ124" s="72"/>
      <c r="DR124" s="72">
        <v>402</v>
      </c>
      <c r="DS124" s="77"/>
    </row>
    <row r="125" spans="1:123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/>
      <c r="DR125" s="72">
        <v>0</v>
      </c>
      <c r="DS125" s="77"/>
    </row>
    <row r="126" spans="1:123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  <c r="DQ126" s="72"/>
      <c r="DR126" s="72">
        <v>0</v>
      </c>
      <c r="DS126" s="77"/>
    </row>
    <row r="127" spans="1:123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  <c r="DQ127" s="72"/>
      <c r="DR127" s="72">
        <v>0</v>
      </c>
      <c r="DS127" s="90"/>
    </row>
    <row r="128" spans="1:123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  <c r="DQ128" s="72"/>
      <c r="DR128" s="72">
        <v>18</v>
      </c>
      <c r="DS128" s="77"/>
    </row>
    <row r="129" spans="1:123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  <c r="DQ129" s="72"/>
      <c r="DR129" s="72">
        <v>48</v>
      </c>
      <c r="DS129" s="77"/>
    </row>
    <row r="130" spans="1:123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  <c r="DQ130" s="72"/>
      <c r="DR130" s="72">
        <v>29</v>
      </c>
      <c r="DS130" s="90"/>
    </row>
    <row r="131" spans="1:123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M131*DP131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  <c r="DQ131" s="72"/>
      <c r="DR131" s="72">
        <v>16</v>
      </c>
      <c r="DS131" s="77"/>
    </row>
    <row r="132" spans="1:123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  <c r="DQ132" s="72"/>
      <c r="DR132" s="72">
        <v>1216</v>
      </c>
      <c r="DS132" s="77"/>
    </row>
    <row r="133" spans="1:123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  <c r="DQ133" s="72"/>
      <c r="DR133" s="72">
        <v>0</v>
      </c>
      <c r="DS133" s="77"/>
    </row>
    <row r="134" spans="1:123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  <c r="DQ134" s="72"/>
      <c r="DR134" s="72">
        <v>914</v>
      </c>
      <c r="DS134" s="77"/>
    </row>
    <row r="135" spans="1:123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  <c r="DQ135" s="72"/>
      <c r="DR135" s="72">
        <v>3</v>
      </c>
      <c r="DS135" s="77"/>
    </row>
    <row r="136" spans="1:123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  <c r="DQ136" s="72"/>
      <c r="DR136" s="72">
        <v>0</v>
      </c>
      <c r="DS136" s="77"/>
    </row>
    <row r="137" spans="1:123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  <c r="DQ137" s="72"/>
      <c r="DR137" s="72">
        <v>0</v>
      </c>
      <c r="DS137" s="77"/>
    </row>
    <row r="138" spans="1:123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  <c r="DQ138" s="72"/>
      <c r="DR138" s="72">
        <v>0</v>
      </c>
      <c r="DS138" s="77"/>
    </row>
    <row r="139" spans="1:123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  <c r="DQ139" s="72"/>
      <c r="DR139" s="72">
        <v>54</v>
      </c>
      <c r="DS139" s="77"/>
    </row>
    <row r="140" spans="1:123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  <c r="DQ140" s="72"/>
      <c r="DR140" s="72">
        <v>22</v>
      </c>
      <c r="DS140" s="77"/>
    </row>
    <row r="141" spans="1:123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  <c r="DQ141" s="72"/>
      <c r="DR141" s="72">
        <v>20</v>
      </c>
      <c r="DS141" s="77"/>
    </row>
    <row r="142" spans="1:123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  <c r="DP142" s="72">
        <f>1007-250</f>
        <v>757</v>
      </c>
      <c r="DQ142" s="72"/>
      <c r="DR142" s="72">
        <v>757</v>
      </c>
      <c r="DS142" s="77"/>
    </row>
    <row r="143" spans="1:123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  <c r="DQ143" s="72"/>
      <c r="DR143" s="72">
        <v>1140</v>
      </c>
      <c r="DS143" s="77"/>
    </row>
    <row r="144" spans="1:123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  <c r="DQ144" s="72"/>
      <c r="DR144" s="72">
        <v>786</v>
      </c>
      <c r="DS144" s="77"/>
    </row>
    <row r="145" spans="1:123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  <c r="DQ145" s="72"/>
      <c r="DR145" s="72">
        <v>0</v>
      </c>
      <c r="DS145" s="77"/>
    </row>
    <row r="146" spans="1:123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  <c r="DQ146" s="72"/>
      <c r="DR146" s="72">
        <v>0</v>
      </c>
      <c r="DS146" s="77"/>
    </row>
    <row r="147" spans="1:123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  <c r="DQ147" s="72"/>
      <c r="DR147" s="72">
        <v>0</v>
      </c>
      <c r="DS147" s="77"/>
    </row>
    <row r="148" spans="1:123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  <c r="DQ148" s="72"/>
      <c r="DR148" s="72">
        <v>30</v>
      </c>
      <c r="DS148" s="77"/>
    </row>
    <row r="149" spans="1:123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  <c r="DQ149" s="72"/>
      <c r="DR149" s="72">
        <v>50</v>
      </c>
      <c r="DS149" s="77"/>
    </row>
    <row r="150" spans="1:123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  <c r="DQ150" s="72"/>
      <c r="DR150" s="72">
        <v>30</v>
      </c>
      <c r="DS150" s="77"/>
    </row>
    <row r="151" spans="1:123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  <c r="DQ151" s="72"/>
      <c r="DR151" s="72">
        <v>20</v>
      </c>
      <c r="DS151" s="77"/>
    </row>
    <row r="152" spans="1:123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  <c r="DQ152" s="72"/>
      <c r="DR152" s="72">
        <v>0</v>
      </c>
      <c r="DS152" s="77"/>
    </row>
    <row r="153" spans="1:123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  <c r="DQ153" s="72"/>
      <c r="DR153" s="72">
        <v>0</v>
      </c>
      <c r="DS153" s="77"/>
    </row>
    <row r="154" spans="1:123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  <c r="DQ154" s="72"/>
      <c r="DR154" s="72">
        <v>0</v>
      </c>
      <c r="DS154" s="77"/>
    </row>
    <row r="155" spans="1:123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  <c r="DQ155" s="72"/>
      <c r="DR155" s="72">
        <v>0</v>
      </c>
      <c r="DS155" s="77"/>
    </row>
    <row r="156" spans="1:123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  <c r="DQ156" s="72"/>
      <c r="DR156" s="72">
        <v>0</v>
      </c>
      <c r="DS156" s="77"/>
    </row>
    <row r="157" spans="1:123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  <c r="DQ157" s="72"/>
      <c r="DR157" s="72">
        <v>54</v>
      </c>
      <c r="DS157" s="77"/>
    </row>
    <row r="158" spans="1:123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  <c r="DQ158" s="72"/>
      <c r="DR158" s="72">
        <v>1163</v>
      </c>
      <c r="DS158" s="77"/>
    </row>
    <row r="159" spans="1:123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  <c r="DQ159" s="72"/>
      <c r="DR159" s="72">
        <v>662</v>
      </c>
      <c r="DS159" s="77"/>
    </row>
    <row r="160" spans="1:123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  <c r="DQ160" s="72"/>
      <c r="DR160" s="72">
        <v>0</v>
      </c>
      <c r="DS160" s="77"/>
    </row>
    <row r="161" spans="1:123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  <c r="DQ161" s="72"/>
      <c r="DR161" s="72">
        <v>0</v>
      </c>
      <c r="DS161" s="77"/>
    </row>
    <row r="162" spans="1:123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  <c r="DQ162" s="72"/>
      <c r="DR162" s="72">
        <v>0</v>
      </c>
      <c r="DS162" s="77"/>
    </row>
    <row r="163" spans="1:123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  <c r="DQ163" s="72"/>
      <c r="DR163" s="72">
        <v>30</v>
      </c>
      <c r="DS163" s="77"/>
    </row>
    <row r="164" spans="1:123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  <c r="DQ164" s="72"/>
      <c r="DR164" s="72">
        <v>30</v>
      </c>
      <c r="DS164" s="77"/>
    </row>
    <row r="165" spans="1:123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  <c r="DQ165" s="72"/>
      <c r="DR165" s="72">
        <v>10</v>
      </c>
      <c r="DS165" s="77"/>
    </row>
    <row r="166" spans="1:123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  <c r="DQ166" s="72"/>
      <c r="DR166" s="72">
        <v>10</v>
      </c>
      <c r="DS166" s="77"/>
    </row>
    <row r="167" spans="1:123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  <c r="DQ167" s="75"/>
      <c r="DR167" s="72">
        <v>4</v>
      </c>
      <c r="DS167" s="77"/>
    </row>
    <row r="168" spans="1:123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  <c r="DQ168" s="75"/>
      <c r="DR168" s="72">
        <v>14</v>
      </c>
      <c r="DS168" s="77"/>
    </row>
    <row r="169" spans="1:123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  <c r="DQ169" s="72"/>
      <c r="DR169" s="72">
        <v>491</v>
      </c>
      <c r="DS169" s="77"/>
    </row>
    <row r="170" spans="1:123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  <c r="DQ170" s="72"/>
      <c r="DR170" s="72">
        <v>0</v>
      </c>
      <c r="DS170" s="77"/>
    </row>
    <row r="171" spans="1:123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  <c r="DQ171" s="72"/>
      <c r="DR171" s="72">
        <v>139</v>
      </c>
      <c r="DS171" s="77"/>
    </row>
    <row r="172" spans="1:123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  <c r="DQ172" s="72"/>
      <c r="DR172" s="72">
        <v>3112</v>
      </c>
      <c r="DS172" s="90"/>
    </row>
    <row r="173" spans="1:123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  <c r="DQ173" s="72"/>
      <c r="DR173" s="72">
        <v>3538</v>
      </c>
      <c r="DS173" s="90"/>
    </row>
    <row r="174" spans="1:123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  <c r="DQ174" s="75"/>
      <c r="DR174" s="72">
        <v>1000</v>
      </c>
      <c r="DS174" s="90"/>
    </row>
    <row r="175" spans="1:123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  <c r="DQ175" s="75"/>
      <c r="DR175" s="72">
        <v>8</v>
      </c>
      <c r="DS175" s="90"/>
    </row>
    <row r="176" spans="1:123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  <c r="DQ176" s="75"/>
      <c r="DR176" s="72">
        <v>12</v>
      </c>
      <c r="DS176" s="138"/>
    </row>
    <row r="177" spans="1:123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  <c r="DQ177" s="72"/>
      <c r="DR177" s="72">
        <v>427</v>
      </c>
      <c r="DS177" s="139"/>
    </row>
    <row r="178" spans="1:123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  <c r="DQ178" s="75"/>
      <c r="DR178" s="72">
        <v>0</v>
      </c>
      <c r="DS178" s="77"/>
    </row>
    <row r="179" spans="1:123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  <c r="DQ179" s="75"/>
      <c r="DR179" s="72">
        <v>0</v>
      </c>
      <c r="DS179" s="77"/>
    </row>
    <row r="180" spans="1:123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  <c r="DQ180" s="72"/>
      <c r="DR180" s="72">
        <v>407</v>
      </c>
      <c r="DS180" s="137"/>
    </row>
    <row r="181" spans="1:123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  <c r="DQ181" s="75"/>
      <c r="DR181" s="72">
        <v>0</v>
      </c>
      <c r="DS181" s="77"/>
    </row>
    <row r="182" spans="1:123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  <c r="DQ182" s="75"/>
      <c r="DR182" s="72">
        <v>30</v>
      </c>
      <c r="DS182" s="77"/>
    </row>
    <row r="183" spans="1:123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  <c r="DQ183" s="72"/>
      <c r="DR183" s="72">
        <v>0</v>
      </c>
      <c r="DS183" s="77"/>
    </row>
    <row r="184" spans="1:123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  <c r="DQ184" s="75"/>
      <c r="DR184" s="72">
        <v>0</v>
      </c>
      <c r="DS184" s="137"/>
    </row>
    <row r="185" spans="1:123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  <c r="DQ185" s="72"/>
      <c r="DR185" s="72">
        <v>1918</v>
      </c>
      <c r="DS185" s="77"/>
    </row>
    <row r="186" spans="1:123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  <c r="DQ186" s="72"/>
      <c r="DR186" s="72">
        <v>6486</v>
      </c>
      <c r="DS186" s="77"/>
    </row>
    <row r="187" spans="1:123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  <c r="DQ187" s="72"/>
      <c r="DR187" s="72">
        <v>87</v>
      </c>
      <c r="DS187" s="139"/>
    </row>
    <row r="188" spans="1:123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  <c r="DQ188" s="72"/>
      <c r="DR188" s="72">
        <v>10</v>
      </c>
      <c r="DS188" s="77"/>
    </row>
    <row r="189" spans="1:123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  <c r="DQ189" s="72"/>
      <c r="DR189" s="72">
        <v>0</v>
      </c>
      <c r="DS189" s="90"/>
    </row>
    <row r="190" spans="1:123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  <c r="DQ190" s="75"/>
      <c r="DR190" s="72">
        <v>0</v>
      </c>
      <c r="DS190" s="77"/>
    </row>
    <row r="191" spans="1:123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  <c r="DQ191" s="72"/>
      <c r="DR191" s="72">
        <v>1</v>
      </c>
      <c r="DS191" s="77"/>
    </row>
    <row r="192" spans="1:123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  <c r="DQ192" s="72"/>
      <c r="DR192" s="72">
        <v>3</v>
      </c>
      <c r="DS192" s="77"/>
    </row>
    <row r="193" spans="1:123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  <c r="DQ193" s="72"/>
      <c r="DR193" s="72">
        <v>264</v>
      </c>
      <c r="DS193" s="77"/>
    </row>
    <row r="194" spans="1:123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  <c r="DQ194" s="72"/>
      <c r="DR194" s="72">
        <v>83</v>
      </c>
      <c r="DS194" s="77"/>
    </row>
    <row r="195" spans="1:123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5">M195*DP195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  <c r="DQ195" s="72"/>
      <c r="DR195" s="72">
        <v>763</v>
      </c>
      <c r="DS195" s="77"/>
    </row>
    <row r="196" spans="1:123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  <c r="DQ196" s="72"/>
      <c r="DR196" s="72">
        <v>476</v>
      </c>
      <c r="DS196" s="77"/>
    </row>
    <row r="197" spans="1:123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  <c r="DQ197" s="72"/>
      <c r="DR197" s="72">
        <v>492</v>
      </c>
      <c r="DS197" s="77"/>
    </row>
    <row r="198" spans="1:123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  <c r="DQ198" s="72"/>
      <c r="DR198" s="72">
        <v>100</v>
      </c>
      <c r="DS198" s="77"/>
    </row>
    <row r="199" spans="1:123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  <c r="DQ199" s="72"/>
      <c r="DR199" s="72">
        <v>488</v>
      </c>
      <c r="DS199" s="77"/>
    </row>
    <row r="200" spans="1:123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  <c r="DQ200" s="72"/>
      <c r="DR200" s="72">
        <v>302</v>
      </c>
      <c r="DS200" s="77"/>
    </row>
    <row r="201" spans="1:123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  <c r="DQ201" s="72"/>
      <c r="DR201" s="72">
        <v>102</v>
      </c>
      <c r="DS201" s="77"/>
    </row>
    <row r="202" spans="1:123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  <c r="DQ202" s="72"/>
      <c r="DR202" s="72">
        <v>76</v>
      </c>
      <c r="DS202" s="77"/>
    </row>
    <row r="203" spans="1:123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  <c r="DQ203" s="72"/>
      <c r="DR203" s="72">
        <v>0</v>
      </c>
      <c r="DS203" s="77"/>
    </row>
    <row r="204" spans="1:123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  <c r="DQ204" s="72"/>
      <c r="DR204" s="72">
        <v>0</v>
      </c>
      <c r="DS204" s="77"/>
    </row>
    <row r="205" spans="1:123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  <c r="DQ205" s="72"/>
      <c r="DR205" s="72">
        <v>57</v>
      </c>
      <c r="DS205" s="77"/>
    </row>
    <row r="206" spans="1:123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  <c r="DQ206" s="72"/>
      <c r="DR206" s="72">
        <v>14</v>
      </c>
      <c r="DS206" s="77"/>
    </row>
    <row r="207" spans="1:123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  <c r="DQ207" s="72"/>
      <c r="DR207" s="72">
        <v>295</v>
      </c>
      <c r="DS207" s="77"/>
    </row>
    <row r="208" spans="1:123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  <c r="DQ208" s="72"/>
      <c r="DR208" s="72">
        <v>325</v>
      </c>
      <c r="DS208" s="77"/>
    </row>
    <row r="209" spans="1:123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  <c r="DQ209" s="75"/>
      <c r="DR209" s="72">
        <v>332</v>
      </c>
      <c r="DS209" s="77"/>
    </row>
    <row r="210" spans="1:123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  <c r="DQ210" s="75"/>
      <c r="DR210" s="72">
        <v>1275</v>
      </c>
      <c r="DS210" s="77"/>
    </row>
    <row r="211" spans="1:123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  <c r="DQ211" s="75"/>
      <c r="DR211" s="72">
        <v>884</v>
      </c>
      <c r="DS211" s="77"/>
    </row>
    <row r="212" spans="1:123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  <c r="DQ212" s="75"/>
      <c r="DR212" s="72">
        <v>135</v>
      </c>
      <c r="DS212" s="77"/>
    </row>
    <row r="213" spans="1:123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  <c r="DQ213" s="75"/>
      <c r="DR213" s="72">
        <v>804</v>
      </c>
      <c r="DS213" s="77"/>
    </row>
    <row r="214" spans="1:123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  <c r="DQ214" s="75"/>
      <c r="DR214" s="72">
        <v>969</v>
      </c>
      <c r="DS214" s="77"/>
    </row>
    <row r="215" spans="1:123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  <c r="DQ215" s="75"/>
      <c r="DR215" s="72">
        <v>16</v>
      </c>
      <c r="DS215" s="77"/>
    </row>
    <row r="216" spans="1:123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  <c r="DQ216" s="75"/>
      <c r="DR216" s="72">
        <v>1490</v>
      </c>
      <c r="DS216" s="77"/>
    </row>
    <row r="217" spans="1:123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  <c r="DQ217" s="75"/>
      <c r="DR217" s="72">
        <v>1223</v>
      </c>
      <c r="DS217" s="77"/>
    </row>
    <row r="218" spans="1:123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  <c r="DQ218" s="75"/>
      <c r="DR218" s="72">
        <v>0</v>
      </c>
      <c r="DS218" s="77"/>
    </row>
    <row r="219" spans="1:123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  <c r="DQ219" s="72"/>
      <c r="DR219" s="72">
        <v>1154</v>
      </c>
      <c r="DS219" s="77"/>
    </row>
    <row r="220" spans="1:123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  <c r="DQ220" s="72"/>
      <c r="DR220" s="72">
        <v>1322</v>
      </c>
      <c r="DS220" s="77"/>
    </row>
    <row r="221" spans="1:123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  <c r="DQ221" s="72"/>
      <c r="DR221" s="72">
        <v>11439</v>
      </c>
      <c r="DS221" s="139"/>
    </row>
    <row r="222" spans="1:123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  <c r="DQ222" s="72"/>
      <c r="DR222" s="72">
        <v>945</v>
      </c>
      <c r="DS222" s="139"/>
    </row>
    <row r="223" spans="1:123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  <c r="DQ223" s="72"/>
      <c r="DR223" s="72">
        <v>687</v>
      </c>
      <c r="DS223" s="77"/>
    </row>
    <row r="224" spans="1:123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  <c r="DQ224" s="72"/>
      <c r="DR224" s="72">
        <v>101</v>
      </c>
      <c r="DS224" s="77"/>
    </row>
    <row r="225" spans="1:123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1501.5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  <c r="DQ225" s="72"/>
      <c r="DR225" s="72">
        <v>312</v>
      </c>
      <c r="DS225" s="77"/>
    </row>
    <row r="226" spans="1:123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  <c r="DQ226" s="72"/>
      <c r="DR226" s="72">
        <v>88</v>
      </c>
      <c r="DS226" s="77"/>
    </row>
    <row r="227" spans="1:123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  <c r="DQ227" s="72"/>
      <c r="DR227" s="72">
        <v>114</v>
      </c>
      <c r="DS227" s="77"/>
    </row>
    <row r="228" spans="1:123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  <c r="DQ228" s="75"/>
      <c r="DR228" s="72">
        <v>0</v>
      </c>
      <c r="DS228" s="77"/>
    </row>
    <row r="229" spans="1:123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  <c r="DQ229" s="75"/>
      <c r="DR229" s="72">
        <v>10</v>
      </c>
      <c r="DS229" s="77"/>
    </row>
    <row r="230" spans="1:123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  <c r="DQ230" s="72"/>
      <c r="DR230" s="72">
        <v>0</v>
      </c>
      <c r="DS230" s="77"/>
    </row>
    <row r="231" spans="1:123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  <c r="DQ231" s="72"/>
      <c r="DR231" s="72">
        <v>0</v>
      </c>
      <c r="DS231" s="77"/>
    </row>
    <row r="232" spans="1:123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  <c r="DQ232" s="75"/>
      <c r="DR232" s="72">
        <v>26</v>
      </c>
      <c r="DS232" s="134"/>
    </row>
    <row r="233" spans="1:123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/>
      <c r="DR233" s="72">
        <v>10</v>
      </c>
      <c r="DS233" s="77"/>
    </row>
    <row r="234" spans="1:123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  <c r="DQ234" s="75"/>
      <c r="DR234" s="72">
        <v>21</v>
      </c>
      <c r="DS234" s="77"/>
    </row>
    <row r="235" spans="1:123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/>
      <c r="DR235" s="72">
        <v>0</v>
      </c>
      <c r="DS235" s="77"/>
    </row>
    <row r="236" spans="1:123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  <c r="DQ236" s="72"/>
      <c r="DR236" s="72">
        <v>49</v>
      </c>
      <c r="DS236" s="137"/>
    </row>
    <row r="237" spans="1:123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  <c r="DQ237" s="72"/>
      <c r="DR237" s="72">
        <v>21</v>
      </c>
      <c r="DS237" s="77"/>
    </row>
    <row r="238" spans="1:123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  <c r="DQ238" s="72"/>
      <c r="DR238" s="72">
        <v>4</v>
      </c>
      <c r="DS238" s="77"/>
    </row>
    <row r="239" spans="1:123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  <c r="DQ239" s="72"/>
      <c r="DR239" s="72">
        <v>30</v>
      </c>
      <c r="DS239" s="77"/>
    </row>
    <row r="240" spans="1:123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  <c r="DQ240" s="72"/>
      <c r="DR240" s="72">
        <v>4</v>
      </c>
      <c r="DS240" s="77"/>
    </row>
    <row r="241" spans="1:123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  <c r="DQ241" s="72"/>
      <c r="DR241" s="72">
        <v>20</v>
      </c>
      <c r="DS241" s="77"/>
    </row>
    <row r="242" spans="1:123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  <c r="DQ242" s="72"/>
      <c r="DR242" s="72">
        <v>39</v>
      </c>
      <c r="DS242" s="77"/>
    </row>
    <row r="243" spans="1:123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  <c r="DQ243" s="72"/>
      <c r="DR243" s="72">
        <v>8</v>
      </c>
      <c r="DS243" s="77"/>
    </row>
    <row r="244" spans="1:123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/>
      <c r="DR244" s="72">
        <v>4</v>
      </c>
      <c r="DS244" s="77"/>
    </row>
    <row r="245" spans="1:123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  <c r="DQ245" s="72"/>
      <c r="DR245" s="72">
        <v>12</v>
      </c>
      <c r="DS245" s="77"/>
    </row>
    <row r="246" spans="1:123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  <c r="DQ246" s="72"/>
      <c r="DR246" s="72">
        <v>0</v>
      </c>
      <c r="DS246" s="77"/>
    </row>
    <row r="247" spans="1:123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  <c r="DQ247" s="72"/>
      <c r="DR247" s="72">
        <v>8</v>
      </c>
      <c r="DS247" s="77"/>
    </row>
    <row r="248" spans="1:123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  <c r="DQ248" s="72"/>
      <c r="DR248" s="72">
        <v>7</v>
      </c>
      <c r="DS248" s="77"/>
    </row>
    <row r="249" spans="1:123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  <c r="DQ249" s="72"/>
      <c r="DR249" s="72">
        <v>1</v>
      </c>
      <c r="DS249" s="77"/>
    </row>
    <row r="250" spans="1:123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  <c r="DQ250" s="72"/>
      <c r="DR250" s="72">
        <v>8</v>
      </c>
      <c r="DS250" s="77"/>
    </row>
    <row r="251" spans="1:123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  <c r="DQ251" s="72"/>
      <c r="DR251" s="72">
        <v>3</v>
      </c>
      <c r="DS251" s="77"/>
    </row>
    <row r="252" spans="1:123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  <c r="DQ252" s="72"/>
      <c r="DR252" s="72">
        <v>5</v>
      </c>
      <c r="DS252" s="77"/>
    </row>
    <row r="253" spans="1:123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  <c r="DQ253" s="72"/>
      <c r="DR253" s="72">
        <v>0</v>
      </c>
      <c r="DS253" s="77"/>
    </row>
    <row r="254" spans="1:123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  <c r="DQ254" s="72"/>
      <c r="DR254" s="72">
        <v>5</v>
      </c>
      <c r="DS254" s="77"/>
    </row>
    <row r="255" spans="1:123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  <c r="DQ255" s="72"/>
      <c r="DR255" s="72">
        <v>0</v>
      </c>
      <c r="DS255" s="77"/>
    </row>
    <row r="256" spans="1:123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  <c r="DQ256" s="72"/>
      <c r="DR256" s="72">
        <v>0</v>
      </c>
      <c r="DS256" s="77"/>
    </row>
    <row r="257" spans="1:123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/>
      <c r="DR257" s="72">
        <v>0</v>
      </c>
      <c r="DS257" s="77"/>
    </row>
    <row r="258" spans="1:123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5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  <c r="DQ258" s="72"/>
      <c r="DR258" s="72">
        <v>0</v>
      </c>
      <c r="DS258" s="77"/>
    </row>
    <row r="259" spans="1:123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6">M259*DP259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/>
      <c r="DR259" s="72">
        <v>0</v>
      </c>
      <c r="DS259" s="77"/>
    </row>
    <row r="260" spans="1:123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  <c r="DQ260" s="72"/>
      <c r="DR260" s="72">
        <v>3</v>
      </c>
      <c r="DS260" s="137"/>
    </row>
    <row r="261" spans="1:123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/>
      <c r="DR261" s="72">
        <v>0</v>
      </c>
      <c r="DS261" s="90"/>
    </row>
    <row r="262" spans="1:123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  <c r="DQ262" s="72"/>
      <c r="DR262" s="72">
        <v>23</v>
      </c>
      <c r="DS262" s="77"/>
    </row>
    <row r="263" spans="1:123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  <c r="DQ263" s="72"/>
      <c r="DR263" s="72">
        <v>1</v>
      </c>
      <c r="DS263" s="77"/>
    </row>
    <row r="264" spans="1:123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  <c r="DQ264" s="72"/>
      <c r="DR264" s="72">
        <v>40</v>
      </c>
      <c r="DS264" s="77"/>
    </row>
    <row r="265" spans="1:123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  <c r="DQ265" s="72"/>
      <c r="DR265" s="72">
        <v>1</v>
      </c>
      <c r="DS265" s="77"/>
    </row>
    <row r="266" spans="1:123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  <c r="DQ266" s="72"/>
      <c r="DR266" s="72">
        <v>42</v>
      </c>
      <c r="DS266" s="77"/>
    </row>
    <row r="267" spans="1:123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  <c r="DQ267" s="72"/>
      <c r="DR267" s="72">
        <v>0</v>
      </c>
      <c r="DS267" s="77"/>
    </row>
    <row r="268" spans="1:123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  <c r="DQ268" s="72"/>
      <c r="DR268" s="72">
        <v>3</v>
      </c>
      <c r="DS268" s="77"/>
    </row>
    <row r="269" spans="1:123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  <c r="DQ269" s="72"/>
      <c r="DR269" s="72">
        <v>4</v>
      </c>
      <c r="DS269" s="77"/>
    </row>
    <row r="270" spans="1:123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0.16339999999999999</v>
      </c>
      <c r="N270" s="12">
        <f t="shared" si="6"/>
        <v>77.124799999999993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  <c r="DQ270" s="72"/>
      <c r="DR270" s="72">
        <v>472</v>
      </c>
      <c r="DS270" s="137"/>
    </row>
    <row r="271" spans="1:123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  <c r="DQ271" s="72"/>
      <c r="DR271" s="72">
        <v>1</v>
      </c>
      <c r="DS271" s="77"/>
    </row>
    <row r="272" spans="1:123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  <c r="DQ272" s="72"/>
      <c r="DR272" s="72">
        <v>1</v>
      </c>
      <c r="DS272" s="77"/>
    </row>
    <row r="273" spans="1:123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  <c r="DQ273" s="72"/>
      <c r="DR273" s="72">
        <v>1</v>
      </c>
      <c r="DS273" s="77"/>
    </row>
    <row r="274" spans="1:123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  <c r="DQ274" s="72"/>
      <c r="DR274" s="72">
        <v>1</v>
      </c>
      <c r="DS274" s="90"/>
    </row>
    <row r="275" spans="1:123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  <c r="DQ275" s="72"/>
      <c r="DR275" s="72">
        <v>0</v>
      </c>
      <c r="DS275" s="134"/>
    </row>
    <row r="276" spans="1:123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  <c r="DQ276" s="72"/>
      <c r="DR276" s="72">
        <v>0</v>
      </c>
      <c r="DS276" s="77"/>
    </row>
    <row r="277" spans="1:123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  <c r="DQ277" s="72"/>
      <c r="DR277" s="72">
        <v>0</v>
      </c>
      <c r="DS277" s="137"/>
    </row>
    <row r="278" spans="1:123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6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  <c r="DQ278" s="72"/>
      <c r="DR278" s="72">
        <v>0</v>
      </c>
      <c r="DS278" s="77"/>
    </row>
    <row r="279" spans="1:123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  <c r="DQ279" s="72"/>
      <c r="DR279" s="72">
        <v>0</v>
      </c>
      <c r="DS279" s="77"/>
    </row>
    <row r="280" spans="1:123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  <c r="DP280" s="72">
        <v>1</v>
      </c>
      <c r="DQ280" s="72"/>
      <c r="DR280" s="72">
        <v>1</v>
      </c>
      <c r="DS280" s="77"/>
    </row>
    <row r="281" spans="1:123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6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  <c r="DO281" s="72">
        <v>0</v>
      </c>
      <c r="DP281" s="72">
        <v>0</v>
      </c>
      <c r="DQ281" s="72"/>
      <c r="DR281" s="72">
        <v>0</v>
      </c>
      <c r="DS281" s="77"/>
    </row>
    <row r="282" spans="1:123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6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  <c r="DO282" s="72">
        <v>5</v>
      </c>
      <c r="DP282" s="72">
        <v>5</v>
      </c>
      <c r="DQ282" s="72"/>
      <c r="DR282" s="72">
        <v>5</v>
      </c>
      <c r="DS282" s="77"/>
    </row>
    <row r="283" spans="1:123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6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  <c r="DO283" s="72">
        <v>0</v>
      </c>
      <c r="DP283" s="72">
        <v>0</v>
      </c>
      <c r="DQ283" s="72"/>
      <c r="DR283" s="72">
        <v>0</v>
      </c>
      <c r="DS283" s="77"/>
    </row>
    <row r="284" spans="1:123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6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  <c r="DO284" s="72">
        <v>1</v>
      </c>
      <c r="DP284" s="72">
        <v>1</v>
      </c>
      <c r="DQ284" s="72"/>
      <c r="DR284" s="72">
        <v>1</v>
      </c>
      <c r="DS284" s="77"/>
    </row>
    <row r="285" spans="1:123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  <c r="DP285" s="72">
        <v>0</v>
      </c>
      <c r="DQ285" s="72"/>
      <c r="DR285" s="72">
        <v>0</v>
      </c>
      <c r="DS285" s="77"/>
    </row>
    <row r="286" spans="1:123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  <c r="DP286" s="72">
        <v>0</v>
      </c>
      <c r="DQ286" s="72"/>
      <c r="DR286" s="72">
        <v>0</v>
      </c>
      <c r="DS286" s="77"/>
    </row>
    <row r="287" spans="1:123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6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  <c r="DO287" s="72">
        <v>2</v>
      </c>
      <c r="DP287" s="72">
        <v>2</v>
      </c>
      <c r="DQ287" s="72"/>
      <c r="DR287" s="72">
        <v>2</v>
      </c>
      <c r="DS287" s="137"/>
    </row>
    <row r="288" spans="1:123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6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  <c r="DP288" s="72">
        <v>0</v>
      </c>
      <c r="DQ288" s="72"/>
      <c r="DR288" s="72">
        <v>0</v>
      </c>
      <c r="DS288" s="77"/>
    </row>
    <row r="289" spans="1:123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  <c r="DQ289" s="72"/>
      <c r="DR289" s="72">
        <v>0</v>
      </c>
      <c r="DS289" s="77"/>
    </row>
    <row r="290" spans="1:123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  <c r="DQ290" s="72"/>
      <c r="DR290" s="72">
        <v>0</v>
      </c>
      <c r="DS290" s="77"/>
    </row>
    <row r="291" spans="1:123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/>
      <c r="DR291" s="72">
        <v>0</v>
      </c>
      <c r="DS291" s="77"/>
    </row>
    <row r="292" spans="1:123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  <c r="DQ292" s="72"/>
      <c r="DR292" s="72">
        <v>0</v>
      </c>
      <c r="DS292" s="77"/>
    </row>
    <row r="293" spans="1:123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/>
      <c r="DR293" s="72">
        <v>0</v>
      </c>
      <c r="DS293" s="77"/>
    </row>
    <row r="294" spans="1:123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6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  <c r="DO294" s="72">
        <v>1</v>
      </c>
      <c r="DP294" s="72">
        <v>1</v>
      </c>
      <c r="DQ294" s="72"/>
      <c r="DR294" s="72">
        <v>1</v>
      </c>
      <c r="DS294" s="137"/>
    </row>
    <row r="295" spans="1:123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  <c r="DP295" s="72"/>
      <c r="DQ295" s="72"/>
      <c r="DR295" s="72">
        <v>0</v>
      </c>
      <c r="DS295" s="77"/>
    </row>
    <row r="296" spans="1:123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/>
      <c r="DR296" s="72">
        <v>0</v>
      </c>
      <c r="DS296" s="77"/>
    </row>
    <row r="297" spans="1:123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/>
      <c r="DR297" s="72">
        <v>0</v>
      </c>
      <c r="DS297" s="77"/>
    </row>
    <row r="298" spans="1:123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/>
      <c r="DR298" s="72">
        <v>0</v>
      </c>
      <c r="DS298" s="77"/>
    </row>
    <row r="299" spans="1:123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6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/>
      <c r="DR299" s="72">
        <v>0</v>
      </c>
      <c r="DS299" s="77"/>
    </row>
    <row r="300" spans="1:123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6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  <c r="DO300" s="72">
        <v>252</v>
      </c>
      <c r="DP300" s="72">
        <v>252</v>
      </c>
      <c r="DQ300" s="72"/>
      <c r="DR300" s="72">
        <v>252</v>
      </c>
      <c r="DS300" s="137"/>
    </row>
    <row r="301" spans="1:123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  <c r="DQ301" s="72"/>
      <c r="DR301" s="72">
        <v>0</v>
      </c>
      <c r="DS301" s="137"/>
    </row>
    <row r="302" spans="1:123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/>
      <c r="DR302" s="72">
        <v>0</v>
      </c>
      <c r="DS302" s="77"/>
    </row>
    <row r="303" spans="1:123" ht="26.55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6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  <c r="DQ303" s="72"/>
      <c r="DR303" s="72">
        <v>0</v>
      </c>
      <c r="DS303" s="77"/>
    </row>
    <row r="304" spans="1:123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/>
      <c r="DR304" s="72">
        <v>0</v>
      </c>
      <c r="DS304" s="77"/>
    </row>
    <row r="305" spans="1:123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6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  <c r="DO305" s="72">
        <v>2</v>
      </c>
      <c r="DP305" s="72">
        <v>2</v>
      </c>
      <c r="DQ305" s="72"/>
      <c r="DR305" s="72">
        <v>2</v>
      </c>
      <c r="DS305" s="77"/>
    </row>
    <row r="306" spans="1:123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6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  <c r="DO306" s="72">
        <v>3</v>
      </c>
      <c r="DP306" s="72">
        <v>3</v>
      </c>
      <c r="DQ306" s="72"/>
      <c r="DR306" s="72">
        <v>3</v>
      </c>
      <c r="DS306" s="137"/>
    </row>
    <row r="307" spans="1:123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6"/>
        <v>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  <c r="DO307" s="72">
        <v>1</v>
      </c>
      <c r="DP307" s="72">
        <v>0</v>
      </c>
      <c r="DQ307" s="72"/>
      <c r="DR307" s="72">
        <v>0</v>
      </c>
      <c r="DS307" s="77"/>
    </row>
    <row r="308" spans="1:123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6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/>
      <c r="DR308" s="72">
        <v>0</v>
      </c>
      <c r="DS308" s="134"/>
    </row>
    <row r="309" spans="1:123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6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  <c r="DQ309" s="72"/>
      <c r="DR309" s="72">
        <v>0</v>
      </c>
      <c r="DS309" s="77"/>
    </row>
    <row r="310" spans="1:123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6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/>
      <c r="DR310" s="72">
        <v>0</v>
      </c>
      <c r="DS310" s="77"/>
    </row>
    <row r="311" spans="1:123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  <c r="DQ311" s="72"/>
      <c r="DR311" s="72">
        <v>0</v>
      </c>
      <c r="DS311" s="77"/>
    </row>
    <row r="312" spans="1:123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6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  <c r="DO312" s="72">
        <v>1</v>
      </c>
      <c r="DP312" s="72">
        <v>1</v>
      </c>
      <c r="DQ312" s="72"/>
      <c r="DR312" s="72">
        <v>1</v>
      </c>
      <c r="DS312" s="77"/>
    </row>
    <row r="313" spans="1:123" x14ac:dyDescent="0.35">
      <c r="A313" s="7"/>
      <c r="B313" s="77" t="s">
        <v>1574</v>
      </c>
      <c r="C313" s="9" t="s">
        <v>1577</v>
      </c>
      <c r="D313" s="10" t="s">
        <v>1579</v>
      </c>
      <c r="E313" s="8" t="s">
        <v>1452</v>
      </c>
      <c r="F313" s="10"/>
      <c r="G313" s="10"/>
      <c r="H313" s="10"/>
      <c r="I313" s="11"/>
      <c r="J313" s="10"/>
      <c r="K313" s="10"/>
      <c r="L313" s="8"/>
      <c r="M313" s="12">
        <v>448.05</v>
      </c>
      <c r="N313" s="12">
        <f t="shared" si="6"/>
        <v>3584.4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>
        <v>8</v>
      </c>
      <c r="DP313" s="72">
        <v>8</v>
      </c>
      <c r="DQ313" s="72">
        <v>8</v>
      </c>
      <c r="DR313" s="72">
        <v>0</v>
      </c>
      <c r="DS313" s="77" t="s">
        <v>1591</v>
      </c>
    </row>
    <row r="314" spans="1:123" ht="26.55" x14ac:dyDescent="0.35">
      <c r="A314" s="7"/>
      <c r="B314" s="77" t="s">
        <v>1575</v>
      </c>
      <c r="C314" s="9" t="s">
        <v>1578</v>
      </c>
      <c r="D314" s="10" t="s">
        <v>1579</v>
      </c>
      <c r="E314" s="8" t="s">
        <v>1519</v>
      </c>
      <c r="F314" s="10"/>
      <c r="G314" s="10"/>
      <c r="H314" s="10"/>
      <c r="I314" s="11"/>
      <c r="J314" s="10"/>
      <c r="K314" s="10"/>
      <c r="L314" s="8"/>
      <c r="M314" s="12">
        <v>54.59</v>
      </c>
      <c r="N314" s="12">
        <f t="shared" si="6"/>
        <v>436.72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  <c r="DA314" s="72"/>
      <c r="DB314" s="72"/>
      <c r="DC314" s="72"/>
      <c r="DD314" s="72"/>
      <c r="DE314" s="72"/>
      <c r="DF314" s="72"/>
      <c r="DG314" s="72"/>
      <c r="DH314" s="72"/>
      <c r="DI314" s="72"/>
      <c r="DJ314" s="72"/>
      <c r="DK314" s="72"/>
      <c r="DL314" s="72"/>
      <c r="DM314" s="72"/>
      <c r="DN314" s="72"/>
      <c r="DO314" s="72">
        <v>8</v>
      </c>
      <c r="DP314" s="72">
        <v>8</v>
      </c>
      <c r="DQ314" s="72">
        <v>8</v>
      </c>
      <c r="DR314" s="72">
        <v>0</v>
      </c>
      <c r="DS314" s="77" t="s">
        <v>1591</v>
      </c>
    </row>
    <row r="315" spans="1:123" x14ac:dyDescent="0.35">
      <c r="A315" s="7"/>
      <c r="B315" s="77" t="s">
        <v>1538</v>
      </c>
      <c r="C315" s="9" t="s">
        <v>1545</v>
      </c>
      <c r="D315" s="10" t="s">
        <v>1076</v>
      </c>
      <c r="E315" s="8" t="s">
        <v>1226</v>
      </c>
      <c r="F315" s="10"/>
      <c r="G315" s="10"/>
      <c r="H315" s="10"/>
      <c r="I315" s="11"/>
      <c r="J315" s="10"/>
      <c r="K315" s="10"/>
      <c r="L315" s="8"/>
      <c r="M315" s="12">
        <v>0.64319999999999999</v>
      </c>
      <c r="N315" s="12">
        <f t="shared" si="6"/>
        <v>38.591999999999999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>
        <v>60</v>
      </c>
      <c r="DI315" s="72">
        <v>60</v>
      </c>
      <c r="DJ315" s="72">
        <v>60</v>
      </c>
      <c r="DK315" s="72">
        <v>60</v>
      </c>
      <c r="DL315" s="72">
        <v>60</v>
      </c>
      <c r="DM315" s="72">
        <v>60</v>
      </c>
      <c r="DN315" s="72">
        <v>60</v>
      </c>
      <c r="DO315" s="72">
        <v>60</v>
      </c>
      <c r="DP315" s="72">
        <v>60</v>
      </c>
      <c r="DQ315" s="72"/>
      <c r="DR315" s="72">
        <v>60</v>
      </c>
      <c r="DS315" s="77"/>
    </row>
    <row r="316" spans="1:123" x14ac:dyDescent="0.35">
      <c r="A316" s="7"/>
      <c r="B316" s="8" t="s">
        <v>1230</v>
      </c>
      <c r="C316" s="9" t="s">
        <v>555</v>
      </c>
      <c r="D316" s="10" t="s">
        <v>549</v>
      </c>
      <c r="E316" s="8" t="s">
        <v>1215</v>
      </c>
      <c r="F316" s="10">
        <v>1002</v>
      </c>
      <c r="G316" s="10" t="s">
        <v>503</v>
      </c>
      <c r="H316" s="10" t="s">
        <v>41</v>
      </c>
      <c r="I316" s="11">
        <v>1</v>
      </c>
      <c r="J316" s="10"/>
      <c r="K316" s="10" t="s">
        <v>556</v>
      </c>
      <c r="L316" s="8"/>
      <c r="M316" s="12"/>
      <c r="N316" s="12">
        <f t="shared" si="6"/>
        <v>0</v>
      </c>
      <c r="O316" s="11">
        <v>4</v>
      </c>
      <c r="P316" s="11">
        <v>4</v>
      </c>
      <c r="Q316" s="11">
        <v>4</v>
      </c>
      <c r="R316" s="11">
        <v>4</v>
      </c>
      <c r="S316" s="11">
        <v>4</v>
      </c>
      <c r="T316" s="11">
        <v>4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  <c r="DQ316" s="72"/>
      <c r="DR316" s="72">
        <v>1</v>
      </c>
      <c r="DS316" s="77"/>
    </row>
    <row r="317" spans="1:123" x14ac:dyDescent="0.35">
      <c r="A317" s="7"/>
      <c r="B317" s="8" t="s">
        <v>1230</v>
      </c>
      <c r="C317" s="9" t="s">
        <v>557</v>
      </c>
      <c r="D317" s="10" t="s">
        <v>549</v>
      </c>
      <c r="E317" s="8" t="s">
        <v>1215</v>
      </c>
      <c r="F317" s="10">
        <v>1006</v>
      </c>
      <c r="G317" s="10" t="s">
        <v>503</v>
      </c>
      <c r="H317" s="10" t="s">
        <v>41</v>
      </c>
      <c r="I317" s="11">
        <v>3</v>
      </c>
      <c r="J317" s="10"/>
      <c r="K317" s="10" t="s">
        <v>556</v>
      </c>
      <c r="L317" s="8"/>
      <c r="M317" s="12"/>
      <c r="N317" s="12">
        <f t="shared" si="6"/>
        <v>0</v>
      </c>
      <c r="O317" s="11">
        <v>14</v>
      </c>
      <c r="P317" s="11">
        <v>14</v>
      </c>
      <c r="Q317" s="11">
        <v>14</v>
      </c>
      <c r="R317" s="11">
        <v>14</v>
      </c>
      <c r="S317" s="11">
        <v>10</v>
      </c>
      <c r="T317" s="11">
        <v>10</v>
      </c>
      <c r="U317" s="11">
        <v>6</v>
      </c>
      <c r="V317" s="11">
        <v>6</v>
      </c>
      <c r="W317" s="11">
        <v>6</v>
      </c>
      <c r="X317" s="11">
        <v>6</v>
      </c>
      <c r="Y317" s="11">
        <v>6</v>
      </c>
      <c r="Z317" s="11">
        <v>6</v>
      </c>
      <c r="AA317" s="11">
        <v>6</v>
      </c>
      <c r="AB317" s="11">
        <v>6</v>
      </c>
      <c r="AC317" s="11">
        <v>6</v>
      </c>
      <c r="AD317" s="11">
        <v>6</v>
      </c>
      <c r="AE317" s="11">
        <v>3</v>
      </c>
      <c r="AF317" s="11">
        <v>3</v>
      </c>
      <c r="AG317" s="11">
        <v>3</v>
      </c>
      <c r="AH317" s="11">
        <v>3</v>
      </c>
      <c r="AI317" s="11">
        <v>3</v>
      </c>
      <c r="AJ317" s="11">
        <v>3</v>
      </c>
      <c r="AK317" s="11">
        <v>3</v>
      </c>
      <c r="AL317" s="11">
        <v>3</v>
      </c>
      <c r="AM317" s="11">
        <v>3</v>
      </c>
      <c r="AN317" s="72">
        <v>3</v>
      </c>
      <c r="AO317" s="72">
        <v>3</v>
      </c>
      <c r="AP317" s="72">
        <v>3</v>
      </c>
      <c r="AQ317" s="72">
        <v>3</v>
      </c>
      <c r="AR317" s="72">
        <v>3</v>
      </c>
      <c r="AS317" s="72">
        <v>3</v>
      </c>
      <c r="AT317" s="72">
        <v>3</v>
      </c>
      <c r="AU317" s="72">
        <v>3</v>
      </c>
      <c r="AV317" s="72">
        <v>3</v>
      </c>
      <c r="AW317" s="72">
        <v>3</v>
      </c>
      <c r="AX317" s="72">
        <v>3</v>
      </c>
      <c r="AY317" s="72">
        <v>3</v>
      </c>
      <c r="AZ317" s="72">
        <v>3</v>
      </c>
      <c r="BA317" s="72">
        <v>3</v>
      </c>
      <c r="BB317" s="72">
        <v>3</v>
      </c>
      <c r="BC317" s="72">
        <v>3</v>
      </c>
      <c r="BD317" s="72">
        <v>3</v>
      </c>
      <c r="BE317" s="72">
        <v>3</v>
      </c>
      <c r="BF317" s="72">
        <v>3</v>
      </c>
      <c r="BG317" s="72">
        <v>3</v>
      </c>
      <c r="BH317" s="72">
        <v>3</v>
      </c>
      <c r="BI317" s="72">
        <v>3</v>
      </c>
      <c r="BJ317" s="72">
        <v>3</v>
      </c>
      <c r="BK317" s="72">
        <v>3</v>
      </c>
      <c r="BL317" s="72">
        <v>3</v>
      </c>
      <c r="BM317" s="72">
        <v>3</v>
      </c>
      <c r="BN317" s="72">
        <v>3</v>
      </c>
      <c r="BO317" s="72">
        <v>3</v>
      </c>
      <c r="BP317" s="72">
        <v>3</v>
      </c>
      <c r="BQ317" s="72">
        <v>3</v>
      </c>
      <c r="BR317" s="72">
        <v>3</v>
      </c>
      <c r="BS317" s="72">
        <v>3</v>
      </c>
      <c r="BT317" s="72">
        <v>3</v>
      </c>
      <c r="BU317" s="72">
        <v>3</v>
      </c>
      <c r="BV317" s="72">
        <v>3</v>
      </c>
      <c r="BW317" s="72">
        <v>3</v>
      </c>
      <c r="BX317" s="72">
        <v>3</v>
      </c>
      <c r="BY317" s="72">
        <v>3</v>
      </c>
      <c r="BZ317" s="72">
        <v>3</v>
      </c>
      <c r="CA317" s="72">
        <v>3</v>
      </c>
      <c r="CB317" s="72">
        <v>3</v>
      </c>
      <c r="CC317" s="72">
        <v>3</v>
      </c>
      <c r="CD317" s="72">
        <v>3</v>
      </c>
      <c r="CE317" s="72">
        <v>3</v>
      </c>
      <c r="CF317" s="72">
        <v>3</v>
      </c>
      <c r="CG317" s="72">
        <v>3</v>
      </c>
      <c r="CH317" s="72">
        <v>3</v>
      </c>
      <c r="CI317" s="72">
        <v>3</v>
      </c>
      <c r="CJ317" s="72">
        <v>3</v>
      </c>
      <c r="CK317" s="72">
        <v>3</v>
      </c>
      <c r="CL317" s="72">
        <v>3</v>
      </c>
      <c r="CM317" s="72">
        <v>3</v>
      </c>
      <c r="CN317" s="72">
        <v>3</v>
      </c>
      <c r="CO317" s="72">
        <v>3</v>
      </c>
      <c r="CP317" s="72">
        <v>3</v>
      </c>
      <c r="CQ317" s="72">
        <v>3</v>
      </c>
      <c r="CR317" s="72">
        <v>3</v>
      </c>
      <c r="CS317" s="72">
        <v>3</v>
      </c>
      <c r="CT317" s="72">
        <v>3</v>
      </c>
      <c r="CU317" s="72">
        <v>3</v>
      </c>
      <c r="CV317" s="72">
        <v>3</v>
      </c>
      <c r="CW317" s="72">
        <v>3</v>
      </c>
      <c r="CX317" s="72">
        <v>3</v>
      </c>
      <c r="CY317" s="72">
        <v>3</v>
      </c>
      <c r="CZ317" s="72">
        <v>3</v>
      </c>
      <c r="DA317" s="72">
        <v>3</v>
      </c>
      <c r="DB317" s="72">
        <v>3</v>
      </c>
      <c r="DC317" s="72">
        <v>3</v>
      </c>
      <c r="DD317" s="72">
        <v>3</v>
      </c>
      <c r="DE317" s="72">
        <v>3</v>
      </c>
      <c r="DF317" s="72">
        <v>3</v>
      </c>
      <c r="DG317" s="72">
        <v>3</v>
      </c>
      <c r="DH317" s="72">
        <v>3</v>
      </c>
      <c r="DI317" s="72">
        <v>3</v>
      </c>
      <c r="DJ317" s="72">
        <v>3</v>
      </c>
      <c r="DK317" s="72">
        <v>3</v>
      </c>
      <c r="DL317" s="72">
        <v>3</v>
      </c>
      <c r="DM317" s="72">
        <v>3</v>
      </c>
      <c r="DN317" s="72">
        <v>3</v>
      </c>
      <c r="DO317" s="72">
        <v>3</v>
      </c>
      <c r="DP317" s="72">
        <v>3</v>
      </c>
      <c r="DQ317" s="72"/>
      <c r="DR317" s="72">
        <v>3</v>
      </c>
      <c r="DS317" s="77"/>
    </row>
    <row r="318" spans="1:123" x14ac:dyDescent="0.35">
      <c r="A318" s="7"/>
      <c r="B318" s="92" t="s">
        <v>1323</v>
      </c>
      <c r="C318" s="9" t="s">
        <v>558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61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61</v>
      </c>
      <c r="P318" s="11">
        <v>61</v>
      </c>
      <c r="Q318" s="11">
        <v>61</v>
      </c>
      <c r="R318" s="11">
        <v>61</v>
      </c>
      <c r="S318" s="11">
        <v>61</v>
      </c>
      <c r="T318" s="11">
        <v>61</v>
      </c>
      <c r="U318" s="11">
        <v>61</v>
      </c>
      <c r="V318" s="11">
        <v>61</v>
      </c>
      <c r="W318" s="11">
        <v>61</v>
      </c>
      <c r="X318" s="11">
        <v>61</v>
      </c>
      <c r="Y318" s="11">
        <v>61</v>
      </c>
      <c r="Z318" s="11">
        <v>61</v>
      </c>
      <c r="AA318" s="11">
        <v>61</v>
      </c>
      <c r="AB318" s="11">
        <v>61</v>
      </c>
      <c r="AC318" s="11">
        <v>61</v>
      </c>
      <c r="AD318" s="11">
        <v>61</v>
      </c>
      <c r="AE318" s="11">
        <v>61</v>
      </c>
      <c r="AF318" s="11">
        <v>61</v>
      </c>
      <c r="AG318" s="11">
        <v>61</v>
      </c>
      <c r="AH318" s="11">
        <v>61</v>
      </c>
      <c r="AI318" s="11">
        <v>61</v>
      </c>
      <c r="AJ318" s="11">
        <v>61</v>
      </c>
      <c r="AK318" s="11">
        <v>61</v>
      </c>
      <c r="AL318" s="11">
        <v>61</v>
      </c>
      <c r="AM318" s="11">
        <v>61</v>
      </c>
      <c r="AN318" s="72">
        <v>61</v>
      </c>
      <c r="AO318" s="72">
        <v>61</v>
      </c>
      <c r="AP318" s="72">
        <v>61</v>
      </c>
      <c r="AQ318" s="72">
        <v>61</v>
      </c>
      <c r="AR318" s="72">
        <v>61</v>
      </c>
      <c r="AS318" s="72">
        <v>61</v>
      </c>
      <c r="AT318" s="72">
        <v>61</v>
      </c>
      <c r="AU318" s="72">
        <v>61</v>
      </c>
      <c r="AV318" s="72">
        <v>61</v>
      </c>
      <c r="AW318" s="72">
        <v>61</v>
      </c>
      <c r="AX318" s="72">
        <v>61</v>
      </c>
      <c r="AY318" s="72">
        <v>61</v>
      </c>
      <c r="AZ318" s="72">
        <v>61</v>
      </c>
      <c r="BA318" s="72">
        <v>61</v>
      </c>
      <c r="BB318" s="72">
        <v>61</v>
      </c>
      <c r="BC318" s="72">
        <v>61</v>
      </c>
      <c r="BD318" s="72">
        <v>61</v>
      </c>
      <c r="BE318" s="72">
        <v>61</v>
      </c>
      <c r="BF318" s="72">
        <v>61</v>
      </c>
      <c r="BG318" s="72">
        <v>61</v>
      </c>
      <c r="BH318" s="72">
        <v>61</v>
      </c>
      <c r="BI318" s="72">
        <v>61</v>
      </c>
      <c r="BJ318" s="72">
        <v>61</v>
      </c>
      <c r="BK318" s="72">
        <v>61</v>
      </c>
      <c r="BL318" s="72">
        <v>61</v>
      </c>
      <c r="BM318" s="72">
        <v>61</v>
      </c>
      <c r="BN318" s="72">
        <v>61</v>
      </c>
      <c r="BO318" s="72">
        <v>61</v>
      </c>
      <c r="BP318" s="72">
        <v>61</v>
      </c>
      <c r="BQ318" s="72">
        <v>61</v>
      </c>
      <c r="BR318" s="72">
        <v>61</v>
      </c>
      <c r="BS318" s="72">
        <v>61</v>
      </c>
      <c r="BT318" s="72">
        <v>61</v>
      </c>
      <c r="BU318" s="72">
        <v>61</v>
      </c>
      <c r="BV318" s="72">
        <v>61</v>
      </c>
      <c r="BW318" s="72">
        <v>61</v>
      </c>
      <c r="BX318" s="72">
        <v>61</v>
      </c>
      <c r="BY318" s="72">
        <v>61</v>
      </c>
      <c r="BZ318" s="72">
        <v>61</v>
      </c>
      <c r="CA318" s="72">
        <v>61</v>
      </c>
      <c r="CB318" s="72">
        <v>61</v>
      </c>
      <c r="CC318" s="72">
        <v>61</v>
      </c>
      <c r="CD318" s="72">
        <v>61</v>
      </c>
      <c r="CE318" s="72">
        <v>61</v>
      </c>
      <c r="CF318" s="72">
        <v>61</v>
      </c>
      <c r="CG318" s="72">
        <v>61</v>
      </c>
      <c r="CH318" s="72">
        <v>61</v>
      </c>
      <c r="CI318" s="72">
        <v>61</v>
      </c>
      <c r="CJ318" s="72">
        <v>61</v>
      </c>
      <c r="CK318" s="72">
        <v>61</v>
      </c>
      <c r="CL318" s="72">
        <v>61</v>
      </c>
      <c r="CM318" s="72">
        <v>61</v>
      </c>
      <c r="CN318" s="72">
        <v>61</v>
      </c>
      <c r="CO318" s="72">
        <v>61</v>
      </c>
      <c r="CP318" s="72">
        <v>61</v>
      </c>
      <c r="CQ318" s="72">
        <v>61</v>
      </c>
      <c r="CR318" s="72">
        <v>61</v>
      </c>
      <c r="CS318" s="72">
        <v>61</v>
      </c>
      <c r="CT318" s="72">
        <v>61</v>
      </c>
      <c r="CU318" s="72">
        <v>61</v>
      </c>
      <c r="CV318" s="72">
        <v>61</v>
      </c>
      <c r="CW318" s="72">
        <v>61</v>
      </c>
      <c r="CX318" s="72">
        <v>61</v>
      </c>
      <c r="CY318" s="72">
        <v>61</v>
      </c>
      <c r="CZ318" s="72">
        <v>61</v>
      </c>
      <c r="DA318" s="72">
        <v>61</v>
      </c>
      <c r="DB318" s="72">
        <v>61</v>
      </c>
      <c r="DC318" s="72">
        <v>61</v>
      </c>
      <c r="DD318" s="72">
        <v>61</v>
      </c>
      <c r="DE318" s="72">
        <v>61</v>
      </c>
      <c r="DF318" s="72">
        <v>61</v>
      </c>
      <c r="DG318" s="72">
        <v>61</v>
      </c>
      <c r="DH318" s="72">
        <v>61</v>
      </c>
      <c r="DI318" s="72">
        <v>61</v>
      </c>
      <c r="DJ318" s="72">
        <v>61</v>
      </c>
      <c r="DK318" s="72">
        <v>61</v>
      </c>
      <c r="DL318" s="72">
        <v>61</v>
      </c>
      <c r="DM318" s="72">
        <v>61</v>
      </c>
      <c r="DN318" s="72">
        <v>61</v>
      </c>
      <c r="DO318" s="72">
        <v>61</v>
      </c>
      <c r="DP318" s="72">
        <v>61</v>
      </c>
      <c r="DQ318" s="72"/>
      <c r="DR318" s="72">
        <v>61</v>
      </c>
      <c r="DS318" s="77"/>
    </row>
    <row r="319" spans="1:123" x14ac:dyDescent="0.35">
      <c r="A319" s="7"/>
      <c r="B319" s="92" t="s">
        <v>1324</v>
      </c>
      <c r="C319" s="9" t="s">
        <v>559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53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53</v>
      </c>
      <c r="P319" s="11">
        <v>53</v>
      </c>
      <c r="Q319" s="11">
        <v>53</v>
      </c>
      <c r="R319" s="11">
        <v>53</v>
      </c>
      <c r="S319" s="11">
        <v>53</v>
      </c>
      <c r="T319" s="11">
        <v>53</v>
      </c>
      <c r="U319" s="11">
        <v>53</v>
      </c>
      <c r="V319" s="11">
        <v>53</v>
      </c>
      <c r="W319" s="11">
        <v>53</v>
      </c>
      <c r="X319" s="11">
        <v>53</v>
      </c>
      <c r="Y319" s="11">
        <v>53</v>
      </c>
      <c r="Z319" s="11">
        <v>53</v>
      </c>
      <c r="AA319" s="11">
        <v>53</v>
      </c>
      <c r="AB319" s="11">
        <v>53</v>
      </c>
      <c r="AC319" s="11">
        <v>53</v>
      </c>
      <c r="AD319" s="11">
        <v>53</v>
      </c>
      <c r="AE319" s="11">
        <v>53</v>
      </c>
      <c r="AF319" s="11">
        <v>53</v>
      </c>
      <c r="AG319" s="11">
        <v>53</v>
      </c>
      <c r="AH319" s="11">
        <v>53</v>
      </c>
      <c r="AI319" s="11">
        <v>53</v>
      </c>
      <c r="AJ319" s="11">
        <v>53</v>
      </c>
      <c r="AK319" s="11">
        <v>53</v>
      </c>
      <c r="AL319" s="11">
        <v>53</v>
      </c>
      <c r="AM319" s="11">
        <v>53</v>
      </c>
      <c r="AN319" s="72">
        <v>53</v>
      </c>
      <c r="AO319" s="72">
        <v>53</v>
      </c>
      <c r="AP319" s="72">
        <v>53</v>
      </c>
      <c r="AQ319" s="72">
        <v>53</v>
      </c>
      <c r="AR319" s="72">
        <v>53</v>
      </c>
      <c r="AS319" s="72">
        <v>53</v>
      </c>
      <c r="AT319" s="72">
        <v>53</v>
      </c>
      <c r="AU319" s="72">
        <v>53</v>
      </c>
      <c r="AV319" s="72">
        <v>53</v>
      </c>
      <c r="AW319" s="72">
        <v>53</v>
      </c>
      <c r="AX319" s="72">
        <v>53</v>
      </c>
      <c r="AY319" s="72">
        <v>53</v>
      </c>
      <c r="AZ319" s="72">
        <v>53</v>
      </c>
      <c r="BA319" s="72">
        <v>53</v>
      </c>
      <c r="BB319" s="72">
        <v>53</v>
      </c>
      <c r="BC319" s="72">
        <v>53</v>
      </c>
      <c r="BD319" s="72">
        <v>53</v>
      </c>
      <c r="BE319" s="72">
        <v>53</v>
      </c>
      <c r="BF319" s="72">
        <v>53</v>
      </c>
      <c r="BG319" s="72">
        <v>53</v>
      </c>
      <c r="BH319" s="72">
        <v>53</v>
      </c>
      <c r="BI319" s="72">
        <v>53</v>
      </c>
      <c r="BJ319" s="72">
        <v>53</v>
      </c>
      <c r="BK319" s="72">
        <v>53</v>
      </c>
      <c r="BL319" s="72">
        <v>53</v>
      </c>
      <c r="BM319" s="72">
        <v>53</v>
      </c>
      <c r="BN319" s="72">
        <v>53</v>
      </c>
      <c r="BO319" s="72">
        <v>53</v>
      </c>
      <c r="BP319" s="72">
        <v>53</v>
      </c>
      <c r="BQ319" s="72">
        <v>53</v>
      </c>
      <c r="BR319" s="72">
        <v>53</v>
      </c>
      <c r="BS319" s="72">
        <v>53</v>
      </c>
      <c r="BT319" s="72">
        <v>53</v>
      </c>
      <c r="BU319" s="72">
        <v>53</v>
      </c>
      <c r="BV319" s="72">
        <v>53</v>
      </c>
      <c r="BW319" s="72">
        <v>53</v>
      </c>
      <c r="BX319" s="72">
        <v>53</v>
      </c>
      <c r="BY319" s="72">
        <v>53</v>
      </c>
      <c r="BZ319" s="72">
        <v>53</v>
      </c>
      <c r="CA319" s="72">
        <v>53</v>
      </c>
      <c r="CB319" s="72">
        <v>53</v>
      </c>
      <c r="CC319" s="72">
        <v>53</v>
      </c>
      <c r="CD319" s="72">
        <v>53</v>
      </c>
      <c r="CE319" s="72">
        <v>53</v>
      </c>
      <c r="CF319" s="72">
        <v>53</v>
      </c>
      <c r="CG319" s="72">
        <v>53</v>
      </c>
      <c r="CH319" s="72">
        <v>53</v>
      </c>
      <c r="CI319" s="72">
        <v>53</v>
      </c>
      <c r="CJ319" s="72">
        <v>53</v>
      </c>
      <c r="CK319" s="72">
        <v>53</v>
      </c>
      <c r="CL319" s="72">
        <v>53</v>
      </c>
      <c r="CM319" s="72">
        <v>53</v>
      </c>
      <c r="CN319" s="72">
        <v>53</v>
      </c>
      <c r="CO319" s="72">
        <v>53</v>
      </c>
      <c r="CP319" s="72">
        <v>53</v>
      </c>
      <c r="CQ319" s="72">
        <v>53</v>
      </c>
      <c r="CR319" s="72">
        <v>53</v>
      </c>
      <c r="CS319" s="72">
        <v>53</v>
      </c>
      <c r="CT319" s="72">
        <v>53</v>
      </c>
      <c r="CU319" s="72">
        <v>53</v>
      </c>
      <c r="CV319" s="72">
        <v>53</v>
      </c>
      <c r="CW319" s="72">
        <v>53</v>
      </c>
      <c r="CX319" s="72">
        <v>53</v>
      </c>
      <c r="CY319" s="72">
        <v>53</v>
      </c>
      <c r="CZ319" s="72">
        <v>53</v>
      </c>
      <c r="DA319" s="72">
        <v>53</v>
      </c>
      <c r="DB319" s="72">
        <v>53</v>
      </c>
      <c r="DC319" s="72">
        <v>53</v>
      </c>
      <c r="DD319" s="72">
        <v>53</v>
      </c>
      <c r="DE319" s="72">
        <v>53</v>
      </c>
      <c r="DF319" s="72">
        <v>53</v>
      </c>
      <c r="DG319" s="72">
        <v>53</v>
      </c>
      <c r="DH319" s="72">
        <v>53</v>
      </c>
      <c r="DI319" s="72">
        <v>53</v>
      </c>
      <c r="DJ319" s="72">
        <v>53</v>
      </c>
      <c r="DK319" s="72">
        <v>53</v>
      </c>
      <c r="DL319" s="72">
        <v>53</v>
      </c>
      <c r="DM319" s="72">
        <v>53</v>
      </c>
      <c r="DN319" s="72">
        <v>53</v>
      </c>
      <c r="DO319" s="72">
        <v>53</v>
      </c>
      <c r="DP319" s="72">
        <v>53</v>
      </c>
      <c r="DQ319" s="72"/>
      <c r="DR319" s="72">
        <v>53</v>
      </c>
      <c r="DS319" s="77"/>
    </row>
    <row r="320" spans="1:123" x14ac:dyDescent="0.35">
      <c r="A320" s="7"/>
      <c r="B320" s="92" t="s">
        <v>1325</v>
      </c>
      <c r="C320" s="9" t="s">
        <v>560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28</v>
      </c>
      <c r="J320" s="10"/>
      <c r="K320" s="10" t="s">
        <v>556</v>
      </c>
      <c r="L320" s="8"/>
      <c r="M320" s="12"/>
      <c r="N320" s="12">
        <f t="shared" si="6"/>
        <v>0</v>
      </c>
      <c r="O320" s="11">
        <v>28</v>
      </c>
      <c r="P320" s="11">
        <v>28</v>
      </c>
      <c r="Q320" s="11">
        <v>28</v>
      </c>
      <c r="R320" s="11">
        <v>28</v>
      </c>
      <c r="S320" s="11">
        <v>28</v>
      </c>
      <c r="T320" s="11">
        <v>28</v>
      </c>
      <c r="U320" s="11">
        <v>28</v>
      </c>
      <c r="V320" s="11">
        <v>28</v>
      </c>
      <c r="W320" s="11">
        <v>28</v>
      </c>
      <c r="X320" s="11">
        <v>28</v>
      </c>
      <c r="Y320" s="11">
        <v>28</v>
      </c>
      <c r="Z320" s="11">
        <v>28</v>
      </c>
      <c r="AA320" s="11">
        <v>28</v>
      </c>
      <c r="AB320" s="11">
        <v>28</v>
      </c>
      <c r="AC320" s="11">
        <v>28</v>
      </c>
      <c r="AD320" s="11">
        <v>28</v>
      </c>
      <c r="AE320" s="11">
        <v>28</v>
      </c>
      <c r="AF320" s="11">
        <v>28</v>
      </c>
      <c r="AG320" s="11">
        <v>28</v>
      </c>
      <c r="AH320" s="11">
        <v>28</v>
      </c>
      <c r="AI320" s="11">
        <v>28</v>
      </c>
      <c r="AJ320" s="11">
        <v>28</v>
      </c>
      <c r="AK320" s="11">
        <v>28</v>
      </c>
      <c r="AL320" s="11">
        <v>28</v>
      </c>
      <c r="AM320" s="11">
        <v>28</v>
      </c>
      <c r="AN320" s="72">
        <v>28</v>
      </c>
      <c r="AO320" s="72">
        <v>28</v>
      </c>
      <c r="AP320" s="72">
        <v>28</v>
      </c>
      <c r="AQ320" s="72">
        <v>28</v>
      </c>
      <c r="AR320" s="72">
        <v>28</v>
      </c>
      <c r="AS320" s="72">
        <v>28</v>
      </c>
      <c r="AT320" s="72">
        <v>28</v>
      </c>
      <c r="AU320" s="72">
        <v>28</v>
      </c>
      <c r="AV320" s="72">
        <v>28</v>
      </c>
      <c r="AW320" s="72">
        <v>28</v>
      </c>
      <c r="AX320" s="72">
        <v>28</v>
      </c>
      <c r="AY320" s="72">
        <v>28</v>
      </c>
      <c r="AZ320" s="72">
        <v>28</v>
      </c>
      <c r="BA320" s="72">
        <v>28</v>
      </c>
      <c r="BB320" s="72">
        <v>28</v>
      </c>
      <c r="BC320" s="72">
        <v>28</v>
      </c>
      <c r="BD320" s="72">
        <v>28</v>
      </c>
      <c r="BE320" s="72">
        <v>28</v>
      </c>
      <c r="BF320" s="72">
        <v>28</v>
      </c>
      <c r="BG320" s="72">
        <v>28</v>
      </c>
      <c r="BH320" s="72">
        <v>28</v>
      </c>
      <c r="BI320" s="72">
        <v>28</v>
      </c>
      <c r="BJ320" s="72">
        <v>28</v>
      </c>
      <c r="BK320" s="72">
        <v>28</v>
      </c>
      <c r="BL320" s="72">
        <v>28</v>
      </c>
      <c r="BM320" s="72">
        <v>28</v>
      </c>
      <c r="BN320" s="72">
        <v>28</v>
      </c>
      <c r="BO320" s="72">
        <v>28</v>
      </c>
      <c r="BP320" s="72">
        <v>28</v>
      </c>
      <c r="BQ320" s="72">
        <v>28</v>
      </c>
      <c r="BR320" s="72">
        <v>28</v>
      </c>
      <c r="BS320" s="72">
        <v>28</v>
      </c>
      <c r="BT320" s="72">
        <v>28</v>
      </c>
      <c r="BU320" s="72">
        <v>28</v>
      </c>
      <c r="BV320" s="72">
        <v>28</v>
      </c>
      <c r="BW320" s="72">
        <v>28</v>
      </c>
      <c r="BX320" s="72">
        <v>28</v>
      </c>
      <c r="BY320" s="72">
        <v>28</v>
      </c>
      <c r="BZ320" s="72">
        <v>28</v>
      </c>
      <c r="CA320" s="72">
        <v>28</v>
      </c>
      <c r="CB320" s="72">
        <v>28</v>
      </c>
      <c r="CC320" s="72">
        <v>28</v>
      </c>
      <c r="CD320" s="72">
        <v>28</v>
      </c>
      <c r="CE320" s="72">
        <v>28</v>
      </c>
      <c r="CF320" s="72">
        <v>28</v>
      </c>
      <c r="CG320" s="72">
        <v>28</v>
      </c>
      <c r="CH320" s="72">
        <v>28</v>
      </c>
      <c r="CI320" s="72">
        <v>28</v>
      </c>
      <c r="CJ320" s="72">
        <v>28</v>
      </c>
      <c r="CK320" s="72">
        <v>28</v>
      </c>
      <c r="CL320" s="72">
        <v>28</v>
      </c>
      <c r="CM320" s="72">
        <v>28</v>
      </c>
      <c r="CN320" s="72">
        <v>28</v>
      </c>
      <c r="CO320" s="72">
        <v>28</v>
      </c>
      <c r="CP320" s="72">
        <v>28</v>
      </c>
      <c r="CQ320" s="72">
        <v>28</v>
      </c>
      <c r="CR320" s="72">
        <v>28</v>
      </c>
      <c r="CS320" s="72">
        <v>28</v>
      </c>
      <c r="CT320" s="72">
        <v>28</v>
      </c>
      <c r="CU320" s="72">
        <v>28</v>
      </c>
      <c r="CV320" s="72">
        <v>28</v>
      </c>
      <c r="CW320" s="72">
        <v>28</v>
      </c>
      <c r="CX320" s="72">
        <v>28</v>
      </c>
      <c r="CY320" s="72">
        <v>28</v>
      </c>
      <c r="CZ320" s="72">
        <v>28</v>
      </c>
      <c r="DA320" s="72">
        <v>28</v>
      </c>
      <c r="DB320" s="72">
        <v>28</v>
      </c>
      <c r="DC320" s="72">
        <v>28</v>
      </c>
      <c r="DD320" s="72">
        <v>28</v>
      </c>
      <c r="DE320" s="72">
        <v>28</v>
      </c>
      <c r="DF320" s="72">
        <v>28</v>
      </c>
      <c r="DG320" s="72">
        <v>28</v>
      </c>
      <c r="DH320" s="72">
        <v>28</v>
      </c>
      <c r="DI320" s="72">
        <v>28</v>
      </c>
      <c r="DJ320" s="72">
        <v>28</v>
      </c>
      <c r="DK320" s="72">
        <v>28</v>
      </c>
      <c r="DL320" s="72">
        <v>28</v>
      </c>
      <c r="DM320" s="72">
        <v>28</v>
      </c>
      <c r="DN320" s="72">
        <v>28</v>
      </c>
      <c r="DO320" s="72">
        <v>28</v>
      </c>
      <c r="DP320" s="72">
        <v>28</v>
      </c>
      <c r="DQ320" s="72"/>
      <c r="DR320" s="72">
        <v>28</v>
      </c>
      <c r="DS320" s="77"/>
    </row>
    <row r="321" spans="1:123" x14ac:dyDescent="0.35">
      <c r="A321" s="7"/>
      <c r="B321" s="92" t="s">
        <v>1326</v>
      </c>
      <c r="C321" s="9" t="s">
        <v>561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267</v>
      </c>
      <c r="J321" s="10"/>
      <c r="K321" s="10" t="s">
        <v>556</v>
      </c>
      <c r="L321" s="8"/>
      <c r="M321" s="12"/>
      <c r="N321" s="12">
        <f t="shared" si="6"/>
        <v>0</v>
      </c>
      <c r="O321" s="11">
        <v>267</v>
      </c>
      <c r="P321" s="11">
        <v>267</v>
      </c>
      <c r="Q321" s="11">
        <v>267</v>
      </c>
      <c r="R321" s="11">
        <v>267</v>
      </c>
      <c r="S321" s="11">
        <v>267</v>
      </c>
      <c r="T321" s="11">
        <v>267</v>
      </c>
      <c r="U321" s="11">
        <v>267</v>
      </c>
      <c r="V321" s="11">
        <v>267</v>
      </c>
      <c r="W321" s="11">
        <v>267</v>
      </c>
      <c r="X321" s="11">
        <v>267</v>
      </c>
      <c r="Y321" s="11">
        <v>267</v>
      </c>
      <c r="Z321" s="11">
        <v>267</v>
      </c>
      <c r="AA321" s="11">
        <v>267</v>
      </c>
      <c r="AB321" s="11">
        <v>267</v>
      </c>
      <c r="AC321" s="11">
        <v>267</v>
      </c>
      <c r="AD321" s="11">
        <v>267</v>
      </c>
      <c r="AE321" s="11">
        <v>267</v>
      </c>
      <c r="AF321" s="11">
        <v>267</v>
      </c>
      <c r="AG321" s="11">
        <v>267</v>
      </c>
      <c r="AH321" s="11">
        <v>267</v>
      </c>
      <c r="AI321" s="11">
        <v>267</v>
      </c>
      <c r="AJ321" s="11">
        <v>267</v>
      </c>
      <c r="AK321" s="11">
        <v>267</v>
      </c>
      <c r="AL321" s="11">
        <v>267</v>
      </c>
      <c r="AM321" s="11">
        <v>267</v>
      </c>
      <c r="AN321" s="72">
        <v>267</v>
      </c>
      <c r="AO321" s="72">
        <v>267</v>
      </c>
      <c r="AP321" s="72">
        <v>267</v>
      </c>
      <c r="AQ321" s="72">
        <v>267</v>
      </c>
      <c r="AR321" s="72">
        <v>267</v>
      </c>
      <c r="AS321" s="72">
        <v>267</v>
      </c>
      <c r="AT321" s="72">
        <v>267</v>
      </c>
      <c r="AU321" s="72">
        <v>267</v>
      </c>
      <c r="AV321" s="72">
        <v>267</v>
      </c>
      <c r="AW321" s="72">
        <v>267</v>
      </c>
      <c r="AX321" s="72">
        <v>267</v>
      </c>
      <c r="AY321" s="72">
        <v>267</v>
      </c>
      <c r="AZ321" s="72">
        <v>267</v>
      </c>
      <c r="BA321" s="72">
        <v>267</v>
      </c>
      <c r="BB321" s="72">
        <v>267</v>
      </c>
      <c r="BC321" s="72">
        <v>267</v>
      </c>
      <c r="BD321" s="72">
        <v>267</v>
      </c>
      <c r="BE321" s="72">
        <v>267</v>
      </c>
      <c r="BF321" s="72">
        <v>267</v>
      </c>
      <c r="BG321" s="72">
        <v>267</v>
      </c>
      <c r="BH321" s="72">
        <v>267</v>
      </c>
      <c r="BI321" s="72">
        <v>267</v>
      </c>
      <c r="BJ321" s="72">
        <v>267</v>
      </c>
      <c r="BK321" s="72">
        <v>267</v>
      </c>
      <c r="BL321" s="72">
        <v>267</v>
      </c>
      <c r="BM321" s="72">
        <v>267</v>
      </c>
      <c r="BN321" s="72">
        <v>267</v>
      </c>
      <c r="BO321" s="72">
        <v>267</v>
      </c>
      <c r="BP321" s="72">
        <v>267</v>
      </c>
      <c r="BQ321" s="72">
        <v>267</v>
      </c>
      <c r="BR321" s="72">
        <v>267</v>
      </c>
      <c r="BS321" s="72">
        <v>267</v>
      </c>
      <c r="BT321" s="72">
        <v>267</v>
      </c>
      <c r="BU321" s="72">
        <v>267</v>
      </c>
      <c r="BV321" s="72">
        <v>267</v>
      </c>
      <c r="BW321" s="72">
        <v>267</v>
      </c>
      <c r="BX321" s="72">
        <v>267</v>
      </c>
      <c r="BY321" s="72">
        <v>267</v>
      </c>
      <c r="BZ321" s="72">
        <v>267</v>
      </c>
      <c r="CA321" s="72">
        <v>267</v>
      </c>
      <c r="CB321" s="72">
        <v>267</v>
      </c>
      <c r="CC321" s="72">
        <v>267</v>
      </c>
      <c r="CD321" s="72">
        <v>267</v>
      </c>
      <c r="CE321" s="72">
        <v>267</v>
      </c>
      <c r="CF321" s="72">
        <v>267</v>
      </c>
      <c r="CG321" s="72">
        <v>267</v>
      </c>
      <c r="CH321" s="72">
        <v>267</v>
      </c>
      <c r="CI321" s="72">
        <v>267</v>
      </c>
      <c r="CJ321" s="72">
        <v>267</v>
      </c>
      <c r="CK321" s="72">
        <v>267</v>
      </c>
      <c r="CL321" s="72">
        <v>267</v>
      </c>
      <c r="CM321" s="72">
        <v>267</v>
      </c>
      <c r="CN321" s="72">
        <v>267</v>
      </c>
      <c r="CO321" s="72">
        <v>267</v>
      </c>
      <c r="CP321" s="72">
        <v>267</v>
      </c>
      <c r="CQ321" s="72">
        <v>267</v>
      </c>
      <c r="CR321" s="72">
        <v>267</v>
      </c>
      <c r="CS321" s="72">
        <v>267</v>
      </c>
      <c r="CT321" s="72">
        <v>267</v>
      </c>
      <c r="CU321" s="72">
        <v>267</v>
      </c>
      <c r="CV321" s="72">
        <v>267</v>
      </c>
      <c r="CW321" s="72">
        <v>267</v>
      </c>
      <c r="CX321" s="72">
        <v>267</v>
      </c>
      <c r="CY321" s="72">
        <v>267</v>
      </c>
      <c r="CZ321" s="72">
        <v>267</v>
      </c>
      <c r="DA321" s="72">
        <v>267</v>
      </c>
      <c r="DB321" s="72">
        <v>267</v>
      </c>
      <c r="DC321" s="72">
        <v>267</v>
      </c>
      <c r="DD321" s="72">
        <v>267</v>
      </c>
      <c r="DE321" s="72">
        <v>267</v>
      </c>
      <c r="DF321" s="72">
        <v>267</v>
      </c>
      <c r="DG321" s="72">
        <v>267</v>
      </c>
      <c r="DH321" s="72">
        <v>267</v>
      </c>
      <c r="DI321" s="72">
        <v>267</v>
      </c>
      <c r="DJ321" s="72">
        <v>267</v>
      </c>
      <c r="DK321" s="72">
        <v>267</v>
      </c>
      <c r="DL321" s="72">
        <v>267</v>
      </c>
      <c r="DM321" s="72">
        <v>267</v>
      </c>
      <c r="DN321" s="72">
        <v>267</v>
      </c>
      <c r="DO321" s="72">
        <v>267</v>
      </c>
      <c r="DP321" s="72">
        <v>267</v>
      </c>
      <c r="DQ321" s="72"/>
      <c r="DR321" s="72">
        <v>267</v>
      </c>
      <c r="DS321" s="77"/>
    </row>
    <row r="322" spans="1:123" x14ac:dyDescent="0.35">
      <c r="A322" s="7"/>
      <c r="B322" s="92" t="s">
        <v>1327</v>
      </c>
      <c r="C322" s="8" t="s">
        <v>562</v>
      </c>
      <c r="D322" s="10" t="s">
        <v>549</v>
      </c>
      <c r="E322" s="8" t="s">
        <v>1219</v>
      </c>
      <c r="F322" s="10">
        <v>1102</v>
      </c>
      <c r="G322" s="10" t="s">
        <v>40</v>
      </c>
      <c r="H322" s="10" t="s">
        <v>41</v>
      </c>
      <c r="I322" s="11">
        <v>2</v>
      </c>
      <c r="J322" s="10"/>
      <c r="K322" s="10" t="s">
        <v>563</v>
      </c>
      <c r="L322" s="8"/>
      <c r="M322" s="12"/>
      <c r="N322" s="12">
        <f t="shared" si="6"/>
        <v>0</v>
      </c>
      <c r="O322" s="11">
        <v>2</v>
      </c>
      <c r="P322" s="11">
        <v>2</v>
      </c>
      <c r="Q322" s="11">
        <v>2</v>
      </c>
      <c r="R322" s="11">
        <v>2</v>
      </c>
      <c r="S322" s="11">
        <v>2</v>
      </c>
      <c r="T322" s="11">
        <v>2</v>
      </c>
      <c r="U322" s="11">
        <v>2</v>
      </c>
      <c r="V322" s="11">
        <v>2</v>
      </c>
      <c r="W322" s="11">
        <v>2</v>
      </c>
      <c r="X322" s="11">
        <v>2</v>
      </c>
      <c r="Y322" s="11">
        <v>2</v>
      </c>
      <c r="Z322" s="11">
        <v>2</v>
      </c>
      <c r="AA322" s="11">
        <v>2</v>
      </c>
      <c r="AB322" s="11">
        <v>2</v>
      </c>
      <c r="AC322" s="11">
        <v>2</v>
      </c>
      <c r="AD322" s="11">
        <v>2</v>
      </c>
      <c r="AE322" s="11">
        <v>2</v>
      </c>
      <c r="AF322" s="11">
        <v>2</v>
      </c>
      <c r="AG322" s="11">
        <v>2</v>
      </c>
      <c r="AH322" s="11">
        <v>2</v>
      </c>
      <c r="AI322" s="11">
        <v>2</v>
      </c>
      <c r="AJ322" s="11">
        <v>2</v>
      </c>
      <c r="AK322" s="11">
        <v>2</v>
      </c>
      <c r="AL322" s="11">
        <v>2</v>
      </c>
      <c r="AM322" s="11">
        <v>2</v>
      </c>
      <c r="AN322" s="72">
        <v>2</v>
      </c>
      <c r="AO322" s="72">
        <v>2</v>
      </c>
      <c r="AP322" s="72">
        <v>2</v>
      </c>
      <c r="AQ322" s="72">
        <v>2</v>
      </c>
      <c r="AR322" s="72">
        <v>2</v>
      </c>
      <c r="AS322" s="72">
        <v>2</v>
      </c>
      <c r="AT322" s="72">
        <v>2</v>
      </c>
      <c r="AU322" s="72">
        <v>2</v>
      </c>
      <c r="AV322" s="72">
        <v>2</v>
      </c>
      <c r="AW322" s="72">
        <v>2</v>
      </c>
      <c r="AX322" s="72">
        <v>2</v>
      </c>
      <c r="AY322" s="72">
        <v>2</v>
      </c>
      <c r="AZ322" s="72">
        <v>2</v>
      </c>
      <c r="BA322" s="72">
        <v>2</v>
      </c>
      <c r="BB322" s="72">
        <v>2</v>
      </c>
      <c r="BC322" s="72">
        <v>2</v>
      </c>
      <c r="BD322" s="72">
        <v>2</v>
      </c>
      <c r="BE322" s="72">
        <v>2</v>
      </c>
      <c r="BF322" s="72">
        <v>2</v>
      </c>
      <c r="BG322" s="72">
        <v>2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  <c r="DQ322" s="72"/>
      <c r="DR322" s="72">
        <v>3</v>
      </c>
      <c r="DS322" s="77"/>
    </row>
    <row r="323" spans="1:123" x14ac:dyDescent="0.35">
      <c r="A323" s="7"/>
      <c r="B323" s="92" t="s">
        <v>1328</v>
      </c>
      <c r="C323" s="8" t="s">
        <v>564</v>
      </c>
      <c r="D323" s="10" t="s">
        <v>549</v>
      </c>
      <c r="E323" s="8" t="s">
        <v>1219</v>
      </c>
      <c r="F323" s="10">
        <v>1102</v>
      </c>
      <c r="G323" s="10" t="s">
        <v>40</v>
      </c>
      <c r="H323" s="10" t="s">
        <v>41</v>
      </c>
      <c r="I323" s="11">
        <v>2</v>
      </c>
      <c r="J323" s="10"/>
      <c r="K323" s="10" t="s">
        <v>563</v>
      </c>
      <c r="L323" s="8"/>
      <c r="M323" s="12"/>
      <c r="N323" s="12">
        <f t="shared" ref="N323:N386" si="7">M323*DP323</f>
        <v>0</v>
      </c>
      <c r="O323" s="11">
        <v>2</v>
      </c>
      <c r="P323" s="11">
        <v>2</v>
      </c>
      <c r="Q323" s="11">
        <v>2</v>
      </c>
      <c r="R323" s="11">
        <v>2</v>
      </c>
      <c r="S323" s="11">
        <v>2</v>
      </c>
      <c r="T323" s="11">
        <v>2</v>
      </c>
      <c r="U323" s="11">
        <v>2</v>
      </c>
      <c r="V323" s="11">
        <v>2</v>
      </c>
      <c r="W323" s="11">
        <v>2</v>
      </c>
      <c r="X323" s="11">
        <v>2</v>
      </c>
      <c r="Y323" s="11">
        <v>2</v>
      </c>
      <c r="Z323" s="11">
        <v>2</v>
      </c>
      <c r="AA323" s="11">
        <v>2</v>
      </c>
      <c r="AB323" s="11">
        <v>2</v>
      </c>
      <c r="AC323" s="11">
        <v>2</v>
      </c>
      <c r="AD323" s="11">
        <v>2</v>
      </c>
      <c r="AE323" s="11">
        <v>2</v>
      </c>
      <c r="AF323" s="11">
        <v>2</v>
      </c>
      <c r="AG323" s="11">
        <v>2</v>
      </c>
      <c r="AH323" s="11">
        <v>2</v>
      </c>
      <c r="AI323" s="11">
        <v>2</v>
      </c>
      <c r="AJ323" s="11">
        <v>2</v>
      </c>
      <c r="AK323" s="11">
        <v>2</v>
      </c>
      <c r="AL323" s="11">
        <v>2</v>
      </c>
      <c r="AM323" s="11">
        <v>2</v>
      </c>
      <c r="AN323" s="72">
        <v>2</v>
      </c>
      <c r="AO323" s="72">
        <v>2</v>
      </c>
      <c r="AP323" s="72">
        <v>2</v>
      </c>
      <c r="AQ323" s="72">
        <v>2</v>
      </c>
      <c r="AR323" s="72">
        <v>2</v>
      </c>
      <c r="AS323" s="72">
        <v>2</v>
      </c>
      <c r="AT323" s="72">
        <v>2</v>
      </c>
      <c r="AU323" s="72">
        <v>2</v>
      </c>
      <c r="AV323" s="72">
        <v>2</v>
      </c>
      <c r="AW323" s="72">
        <v>2</v>
      </c>
      <c r="AX323" s="72">
        <v>2</v>
      </c>
      <c r="AY323" s="72">
        <v>2</v>
      </c>
      <c r="AZ323" s="72">
        <v>2</v>
      </c>
      <c r="BA323" s="72">
        <v>2</v>
      </c>
      <c r="BB323" s="72">
        <v>2</v>
      </c>
      <c r="BC323" s="72">
        <v>2</v>
      </c>
      <c r="BD323" s="72">
        <v>2</v>
      </c>
      <c r="BE323" s="72">
        <v>2</v>
      </c>
      <c r="BF323" s="72">
        <v>2</v>
      </c>
      <c r="BG323" s="72">
        <v>2</v>
      </c>
      <c r="BH323" s="72">
        <v>2</v>
      </c>
      <c r="BI323" s="72">
        <v>2</v>
      </c>
      <c r="BJ323" s="72">
        <v>2</v>
      </c>
      <c r="BK323" s="72">
        <v>2</v>
      </c>
      <c r="BL323" s="72">
        <v>2</v>
      </c>
      <c r="BM323" s="72">
        <v>2</v>
      </c>
      <c r="BN323" s="72">
        <v>2</v>
      </c>
      <c r="BO323" s="72">
        <v>2</v>
      </c>
      <c r="BP323" s="72">
        <v>2</v>
      </c>
      <c r="BQ323" s="72">
        <v>2</v>
      </c>
      <c r="BR323" s="72">
        <v>2</v>
      </c>
      <c r="BS323" s="72">
        <v>2</v>
      </c>
      <c r="BT323" s="72">
        <v>2</v>
      </c>
      <c r="BU323" s="72">
        <v>2</v>
      </c>
      <c r="BV323" s="72">
        <v>2</v>
      </c>
      <c r="BW323" s="72">
        <v>2</v>
      </c>
      <c r="BX323" s="72">
        <v>2</v>
      </c>
      <c r="BY323" s="72">
        <v>2</v>
      </c>
      <c r="BZ323" s="72">
        <v>2</v>
      </c>
      <c r="CA323" s="72">
        <v>2</v>
      </c>
      <c r="CB323" s="72">
        <v>2</v>
      </c>
      <c r="CC323" s="72">
        <v>2</v>
      </c>
      <c r="CD323" s="72">
        <v>2</v>
      </c>
      <c r="CE323" s="72">
        <v>2</v>
      </c>
      <c r="CF323" s="72">
        <v>2</v>
      </c>
      <c r="CG323" s="72">
        <v>2</v>
      </c>
      <c r="CH323" s="72">
        <v>2</v>
      </c>
      <c r="CI323" s="72">
        <v>2</v>
      </c>
      <c r="CJ323" s="72">
        <v>2</v>
      </c>
      <c r="CK323" s="72">
        <v>2</v>
      </c>
      <c r="CL323" s="72">
        <v>2</v>
      </c>
      <c r="CM323" s="72">
        <v>2</v>
      </c>
      <c r="CN323" s="72">
        <v>2</v>
      </c>
      <c r="CO323" s="72">
        <v>2</v>
      </c>
      <c r="CP323" s="72">
        <v>2</v>
      </c>
      <c r="CQ323" s="72">
        <v>2</v>
      </c>
      <c r="CR323" s="72">
        <v>2</v>
      </c>
      <c r="CS323" s="72">
        <v>2</v>
      </c>
      <c r="CT323" s="72">
        <v>2</v>
      </c>
      <c r="CU323" s="72">
        <v>2</v>
      </c>
      <c r="CV323" s="72">
        <v>2</v>
      </c>
      <c r="CW323" s="72">
        <v>2</v>
      </c>
      <c r="CX323" s="72">
        <v>2</v>
      </c>
      <c r="CY323" s="72">
        <v>2</v>
      </c>
      <c r="CZ323" s="72">
        <v>2</v>
      </c>
      <c r="DA323" s="72">
        <v>2</v>
      </c>
      <c r="DB323" s="72">
        <v>2</v>
      </c>
      <c r="DC323" s="72">
        <v>2</v>
      </c>
      <c r="DD323" s="72">
        <v>2</v>
      </c>
      <c r="DE323" s="72">
        <v>2</v>
      </c>
      <c r="DF323" s="72">
        <v>2</v>
      </c>
      <c r="DG323" s="72">
        <v>2</v>
      </c>
      <c r="DH323" s="72">
        <v>2</v>
      </c>
      <c r="DI323" s="72">
        <v>2</v>
      </c>
      <c r="DJ323" s="72">
        <v>2</v>
      </c>
      <c r="DK323" s="72">
        <v>2</v>
      </c>
      <c r="DL323" s="72">
        <v>2</v>
      </c>
      <c r="DM323" s="72">
        <v>2</v>
      </c>
      <c r="DN323" s="72">
        <v>2</v>
      </c>
      <c r="DO323" s="72">
        <v>2</v>
      </c>
      <c r="DP323" s="72">
        <v>2</v>
      </c>
      <c r="DQ323" s="72"/>
      <c r="DR323" s="72">
        <v>2</v>
      </c>
      <c r="DS323" s="77"/>
    </row>
    <row r="324" spans="1:123" x14ac:dyDescent="0.35">
      <c r="A324" s="7"/>
      <c r="B324" s="92" t="s">
        <v>1329</v>
      </c>
      <c r="C324" s="8" t="s">
        <v>565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7</v>
      </c>
      <c r="J324" s="10"/>
      <c r="K324" s="10" t="s">
        <v>566</v>
      </c>
      <c r="L324" s="8"/>
      <c r="M324" s="12"/>
      <c r="N324" s="12">
        <f t="shared" si="7"/>
        <v>0</v>
      </c>
      <c r="O324" s="11">
        <v>7</v>
      </c>
      <c r="P324" s="11">
        <v>7</v>
      </c>
      <c r="Q324" s="11">
        <v>7</v>
      </c>
      <c r="R324" s="11">
        <v>7</v>
      </c>
      <c r="S324" s="11">
        <v>7</v>
      </c>
      <c r="T324" s="11">
        <v>7</v>
      </c>
      <c r="U324" s="11">
        <v>7</v>
      </c>
      <c r="V324" s="11">
        <v>7</v>
      </c>
      <c r="W324" s="11">
        <v>7</v>
      </c>
      <c r="X324" s="11">
        <v>7</v>
      </c>
      <c r="Y324" s="11">
        <v>7</v>
      </c>
      <c r="Z324" s="11">
        <v>7</v>
      </c>
      <c r="AA324" s="11">
        <v>7</v>
      </c>
      <c r="AB324" s="11">
        <v>7</v>
      </c>
      <c r="AC324" s="11">
        <v>7</v>
      </c>
      <c r="AD324" s="11">
        <v>7</v>
      </c>
      <c r="AE324" s="11">
        <v>7</v>
      </c>
      <c r="AF324" s="11">
        <v>7</v>
      </c>
      <c r="AG324" s="11">
        <v>7</v>
      </c>
      <c r="AH324" s="11">
        <v>7</v>
      </c>
      <c r="AI324" s="11">
        <v>7</v>
      </c>
      <c r="AJ324" s="11">
        <v>7</v>
      </c>
      <c r="AK324" s="11">
        <v>7</v>
      </c>
      <c r="AL324" s="11">
        <v>7</v>
      </c>
      <c r="AM324" s="11">
        <v>7</v>
      </c>
      <c r="AN324" s="72">
        <v>7</v>
      </c>
      <c r="AO324" s="72">
        <v>7</v>
      </c>
      <c r="AP324" s="72">
        <v>7</v>
      </c>
      <c r="AQ324" s="72">
        <v>7</v>
      </c>
      <c r="AR324" s="72">
        <v>7</v>
      </c>
      <c r="AS324" s="72">
        <v>7</v>
      </c>
      <c r="AT324" s="72">
        <v>7</v>
      </c>
      <c r="AU324" s="72">
        <v>7</v>
      </c>
      <c r="AV324" s="72">
        <v>7</v>
      </c>
      <c r="AW324" s="72">
        <v>7</v>
      </c>
      <c r="AX324" s="72">
        <v>7</v>
      </c>
      <c r="AY324" s="72">
        <v>7</v>
      </c>
      <c r="AZ324" s="72">
        <v>7</v>
      </c>
      <c r="BA324" s="72">
        <v>7</v>
      </c>
      <c r="BB324" s="72">
        <v>7</v>
      </c>
      <c r="BC324" s="72">
        <v>7</v>
      </c>
      <c r="BD324" s="72">
        <v>7</v>
      </c>
      <c r="BE324" s="72">
        <v>7</v>
      </c>
      <c r="BF324" s="72">
        <v>7</v>
      </c>
      <c r="BG324" s="72">
        <v>7</v>
      </c>
      <c r="BH324" s="72">
        <v>7</v>
      </c>
      <c r="BI324" s="72">
        <v>7</v>
      </c>
      <c r="BJ324" s="72">
        <v>7</v>
      </c>
      <c r="BK324" s="72">
        <v>7</v>
      </c>
      <c r="BL324" s="72">
        <v>7</v>
      </c>
      <c r="BM324" s="72">
        <v>7</v>
      </c>
      <c r="BN324" s="72">
        <v>7</v>
      </c>
      <c r="BO324" s="72">
        <v>7</v>
      </c>
      <c r="BP324" s="72">
        <v>7</v>
      </c>
      <c r="BQ324" s="72">
        <v>7</v>
      </c>
      <c r="BR324" s="72">
        <v>7</v>
      </c>
      <c r="BS324" s="72">
        <v>7</v>
      </c>
      <c r="BT324" s="72">
        <v>7</v>
      </c>
      <c r="BU324" s="72">
        <v>7</v>
      </c>
      <c r="BV324" s="72">
        <v>7</v>
      </c>
      <c r="BW324" s="72">
        <v>7</v>
      </c>
      <c r="BX324" s="72">
        <v>7</v>
      </c>
      <c r="BY324" s="72">
        <v>7</v>
      </c>
      <c r="BZ324" s="72">
        <v>7</v>
      </c>
      <c r="CA324" s="72">
        <v>7</v>
      </c>
      <c r="CB324" s="72">
        <v>7</v>
      </c>
      <c r="CC324" s="72">
        <v>7</v>
      </c>
      <c r="CD324" s="72">
        <v>7</v>
      </c>
      <c r="CE324" s="72">
        <v>7</v>
      </c>
      <c r="CF324" s="72">
        <v>7</v>
      </c>
      <c r="CG324" s="72">
        <v>7</v>
      </c>
      <c r="CH324" s="72">
        <v>7</v>
      </c>
      <c r="CI324" s="72">
        <v>7</v>
      </c>
      <c r="CJ324" s="72">
        <v>7</v>
      </c>
      <c r="CK324" s="72">
        <v>7</v>
      </c>
      <c r="CL324" s="72">
        <v>7</v>
      </c>
      <c r="CM324" s="72">
        <v>7</v>
      </c>
      <c r="CN324" s="72">
        <v>7</v>
      </c>
      <c r="CO324" s="72">
        <v>7</v>
      </c>
      <c r="CP324" s="72">
        <v>7</v>
      </c>
      <c r="CQ324" s="72">
        <v>7</v>
      </c>
      <c r="CR324" s="72">
        <v>7</v>
      </c>
      <c r="CS324" s="72">
        <v>7</v>
      </c>
      <c r="CT324" s="72">
        <v>7</v>
      </c>
      <c r="CU324" s="72">
        <v>7</v>
      </c>
      <c r="CV324" s="72">
        <v>7</v>
      </c>
      <c r="CW324" s="72">
        <v>7</v>
      </c>
      <c r="CX324" s="72">
        <v>7</v>
      </c>
      <c r="CY324" s="72">
        <v>7</v>
      </c>
      <c r="CZ324" s="72">
        <v>7</v>
      </c>
      <c r="DA324" s="72">
        <v>7</v>
      </c>
      <c r="DB324" s="72">
        <v>7</v>
      </c>
      <c r="DC324" s="72">
        <v>7</v>
      </c>
      <c r="DD324" s="72">
        <v>7</v>
      </c>
      <c r="DE324" s="72">
        <v>7</v>
      </c>
      <c r="DF324" s="72">
        <v>7</v>
      </c>
      <c r="DG324" s="72">
        <v>7</v>
      </c>
      <c r="DH324" s="72">
        <v>7</v>
      </c>
      <c r="DI324" s="72">
        <v>7</v>
      </c>
      <c r="DJ324" s="72">
        <v>7</v>
      </c>
      <c r="DK324" s="72">
        <v>7</v>
      </c>
      <c r="DL324" s="72">
        <v>7</v>
      </c>
      <c r="DM324" s="72">
        <v>7</v>
      </c>
      <c r="DN324" s="72">
        <v>7</v>
      </c>
      <c r="DO324" s="72">
        <v>7</v>
      </c>
      <c r="DP324" s="72">
        <v>7</v>
      </c>
      <c r="DQ324" s="72"/>
      <c r="DR324" s="72">
        <v>7</v>
      </c>
      <c r="DS324" s="77"/>
    </row>
    <row r="325" spans="1:123" x14ac:dyDescent="0.35">
      <c r="A325" s="7"/>
      <c r="B325" s="92" t="s">
        <v>1330</v>
      </c>
      <c r="C325" s="8" t="s">
        <v>567</v>
      </c>
      <c r="D325" s="10" t="s">
        <v>549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>
        <v>5</v>
      </c>
      <c r="J325" s="10"/>
      <c r="K325" s="10" t="s">
        <v>566</v>
      </c>
      <c r="L325" s="8"/>
      <c r="M325" s="12"/>
      <c r="N325" s="12">
        <f t="shared" si="7"/>
        <v>0</v>
      </c>
      <c r="O325" s="11">
        <v>5</v>
      </c>
      <c r="P325" s="11">
        <v>5</v>
      </c>
      <c r="Q325" s="11">
        <v>5</v>
      </c>
      <c r="R325" s="11">
        <v>5</v>
      </c>
      <c r="S325" s="11">
        <v>5</v>
      </c>
      <c r="T325" s="11">
        <v>5</v>
      </c>
      <c r="U325" s="11">
        <v>5</v>
      </c>
      <c r="V325" s="11">
        <v>5</v>
      </c>
      <c r="W325" s="11">
        <v>5</v>
      </c>
      <c r="X325" s="11">
        <v>5</v>
      </c>
      <c r="Y325" s="11">
        <v>5</v>
      </c>
      <c r="Z325" s="11">
        <v>5</v>
      </c>
      <c r="AA325" s="11">
        <v>5</v>
      </c>
      <c r="AB325" s="11">
        <v>5</v>
      </c>
      <c r="AC325" s="11">
        <v>5</v>
      </c>
      <c r="AD325" s="11">
        <v>5</v>
      </c>
      <c r="AE325" s="11">
        <v>5</v>
      </c>
      <c r="AF325" s="11">
        <v>5</v>
      </c>
      <c r="AG325" s="11">
        <v>5</v>
      </c>
      <c r="AH325" s="11">
        <v>5</v>
      </c>
      <c r="AI325" s="11">
        <v>5</v>
      </c>
      <c r="AJ325" s="11">
        <v>5</v>
      </c>
      <c r="AK325" s="11">
        <v>5</v>
      </c>
      <c r="AL325" s="11">
        <v>5</v>
      </c>
      <c r="AM325" s="11">
        <v>5</v>
      </c>
      <c r="AN325" s="72">
        <v>5</v>
      </c>
      <c r="AO325" s="72">
        <v>5</v>
      </c>
      <c r="AP325" s="72">
        <v>5</v>
      </c>
      <c r="AQ325" s="72">
        <v>5</v>
      </c>
      <c r="AR325" s="72">
        <v>5</v>
      </c>
      <c r="AS325" s="72">
        <v>5</v>
      </c>
      <c r="AT325" s="72">
        <v>5</v>
      </c>
      <c r="AU325" s="72">
        <v>5</v>
      </c>
      <c r="AV325" s="72">
        <v>5</v>
      </c>
      <c r="AW325" s="72">
        <v>5</v>
      </c>
      <c r="AX325" s="72">
        <v>5</v>
      </c>
      <c r="AY325" s="72">
        <v>5</v>
      </c>
      <c r="AZ325" s="72">
        <v>5</v>
      </c>
      <c r="BA325" s="72">
        <v>5</v>
      </c>
      <c r="BB325" s="72">
        <v>5</v>
      </c>
      <c r="BC325" s="72">
        <v>5</v>
      </c>
      <c r="BD325" s="72">
        <v>5</v>
      </c>
      <c r="BE325" s="72">
        <v>5</v>
      </c>
      <c r="BF325" s="72">
        <v>5</v>
      </c>
      <c r="BG325" s="72">
        <v>5</v>
      </c>
      <c r="BH325" s="72">
        <v>5</v>
      </c>
      <c r="BI325" s="72">
        <v>5</v>
      </c>
      <c r="BJ325" s="72">
        <v>5</v>
      </c>
      <c r="BK325" s="72">
        <v>5</v>
      </c>
      <c r="BL325" s="72">
        <v>5</v>
      </c>
      <c r="BM325" s="72">
        <v>5</v>
      </c>
      <c r="BN325" s="72">
        <v>5</v>
      </c>
      <c r="BO325" s="72">
        <v>5</v>
      </c>
      <c r="BP325" s="72">
        <v>5</v>
      </c>
      <c r="BQ325" s="72">
        <v>5</v>
      </c>
      <c r="BR325" s="72">
        <v>5</v>
      </c>
      <c r="BS325" s="72">
        <v>5</v>
      </c>
      <c r="BT325" s="72">
        <v>5</v>
      </c>
      <c r="BU325" s="72">
        <v>5</v>
      </c>
      <c r="BV325" s="72">
        <v>5</v>
      </c>
      <c r="BW325" s="72">
        <v>5</v>
      </c>
      <c r="BX325" s="72">
        <v>5</v>
      </c>
      <c r="BY325" s="72">
        <v>5</v>
      </c>
      <c r="BZ325" s="72">
        <v>5</v>
      </c>
      <c r="CA325" s="72">
        <v>5</v>
      </c>
      <c r="CB325" s="72">
        <v>5</v>
      </c>
      <c r="CC325" s="72">
        <v>5</v>
      </c>
      <c r="CD325" s="72">
        <v>5</v>
      </c>
      <c r="CE325" s="72">
        <v>5</v>
      </c>
      <c r="CF325" s="72">
        <v>5</v>
      </c>
      <c r="CG325" s="72">
        <v>5</v>
      </c>
      <c r="CH325" s="72">
        <v>5</v>
      </c>
      <c r="CI325" s="72">
        <v>5</v>
      </c>
      <c r="CJ325" s="72">
        <v>5</v>
      </c>
      <c r="CK325" s="72">
        <v>5</v>
      </c>
      <c r="CL325" s="72">
        <v>5</v>
      </c>
      <c r="CM325" s="72">
        <v>5</v>
      </c>
      <c r="CN325" s="72">
        <v>5</v>
      </c>
      <c r="CO325" s="72">
        <v>5</v>
      </c>
      <c r="CP325" s="72">
        <v>5</v>
      </c>
      <c r="CQ325" s="72">
        <v>5</v>
      </c>
      <c r="CR325" s="72">
        <v>5</v>
      </c>
      <c r="CS325" s="72">
        <v>5</v>
      </c>
      <c r="CT325" s="72">
        <v>5</v>
      </c>
      <c r="CU325" s="72">
        <v>5</v>
      </c>
      <c r="CV325" s="72">
        <v>5</v>
      </c>
      <c r="CW325" s="72">
        <v>5</v>
      </c>
      <c r="CX325" s="72">
        <v>5</v>
      </c>
      <c r="CY325" s="72">
        <v>5</v>
      </c>
      <c r="CZ325" s="72">
        <v>5</v>
      </c>
      <c r="DA325" s="72">
        <v>5</v>
      </c>
      <c r="DB325" s="72">
        <v>5</v>
      </c>
      <c r="DC325" s="72">
        <v>5</v>
      </c>
      <c r="DD325" s="72">
        <v>5</v>
      </c>
      <c r="DE325" s="72">
        <v>5</v>
      </c>
      <c r="DF325" s="72">
        <v>5</v>
      </c>
      <c r="DG325" s="72">
        <v>5</v>
      </c>
      <c r="DH325" s="72">
        <v>5</v>
      </c>
      <c r="DI325" s="72">
        <v>5</v>
      </c>
      <c r="DJ325" s="72">
        <v>5</v>
      </c>
      <c r="DK325" s="72">
        <v>5</v>
      </c>
      <c r="DL325" s="72">
        <v>5</v>
      </c>
      <c r="DM325" s="72">
        <v>5</v>
      </c>
      <c r="DN325" s="72">
        <v>5</v>
      </c>
      <c r="DO325" s="72">
        <v>5</v>
      </c>
      <c r="DP325" s="72">
        <v>5</v>
      </c>
      <c r="DQ325" s="72"/>
      <c r="DR325" s="72">
        <v>5</v>
      </c>
      <c r="DS325" s="77"/>
    </row>
    <row r="326" spans="1:123" x14ac:dyDescent="0.35">
      <c r="A326" s="7"/>
      <c r="B326" s="92" t="s">
        <v>1331</v>
      </c>
      <c r="C326" s="8" t="s">
        <v>568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10</v>
      </c>
      <c r="J326" s="10"/>
      <c r="K326" s="10"/>
      <c r="L326" s="8"/>
      <c r="M326" s="12"/>
      <c r="N326" s="12">
        <f t="shared" si="7"/>
        <v>0</v>
      </c>
      <c r="O326" s="11">
        <v>10</v>
      </c>
      <c r="P326" s="11">
        <v>10</v>
      </c>
      <c r="Q326" s="11">
        <v>10</v>
      </c>
      <c r="R326" s="11">
        <v>10</v>
      </c>
      <c r="S326" s="11">
        <v>10</v>
      </c>
      <c r="T326" s="11">
        <v>10</v>
      </c>
      <c r="U326" s="11">
        <v>10</v>
      </c>
      <c r="V326" s="11">
        <v>10</v>
      </c>
      <c r="W326" s="11">
        <v>10</v>
      </c>
      <c r="X326" s="11">
        <v>10</v>
      </c>
      <c r="Y326" s="11">
        <v>10</v>
      </c>
      <c r="Z326" s="11">
        <v>10</v>
      </c>
      <c r="AA326" s="11">
        <v>10</v>
      </c>
      <c r="AB326" s="11">
        <v>10</v>
      </c>
      <c r="AC326" s="11">
        <v>10</v>
      </c>
      <c r="AD326" s="11">
        <v>10</v>
      </c>
      <c r="AE326" s="11">
        <v>10</v>
      </c>
      <c r="AF326" s="11">
        <v>10</v>
      </c>
      <c r="AG326" s="11">
        <v>10</v>
      </c>
      <c r="AH326" s="11">
        <v>10</v>
      </c>
      <c r="AI326" s="11">
        <v>10</v>
      </c>
      <c r="AJ326" s="11">
        <v>10</v>
      </c>
      <c r="AK326" s="11">
        <v>10</v>
      </c>
      <c r="AL326" s="11">
        <v>10</v>
      </c>
      <c r="AM326" s="11">
        <v>10</v>
      </c>
      <c r="AN326" s="72">
        <v>10</v>
      </c>
      <c r="AO326" s="72">
        <v>10</v>
      </c>
      <c r="AP326" s="72">
        <v>10</v>
      </c>
      <c r="AQ326" s="72">
        <v>10</v>
      </c>
      <c r="AR326" s="72">
        <v>10</v>
      </c>
      <c r="AS326" s="72">
        <v>10</v>
      </c>
      <c r="AT326" s="72">
        <v>10</v>
      </c>
      <c r="AU326" s="72">
        <v>10</v>
      </c>
      <c r="AV326" s="72">
        <v>10</v>
      </c>
      <c r="AW326" s="72">
        <v>10</v>
      </c>
      <c r="AX326" s="72">
        <v>10</v>
      </c>
      <c r="AY326" s="72">
        <v>10</v>
      </c>
      <c r="AZ326" s="72">
        <v>10</v>
      </c>
      <c r="BA326" s="72">
        <v>10</v>
      </c>
      <c r="BB326" s="72">
        <v>10</v>
      </c>
      <c r="BC326" s="72">
        <v>10</v>
      </c>
      <c r="BD326" s="72">
        <v>10</v>
      </c>
      <c r="BE326" s="72">
        <v>10</v>
      </c>
      <c r="BF326" s="72">
        <v>10</v>
      </c>
      <c r="BG326" s="72">
        <v>10</v>
      </c>
      <c r="BH326" s="72">
        <v>10</v>
      </c>
      <c r="BI326" s="72">
        <v>10</v>
      </c>
      <c r="BJ326" s="72">
        <v>10</v>
      </c>
      <c r="BK326" s="72">
        <v>10</v>
      </c>
      <c r="BL326" s="72">
        <v>10</v>
      </c>
      <c r="BM326" s="72">
        <v>10</v>
      </c>
      <c r="BN326" s="72">
        <v>10</v>
      </c>
      <c r="BO326" s="72">
        <v>10</v>
      </c>
      <c r="BP326" s="72">
        <v>10</v>
      </c>
      <c r="BQ326" s="72">
        <v>10</v>
      </c>
      <c r="BR326" s="72">
        <v>10</v>
      </c>
      <c r="BS326" s="72">
        <v>10</v>
      </c>
      <c r="BT326" s="72">
        <v>10</v>
      </c>
      <c r="BU326" s="72">
        <v>10</v>
      </c>
      <c r="BV326" s="72">
        <v>10</v>
      </c>
      <c r="BW326" s="72">
        <v>10</v>
      </c>
      <c r="BX326" s="72">
        <v>10</v>
      </c>
      <c r="BY326" s="72">
        <v>10</v>
      </c>
      <c r="BZ326" s="72">
        <v>10</v>
      </c>
      <c r="CA326" s="72">
        <v>10</v>
      </c>
      <c r="CB326" s="72">
        <v>10</v>
      </c>
      <c r="CC326" s="72">
        <v>10</v>
      </c>
      <c r="CD326" s="72">
        <v>10</v>
      </c>
      <c r="CE326" s="72">
        <v>10</v>
      </c>
      <c r="CF326" s="72">
        <v>10</v>
      </c>
      <c r="CG326" s="72">
        <v>10</v>
      </c>
      <c r="CH326" s="72">
        <v>10</v>
      </c>
      <c r="CI326" s="72">
        <v>10</v>
      </c>
      <c r="CJ326" s="72">
        <v>10</v>
      </c>
      <c r="CK326" s="72">
        <v>10</v>
      </c>
      <c r="CL326" s="72">
        <v>10</v>
      </c>
      <c r="CM326" s="72">
        <v>10</v>
      </c>
      <c r="CN326" s="72">
        <v>10</v>
      </c>
      <c r="CO326" s="72">
        <v>10</v>
      </c>
      <c r="CP326" s="72">
        <v>10</v>
      </c>
      <c r="CQ326" s="72">
        <v>10</v>
      </c>
      <c r="CR326" s="72">
        <v>10</v>
      </c>
      <c r="CS326" s="72">
        <v>10</v>
      </c>
      <c r="CT326" s="72">
        <v>10</v>
      </c>
      <c r="CU326" s="72">
        <v>10</v>
      </c>
      <c r="CV326" s="72">
        <v>10</v>
      </c>
      <c r="CW326" s="72">
        <v>10</v>
      </c>
      <c r="CX326" s="72">
        <v>10</v>
      </c>
      <c r="CY326" s="72">
        <v>10</v>
      </c>
      <c r="CZ326" s="72">
        <v>10</v>
      </c>
      <c r="DA326" s="72">
        <v>10</v>
      </c>
      <c r="DB326" s="72">
        <v>10</v>
      </c>
      <c r="DC326" s="72">
        <v>10</v>
      </c>
      <c r="DD326" s="72">
        <v>10</v>
      </c>
      <c r="DE326" s="72">
        <v>10</v>
      </c>
      <c r="DF326" s="72">
        <v>10</v>
      </c>
      <c r="DG326" s="72">
        <v>10</v>
      </c>
      <c r="DH326" s="72">
        <v>10</v>
      </c>
      <c r="DI326" s="72">
        <v>10</v>
      </c>
      <c r="DJ326" s="72">
        <v>10</v>
      </c>
      <c r="DK326" s="72">
        <v>10</v>
      </c>
      <c r="DL326" s="72">
        <v>10</v>
      </c>
      <c r="DM326" s="72">
        <v>10</v>
      </c>
      <c r="DN326" s="72">
        <v>10</v>
      </c>
      <c r="DO326" s="72">
        <v>10</v>
      </c>
      <c r="DP326" s="72">
        <v>10</v>
      </c>
      <c r="DQ326" s="72"/>
      <c r="DR326" s="72">
        <v>10</v>
      </c>
      <c r="DS326" s="77"/>
    </row>
    <row r="327" spans="1:123" x14ac:dyDescent="0.35">
      <c r="A327" s="7"/>
      <c r="B327" s="92" t="s">
        <v>1332</v>
      </c>
      <c r="C327" s="9" t="s">
        <v>569</v>
      </c>
      <c r="D327" s="10" t="s">
        <v>549</v>
      </c>
      <c r="E327" s="8" t="s">
        <v>1215</v>
      </c>
      <c r="F327" s="10">
        <v>1104</v>
      </c>
      <c r="G327" s="10" t="s">
        <v>40</v>
      </c>
      <c r="H327" s="10" t="s">
        <v>41</v>
      </c>
      <c r="I327" s="11">
        <v>223</v>
      </c>
      <c r="J327" s="10"/>
      <c r="K327" s="10" t="s">
        <v>556</v>
      </c>
      <c r="L327" s="8"/>
      <c r="M327" s="12"/>
      <c r="N327" s="12">
        <f t="shared" si="7"/>
        <v>0</v>
      </c>
      <c r="O327" s="11">
        <v>223</v>
      </c>
      <c r="P327" s="11">
        <v>223</v>
      </c>
      <c r="Q327" s="11">
        <v>223</v>
      </c>
      <c r="R327" s="11">
        <v>223</v>
      </c>
      <c r="S327" s="11">
        <v>223</v>
      </c>
      <c r="T327" s="11">
        <v>223</v>
      </c>
      <c r="U327" s="11">
        <v>223</v>
      </c>
      <c r="V327" s="11">
        <v>223</v>
      </c>
      <c r="W327" s="11">
        <v>223</v>
      </c>
      <c r="X327" s="11">
        <v>223</v>
      </c>
      <c r="Y327" s="11">
        <v>223</v>
      </c>
      <c r="Z327" s="11">
        <v>223</v>
      </c>
      <c r="AA327" s="11">
        <v>223</v>
      </c>
      <c r="AB327" s="11">
        <v>223</v>
      </c>
      <c r="AC327" s="11">
        <v>223</v>
      </c>
      <c r="AD327" s="11">
        <v>223</v>
      </c>
      <c r="AE327" s="11">
        <v>223</v>
      </c>
      <c r="AF327" s="11">
        <v>223</v>
      </c>
      <c r="AG327" s="11">
        <v>223</v>
      </c>
      <c r="AH327" s="11">
        <v>223</v>
      </c>
      <c r="AI327" s="11">
        <v>223</v>
      </c>
      <c r="AJ327" s="11">
        <v>223</v>
      </c>
      <c r="AK327" s="11">
        <v>223</v>
      </c>
      <c r="AL327" s="11">
        <v>223</v>
      </c>
      <c r="AM327" s="11">
        <v>223</v>
      </c>
      <c r="AN327" s="72">
        <v>223</v>
      </c>
      <c r="AO327" s="72">
        <v>223</v>
      </c>
      <c r="AP327" s="72">
        <v>223</v>
      </c>
      <c r="AQ327" s="72">
        <v>223</v>
      </c>
      <c r="AR327" s="72">
        <v>223</v>
      </c>
      <c r="AS327" s="72">
        <v>223</v>
      </c>
      <c r="AT327" s="72">
        <v>223</v>
      </c>
      <c r="AU327" s="72">
        <v>223</v>
      </c>
      <c r="AV327" s="72">
        <v>223</v>
      </c>
      <c r="AW327" s="72">
        <v>223</v>
      </c>
      <c r="AX327" s="72">
        <v>223</v>
      </c>
      <c r="AY327" s="72">
        <v>223</v>
      </c>
      <c r="AZ327" s="72">
        <v>223</v>
      </c>
      <c r="BA327" s="72">
        <v>223</v>
      </c>
      <c r="BB327" s="72">
        <v>223</v>
      </c>
      <c r="BC327" s="72">
        <v>223</v>
      </c>
      <c r="BD327" s="72">
        <v>223</v>
      </c>
      <c r="BE327" s="72">
        <v>223</v>
      </c>
      <c r="BF327" s="72">
        <v>223</v>
      </c>
      <c r="BG327" s="72">
        <v>223</v>
      </c>
      <c r="BH327" s="72">
        <v>223</v>
      </c>
      <c r="BI327" s="72">
        <v>223</v>
      </c>
      <c r="BJ327" s="72">
        <v>223</v>
      </c>
      <c r="BK327" s="72">
        <v>223</v>
      </c>
      <c r="BL327" s="72">
        <v>223</v>
      </c>
      <c r="BM327" s="72">
        <v>223</v>
      </c>
      <c r="BN327" s="72">
        <v>223</v>
      </c>
      <c r="BO327" s="72">
        <v>223</v>
      </c>
      <c r="BP327" s="72">
        <v>223</v>
      </c>
      <c r="BQ327" s="72">
        <v>223</v>
      </c>
      <c r="BR327" s="72">
        <v>223</v>
      </c>
      <c r="BS327" s="72">
        <v>223</v>
      </c>
      <c r="BT327" s="72">
        <v>223</v>
      </c>
      <c r="BU327" s="72">
        <v>223</v>
      </c>
      <c r="BV327" s="72">
        <v>223</v>
      </c>
      <c r="BW327" s="72">
        <v>223</v>
      </c>
      <c r="BX327" s="72">
        <v>223</v>
      </c>
      <c r="BY327" s="72">
        <v>223</v>
      </c>
      <c r="BZ327" s="72">
        <v>223</v>
      </c>
      <c r="CA327" s="72">
        <v>223</v>
      </c>
      <c r="CB327" s="72">
        <v>223</v>
      </c>
      <c r="CC327" s="72">
        <v>223</v>
      </c>
      <c r="CD327" s="72">
        <v>223</v>
      </c>
      <c r="CE327" s="72">
        <v>223</v>
      </c>
      <c r="CF327" s="72">
        <v>223</v>
      </c>
      <c r="CG327" s="72">
        <v>223</v>
      </c>
      <c r="CH327" s="72">
        <v>223</v>
      </c>
      <c r="CI327" s="72">
        <v>223</v>
      </c>
      <c r="CJ327" s="72">
        <v>223</v>
      </c>
      <c r="CK327" s="72">
        <v>223</v>
      </c>
      <c r="CL327" s="72">
        <v>223</v>
      </c>
      <c r="CM327" s="72">
        <v>223</v>
      </c>
      <c r="CN327" s="72">
        <v>223</v>
      </c>
      <c r="CO327" s="72">
        <v>223</v>
      </c>
      <c r="CP327" s="72">
        <v>223</v>
      </c>
      <c r="CQ327" s="72">
        <v>223</v>
      </c>
      <c r="CR327" s="72">
        <v>223</v>
      </c>
      <c r="CS327" s="72">
        <v>223</v>
      </c>
      <c r="CT327" s="72">
        <v>223</v>
      </c>
      <c r="CU327" s="72">
        <v>223</v>
      </c>
      <c r="CV327" s="72">
        <v>223</v>
      </c>
      <c r="CW327" s="72">
        <v>223</v>
      </c>
      <c r="CX327" s="72">
        <v>223</v>
      </c>
      <c r="CY327" s="72">
        <v>223</v>
      </c>
      <c r="CZ327" s="72">
        <v>223</v>
      </c>
      <c r="DA327" s="72">
        <v>223</v>
      </c>
      <c r="DB327" s="72">
        <v>223</v>
      </c>
      <c r="DC327" s="72">
        <v>223</v>
      </c>
      <c r="DD327" s="72">
        <v>223</v>
      </c>
      <c r="DE327" s="72">
        <v>223</v>
      </c>
      <c r="DF327" s="72">
        <v>223</v>
      </c>
      <c r="DG327" s="72">
        <v>223</v>
      </c>
      <c r="DH327" s="72">
        <v>223</v>
      </c>
      <c r="DI327" s="72">
        <v>223</v>
      </c>
      <c r="DJ327" s="72">
        <v>223</v>
      </c>
      <c r="DK327" s="72">
        <v>223</v>
      </c>
      <c r="DL327" s="72">
        <v>223</v>
      </c>
      <c r="DM327" s="72">
        <v>223</v>
      </c>
      <c r="DN327" s="72">
        <v>223</v>
      </c>
      <c r="DO327" s="72">
        <v>223</v>
      </c>
      <c r="DP327" s="72">
        <v>223</v>
      </c>
      <c r="DQ327" s="72"/>
      <c r="DR327" s="72">
        <v>223</v>
      </c>
      <c r="DS327" s="77"/>
    </row>
    <row r="328" spans="1:123" x14ac:dyDescent="0.35">
      <c r="A328" s="7"/>
      <c r="B328" s="92" t="s">
        <v>1333</v>
      </c>
      <c r="C328" s="9" t="s">
        <v>570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7</v>
      </c>
      <c r="J328" s="10"/>
      <c r="K328" s="10" t="s">
        <v>556</v>
      </c>
      <c r="L328" s="8"/>
      <c r="M328" s="12"/>
      <c r="N328" s="12">
        <f t="shared" si="7"/>
        <v>0</v>
      </c>
      <c r="O328" s="11">
        <v>7</v>
      </c>
      <c r="P328" s="11">
        <v>7</v>
      </c>
      <c r="Q328" s="11">
        <v>7</v>
      </c>
      <c r="R328" s="11">
        <v>7</v>
      </c>
      <c r="S328" s="11">
        <v>7</v>
      </c>
      <c r="T328" s="11">
        <v>7</v>
      </c>
      <c r="U328" s="11">
        <v>7</v>
      </c>
      <c r="V328" s="11">
        <v>7</v>
      </c>
      <c r="W328" s="11">
        <v>7</v>
      </c>
      <c r="X328" s="11">
        <v>7</v>
      </c>
      <c r="Y328" s="11">
        <v>7</v>
      </c>
      <c r="Z328" s="11">
        <v>7</v>
      </c>
      <c r="AA328" s="11">
        <v>7</v>
      </c>
      <c r="AB328" s="11">
        <v>7</v>
      </c>
      <c r="AC328" s="11">
        <v>7</v>
      </c>
      <c r="AD328" s="11">
        <v>7</v>
      </c>
      <c r="AE328" s="11">
        <v>7</v>
      </c>
      <c r="AF328" s="11">
        <v>7</v>
      </c>
      <c r="AG328" s="11">
        <v>7</v>
      </c>
      <c r="AH328" s="11">
        <v>7</v>
      </c>
      <c r="AI328" s="11">
        <v>7</v>
      </c>
      <c r="AJ328" s="11">
        <v>7</v>
      </c>
      <c r="AK328" s="11">
        <v>7</v>
      </c>
      <c r="AL328" s="11">
        <v>7</v>
      </c>
      <c r="AM328" s="11">
        <v>7</v>
      </c>
      <c r="AN328" s="72">
        <v>7</v>
      </c>
      <c r="AO328" s="72">
        <v>7</v>
      </c>
      <c r="AP328" s="72">
        <v>7</v>
      </c>
      <c r="AQ328" s="72">
        <v>7</v>
      </c>
      <c r="AR328" s="72">
        <v>7</v>
      </c>
      <c r="AS328" s="72">
        <v>7</v>
      </c>
      <c r="AT328" s="72">
        <v>7</v>
      </c>
      <c r="AU328" s="72">
        <v>7</v>
      </c>
      <c r="AV328" s="72">
        <v>7</v>
      </c>
      <c r="AW328" s="72">
        <v>7</v>
      </c>
      <c r="AX328" s="72">
        <v>7</v>
      </c>
      <c r="AY328" s="72">
        <v>7</v>
      </c>
      <c r="AZ328" s="72">
        <v>7</v>
      </c>
      <c r="BA328" s="72">
        <v>7</v>
      </c>
      <c r="BB328" s="72">
        <v>7</v>
      </c>
      <c r="BC328" s="72">
        <v>7</v>
      </c>
      <c r="BD328" s="72">
        <v>7</v>
      </c>
      <c r="BE328" s="72">
        <v>7</v>
      </c>
      <c r="BF328" s="72">
        <v>7</v>
      </c>
      <c r="BG328" s="72">
        <v>7</v>
      </c>
      <c r="BH328" s="72">
        <v>7</v>
      </c>
      <c r="BI328" s="72">
        <v>7</v>
      </c>
      <c r="BJ328" s="72">
        <v>7</v>
      </c>
      <c r="BK328" s="72">
        <v>7</v>
      </c>
      <c r="BL328" s="72">
        <v>7</v>
      </c>
      <c r="BM328" s="72">
        <v>7</v>
      </c>
      <c r="BN328" s="72">
        <v>7</v>
      </c>
      <c r="BO328" s="72">
        <v>7</v>
      </c>
      <c r="BP328" s="72">
        <v>7</v>
      </c>
      <c r="BQ328" s="72">
        <v>7</v>
      </c>
      <c r="BR328" s="72">
        <v>7</v>
      </c>
      <c r="BS328" s="72">
        <v>7</v>
      </c>
      <c r="BT328" s="72">
        <v>7</v>
      </c>
      <c r="BU328" s="72">
        <v>7</v>
      </c>
      <c r="BV328" s="72">
        <v>7</v>
      </c>
      <c r="BW328" s="72">
        <v>7</v>
      </c>
      <c r="BX328" s="72">
        <v>7</v>
      </c>
      <c r="BY328" s="72">
        <v>7</v>
      </c>
      <c r="BZ328" s="72">
        <v>7</v>
      </c>
      <c r="CA328" s="72">
        <v>7</v>
      </c>
      <c r="CB328" s="72">
        <v>7</v>
      </c>
      <c r="CC328" s="72">
        <v>7</v>
      </c>
      <c r="CD328" s="72">
        <v>7</v>
      </c>
      <c r="CE328" s="72">
        <v>7</v>
      </c>
      <c r="CF328" s="72">
        <v>7</v>
      </c>
      <c r="CG328" s="72">
        <v>7</v>
      </c>
      <c r="CH328" s="72">
        <v>7</v>
      </c>
      <c r="CI328" s="72">
        <v>7</v>
      </c>
      <c r="CJ328" s="72">
        <v>7</v>
      </c>
      <c r="CK328" s="72">
        <v>7</v>
      </c>
      <c r="CL328" s="72">
        <v>7</v>
      </c>
      <c r="CM328" s="72">
        <v>7</v>
      </c>
      <c r="CN328" s="72">
        <v>7</v>
      </c>
      <c r="CO328" s="72">
        <v>7</v>
      </c>
      <c r="CP328" s="72">
        <v>7</v>
      </c>
      <c r="CQ328" s="72">
        <v>7</v>
      </c>
      <c r="CR328" s="72">
        <v>7</v>
      </c>
      <c r="CS328" s="72">
        <v>7</v>
      </c>
      <c r="CT328" s="72">
        <v>7</v>
      </c>
      <c r="CU328" s="72">
        <v>7</v>
      </c>
      <c r="CV328" s="72">
        <v>7</v>
      </c>
      <c r="CW328" s="72">
        <v>7</v>
      </c>
      <c r="CX328" s="72">
        <v>7</v>
      </c>
      <c r="CY328" s="72">
        <v>7</v>
      </c>
      <c r="CZ328" s="72">
        <v>7</v>
      </c>
      <c r="DA328" s="72">
        <v>7</v>
      </c>
      <c r="DB328" s="72">
        <v>7</v>
      </c>
      <c r="DC328" s="72">
        <v>7</v>
      </c>
      <c r="DD328" s="72">
        <v>7</v>
      </c>
      <c r="DE328" s="72">
        <v>7</v>
      </c>
      <c r="DF328" s="72">
        <v>7</v>
      </c>
      <c r="DG328" s="72">
        <v>7</v>
      </c>
      <c r="DH328" s="72">
        <v>7</v>
      </c>
      <c r="DI328" s="72">
        <v>7</v>
      </c>
      <c r="DJ328" s="72">
        <v>7</v>
      </c>
      <c r="DK328" s="72">
        <v>7</v>
      </c>
      <c r="DL328" s="72">
        <v>7</v>
      </c>
      <c r="DM328" s="72">
        <v>7</v>
      </c>
      <c r="DN328" s="72">
        <v>7</v>
      </c>
      <c r="DO328" s="72">
        <v>7</v>
      </c>
      <c r="DP328" s="72">
        <v>7</v>
      </c>
      <c r="DQ328" s="72"/>
      <c r="DR328" s="72">
        <v>7</v>
      </c>
      <c r="DS328" s="77"/>
    </row>
    <row r="329" spans="1:123" x14ac:dyDescent="0.35">
      <c r="A329" s="7"/>
      <c r="B329" s="92" t="s">
        <v>1334</v>
      </c>
      <c r="C329" s="9" t="s">
        <v>571</v>
      </c>
      <c r="D329" s="10" t="s">
        <v>549</v>
      </c>
      <c r="E329" s="8" t="s">
        <v>1215</v>
      </c>
      <c r="F329" s="10">
        <v>1103</v>
      </c>
      <c r="G329" s="10" t="s">
        <v>40</v>
      </c>
      <c r="H329" s="10" t="s">
        <v>41</v>
      </c>
      <c r="I329" s="11">
        <v>1</v>
      </c>
      <c r="J329" s="10"/>
      <c r="K329" s="10" t="s">
        <v>153</v>
      </c>
      <c r="L329" s="8"/>
      <c r="M329" s="12"/>
      <c r="N329" s="12">
        <f t="shared" si="7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  <c r="DO329" s="72">
        <v>1</v>
      </c>
      <c r="DP329" s="72">
        <v>1</v>
      </c>
      <c r="DQ329" s="72"/>
      <c r="DR329" s="72">
        <v>1</v>
      </c>
      <c r="DS329" s="77"/>
    </row>
    <row r="330" spans="1:123" x14ac:dyDescent="0.35">
      <c r="A330" s="7"/>
      <c r="B330" s="92" t="s">
        <v>1335</v>
      </c>
      <c r="C330" s="9" t="s">
        <v>572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1</v>
      </c>
      <c r="J330" s="10"/>
      <c r="K330" s="10" t="s">
        <v>556</v>
      </c>
      <c r="L330" s="8"/>
      <c r="M330" s="12"/>
      <c r="N330" s="12">
        <f t="shared" si="7"/>
        <v>0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T330" s="11">
        <v>1</v>
      </c>
      <c r="U330" s="11">
        <v>1</v>
      </c>
      <c r="V330" s="11">
        <v>1</v>
      </c>
      <c r="W330" s="11">
        <v>1</v>
      </c>
      <c r="X330" s="11">
        <v>1</v>
      </c>
      <c r="Y330" s="11">
        <v>1</v>
      </c>
      <c r="Z330" s="11">
        <v>1</v>
      </c>
      <c r="AA330" s="11">
        <v>1</v>
      </c>
      <c r="AB330" s="11">
        <v>1</v>
      </c>
      <c r="AC330" s="11">
        <v>1</v>
      </c>
      <c r="AD330" s="11">
        <v>1</v>
      </c>
      <c r="AE330" s="11">
        <v>1</v>
      </c>
      <c r="AF330" s="11">
        <v>1</v>
      </c>
      <c r="AG330" s="11">
        <v>1</v>
      </c>
      <c r="AH330" s="11">
        <v>1</v>
      </c>
      <c r="AI330" s="11">
        <v>1</v>
      </c>
      <c r="AJ330" s="11">
        <v>1</v>
      </c>
      <c r="AK330" s="11">
        <v>1</v>
      </c>
      <c r="AL330" s="11">
        <v>1</v>
      </c>
      <c r="AM330" s="11">
        <v>1</v>
      </c>
      <c r="AN330" s="72">
        <v>1</v>
      </c>
      <c r="AO330" s="72">
        <v>1</v>
      </c>
      <c r="AP330" s="72">
        <v>1</v>
      </c>
      <c r="AQ330" s="72">
        <v>1</v>
      </c>
      <c r="AR330" s="72">
        <v>1</v>
      </c>
      <c r="AS330" s="72">
        <v>1</v>
      </c>
      <c r="AT330" s="72">
        <v>1</v>
      </c>
      <c r="AU330" s="72">
        <v>1</v>
      </c>
      <c r="AV330" s="72">
        <v>1</v>
      </c>
      <c r="AW330" s="72">
        <v>1</v>
      </c>
      <c r="AX330" s="72">
        <v>1</v>
      </c>
      <c r="AY330" s="72">
        <v>1</v>
      </c>
      <c r="AZ330" s="72">
        <v>1</v>
      </c>
      <c r="BA330" s="72">
        <v>1</v>
      </c>
      <c r="BB330" s="72">
        <v>1</v>
      </c>
      <c r="BC330" s="72">
        <v>1</v>
      </c>
      <c r="BD330" s="72">
        <v>1</v>
      </c>
      <c r="BE330" s="72">
        <v>1</v>
      </c>
      <c r="BF330" s="72">
        <v>1</v>
      </c>
      <c r="BG330" s="72">
        <v>1</v>
      </c>
      <c r="BH330" s="72">
        <v>1</v>
      </c>
      <c r="BI330" s="72">
        <v>1</v>
      </c>
      <c r="BJ330" s="72">
        <v>1</v>
      </c>
      <c r="BK330" s="72">
        <v>1</v>
      </c>
      <c r="BL330" s="72">
        <v>1</v>
      </c>
      <c r="BM330" s="72">
        <v>1</v>
      </c>
      <c r="BN330" s="72">
        <v>1</v>
      </c>
      <c r="BO330" s="72">
        <v>1</v>
      </c>
      <c r="BP330" s="72">
        <v>1</v>
      </c>
      <c r="BQ330" s="72">
        <v>1</v>
      </c>
      <c r="BR330" s="72">
        <v>1</v>
      </c>
      <c r="BS330" s="72">
        <v>1</v>
      </c>
      <c r="BT330" s="72">
        <v>1</v>
      </c>
      <c r="BU330" s="72">
        <v>1</v>
      </c>
      <c r="BV330" s="72">
        <v>1</v>
      </c>
      <c r="BW330" s="72">
        <v>1</v>
      </c>
      <c r="BX330" s="72">
        <v>1</v>
      </c>
      <c r="BY330" s="72">
        <v>1</v>
      </c>
      <c r="BZ330" s="72">
        <v>1</v>
      </c>
      <c r="CA330" s="72">
        <v>1</v>
      </c>
      <c r="CB330" s="72">
        <v>1</v>
      </c>
      <c r="CC330" s="72">
        <v>1</v>
      </c>
      <c r="CD330" s="72">
        <v>1</v>
      </c>
      <c r="CE330" s="72">
        <v>1</v>
      </c>
      <c r="CF330" s="72">
        <v>1</v>
      </c>
      <c r="CG330" s="72">
        <v>1</v>
      </c>
      <c r="CH330" s="72">
        <v>1</v>
      </c>
      <c r="CI330" s="72">
        <v>1</v>
      </c>
      <c r="CJ330" s="72">
        <v>1</v>
      </c>
      <c r="CK330" s="72">
        <v>1</v>
      </c>
      <c r="CL330" s="72">
        <v>1</v>
      </c>
      <c r="CM330" s="72">
        <v>1</v>
      </c>
      <c r="CN330" s="72">
        <v>1</v>
      </c>
      <c r="CO330" s="72">
        <v>1</v>
      </c>
      <c r="CP330" s="72">
        <v>1</v>
      </c>
      <c r="CQ330" s="72">
        <v>1</v>
      </c>
      <c r="CR330" s="72">
        <v>1</v>
      </c>
      <c r="CS330" s="72">
        <v>1</v>
      </c>
      <c r="CT330" s="72">
        <v>1</v>
      </c>
      <c r="CU330" s="72">
        <v>1</v>
      </c>
      <c r="CV330" s="72">
        <v>1</v>
      </c>
      <c r="CW330" s="72">
        <v>1</v>
      </c>
      <c r="CX330" s="72">
        <v>1</v>
      </c>
      <c r="CY330" s="72">
        <v>1</v>
      </c>
      <c r="CZ330" s="72">
        <v>1</v>
      </c>
      <c r="DA330" s="72">
        <v>1</v>
      </c>
      <c r="DB330" s="72">
        <v>1</v>
      </c>
      <c r="DC330" s="72">
        <v>1</v>
      </c>
      <c r="DD330" s="72">
        <v>1</v>
      </c>
      <c r="DE330" s="72">
        <v>1</v>
      </c>
      <c r="DF330" s="72">
        <v>1</v>
      </c>
      <c r="DG330" s="72">
        <v>1</v>
      </c>
      <c r="DH330" s="72">
        <v>1</v>
      </c>
      <c r="DI330" s="72">
        <v>1</v>
      </c>
      <c r="DJ330" s="72">
        <v>1</v>
      </c>
      <c r="DK330" s="72">
        <v>1</v>
      </c>
      <c r="DL330" s="72">
        <v>1</v>
      </c>
      <c r="DM330" s="72">
        <v>1</v>
      </c>
      <c r="DN330" s="72">
        <v>1</v>
      </c>
      <c r="DO330" s="72">
        <v>1</v>
      </c>
      <c r="DP330" s="72">
        <v>1</v>
      </c>
      <c r="DQ330" s="72"/>
      <c r="DR330" s="72">
        <v>1</v>
      </c>
      <c r="DS330" s="77"/>
    </row>
    <row r="331" spans="1:123" x14ac:dyDescent="0.35">
      <c r="A331" s="7"/>
      <c r="B331" s="92" t="s">
        <v>1336</v>
      </c>
      <c r="C331" s="8" t="s">
        <v>573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</v>
      </c>
      <c r="J331" s="10"/>
      <c r="K331" s="10" t="s">
        <v>556</v>
      </c>
      <c r="L331" s="8"/>
      <c r="M331" s="12"/>
      <c r="N331" s="12">
        <f t="shared" si="7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  <c r="DQ331" s="72"/>
      <c r="DR331" s="72">
        <v>1</v>
      </c>
      <c r="DS331" s="77"/>
    </row>
    <row r="332" spans="1:123" x14ac:dyDescent="0.35">
      <c r="A332" s="7"/>
      <c r="B332" s="8" t="s">
        <v>1230</v>
      </c>
      <c r="C332" s="8" t="s">
        <v>1165</v>
      </c>
      <c r="D332" s="10" t="s">
        <v>549</v>
      </c>
      <c r="E332" s="8" t="s">
        <v>1215</v>
      </c>
      <c r="F332" s="10"/>
      <c r="G332" s="10" t="s">
        <v>40</v>
      </c>
      <c r="H332" s="10" t="s">
        <v>41</v>
      </c>
      <c r="I332" s="11"/>
      <c r="J332" s="10"/>
      <c r="K332" s="10"/>
      <c r="L332" s="8"/>
      <c r="M332" s="12"/>
      <c r="N332" s="12">
        <f t="shared" si="7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v>10</v>
      </c>
      <c r="AL332" s="11">
        <v>0</v>
      </c>
      <c r="AM332" s="11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0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  <c r="DP332" s="72">
        <v>0</v>
      </c>
      <c r="DQ332" s="72"/>
      <c r="DR332" s="72">
        <v>0</v>
      </c>
      <c r="DS332" s="77"/>
    </row>
    <row r="333" spans="1:123" x14ac:dyDescent="0.35">
      <c r="A333" s="7"/>
      <c r="B333" s="8" t="s">
        <v>574</v>
      </c>
      <c r="C333" s="8" t="s">
        <v>575</v>
      </c>
      <c r="D333" s="10" t="s">
        <v>1166</v>
      </c>
      <c r="E333" s="8" t="s">
        <v>1215</v>
      </c>
      <c r="F333" s="10"/>
      <c r="G333" s="10" t="s">
        <v>40</v>
      </c>
      <c r="H333" s="10" t="s">
        <v>41</v>
      </c>
      <c r="I333" s="11"/>
      <c r="J333" s="10"/>
      <c r="K333" s="10"/>
      <c r="L333" s="8"/>
      <c r="M333" s="12"/>
      <c r="N333" s="12">
        <f t="shared" si="7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>
        <v>7</v>
      </c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  <c r="DP333" s="72">
        <v>0</v>
      </c>
      <c r="DQ333" s="72"/>
      <c r="DR333" s="72">
        <v>0</v>
      </c>
      <c r="DS333" s="90"/>
    </row>
    <row r="334" spans="1:123" x14ac:dyDescent="0.35">
      <c r="A334" s="7"/>
      <c r="B334" s="77" t="s">
        <v>1539</v>
      </c>
      <c r="C334" s="8" t="s">
        <v>1546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457.52</v>
      </c>
      <c r="N334" s="12">
        <f t="shared" si="7"/>
        <v>44379.439999999995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97</v>
      </c>
      <c r="DI334" s="72">
        <v>97</v>
      </c>
      <c r="DJ334" s="72">
        <v>97</v>
      </c>
      <c r="DK334" s="72">
        <v>97</v>
      </c>
      <c r="DL334" s="72">
        <v>97</v>
      </c>
      <c r="DM334" s="72">
        <v>97</v>
      </c>
      <c r="DN334" s="72">
        <v>97</v>
      </c>
      <c r="DO334" s="72">
        <v>97</v>
      </c>
      <c r="DP334" s="72">
        <v>97</v>
      </c>
      <c r="DQ334" s="72"/>
      <c r="DR334" s="72">
        <v>97</v>
      </c>
      <c r="DS334" s="90"/>
    </row>
    <row r="335" spans="1:123" x14ac:dyDescent="0.35">
      <c r="A335" s="7"/>
      <c r="B335" s="77" t="s">
        <v>1540</v>
      </c>
      <c r="C335" s="8" t="s">
        <v>1547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291.60000000000002</v>
      </c>
      <c r="N335" s="12">
        <f t="shared" si="7"/>
        <v>14288.400000000001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49</v>
      </c>
      <c r="DI335" s="72">
        <v>49</v>
      </c>
      <c r="DJ335" s="72">
        <v>49</v>
      </c>
      <c r="DK335" s="72">
        <v>49</v>
      </c>
      <c r="DL335" s="72">
        <v>49</v>
      </c>
      <c r="DM335" s="72">
        <v>49</v>
      </c>
      <c r="DN335" s="72">
        <v>49</v>
      </c>
      <c r="DO335" s="72">
        <v>49</v>
      </c>
      <c r="DP335" s="72">
        <v>49</v>
      </c>
      <c r="DQ335" s="72"/>
      <c r="DR335" s="72">
        <v>49</v>
      </c>
      <c r="DS335" s="90"/>
    </row>
    <row r="336" spans="1:123" x14ac:dyDescent="0.35">
      <c r="A336" s="7"/>
      <c r="B336" s="77" t="s">
        <v>1541</v>
      </c>
      <c r="C336" s="8" t="s">
        <v>1548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102.06</v>
      </c>
      <c r="N336" s="12">
        <f t="shared" si="7"/>
        <v>27147.96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293</v>
      </c>
      <c r="DI336" s="72">
        <v>293</v>
      </c>
      <c r="DJ336" s="72">
        <v>293</v>
      </c>
      <c r="DK336" s="72">
        <v>281</v>
      </c>
      <c r="DL336" s="72">
        <v>281</v>
      </c>
      <c r="DM336" s="72">
        <v>281</v>
      </c>
      <c r="DN336" s="72">
        <v>281</v>
      </c>
      <c r="DO336" s="72">
        <v>281</v>
      </c>
      <c r="DP336" s="72">
        <v>266</v>
      </c>
      <c r="DQ336" s="72"/>
      <c r="DR336" s="72">
        <v>266</v>
      </c>
      <c r="DS336" s="90"/>
    </row>
    <row r="337" spans="1:123" x14ac:dyDescent="0.35">
      <c r="A337" s="7"/>
      <c r="B337" s="77" t="s">
        <v>1542</v>
      </c>
      <c r="C337" s="8" t="s">
        <v>1549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109.06</v>
      </c>
      <c r="N337" s="12">
        <f t="shared" si="7"/>
        <v>20939.52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192</v>
      </c>
      <c r="DI337" s="72">
        <v>192</v>
      </c>
      <c r="DJ337" s="72">
        <v>192</v>
      </c>
      <c r="DK337" s="72">
        <v>192</v>
      </c>
      <c r="DL337" s="72">
        <v>192</v>
      </c>
      <c r="DM337" s="72">
        <v>192</v>
      </c>
      <c r="DN337" s="72">
        <v>192</v>
      </c>
      <c r="DO337" s="72">
        <v>192</v>
      </c>
      <c r="DP337" s="72">
        <v>192</v>
      </c>
      <c r="DQ337" s="72"/>
      <c r="DR337" s="72">
        <v>192</v>
      </c>
      <c r="DS337" s="90"/>
    </row>
    <row r="338" spans="1:123" x14ac:dyDescent="0.35">
      <c r="A338" s="7"/>
      <c r="B338" s="77" t="s">
        <v>1543</v>
      </c>
      <c r="C338" s="8" t="s">
        <v>1550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211.41</v>
      </c>
      <c r="N338" s="12">
        <f t="shared" si="7"/>
        <v>130862.79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622</v>
      </c>
      <c r="DI338" s="72">
        <v>621</v>
      </c>
      <c r="DJ338" s="72">
        <v>621</v>
      </c>
      <c r="DK338" s="72">
        <v>619</v>
      </c>
      <c r="DL338" s="72">
        <v>619</v>
      </c>
      <c r="DM338" s="72">
        <v>619</v>
      </c>
      <c r="DN338" s="72">
        <v>619</v>
      </c>
      <c r="DO338" s="72">
        <v>619</v>
      </c>
      <c r="DP338" s="72">
        <v>619</v>
      </c>
      <c r="DQ338" s="72"/>
      <c r="DR338" s="72">
        <v>619</v>
      </c>
      <c r="DS338" s="90"/>
    </row>
    <row r="339" spans="1:123" x14ac:dyDescent="0.35">
      <c r="A339" s="7"/>
      <c r="B339" s="8" t="s">
        <v>576</v>
      </c>
      <c r="C339" s="8" t="s">
        <v>577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0</v>
      </c>
      <c r="J339" s="10"/>
      <c r="K339" s="10" t="s">
        <v>42</v>
      </c>
      <c r="L339" s="8"/>
      <c r="M339" s="12"/>
      <c r="N339" s="12">
        <f t="shared" si="7"/>
        <v>0</v>
      </c>
      <c r="O339" s="11"/>
      <c r="P339" s="11"/>
      <c r="Q339" s="11"/>
      <c r="R339" s="11"/>
      <c r="S339" s="11"/>
      <c r="T339" s="11"/>
      <c r="U339" s="11">
        <v>0</v>
      </c>
      <c r="V339" s="11">
        <v>0</v>
      </c>
      <c r="W339" s="11">
        <v>0</v>
      </c>
      <c r="X339" s="11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0</v>
      </c>
      <c r="AG339" s="11">
        <v>0</v>
      </c>
      <c r="AH339" s="11">
        <v>0</v>
      </c>
      <c r="AI339" s="11">
        <v>0</v>
      </c>
      <c r="AJ339" s="11">
        <v>0</v>
      </c>
      <c r="AK339" s="11">
        <v>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  <c r="DQ339" s="72"/>
      <c r="DR339" s="72">
        <v>0</v>
      </c>
      <c r="DS339" s="77"/>
    </row>
    <row r="340" spans="1:123" x14ac:dyDescent="0.35">
      <c r="A340" s="7"/>
      <c r="B340" s="8" t="s">
        <v>579</v>
      </c>
      <c r="C340" s="8" t="s">
        <v>580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4</v>
      </c>
      <c r="J340" s="10"/>
      <c r="K340" s="10" t="s">
        <v>42</v>
      </c>
      <c r="L340" s="8"/>
      <c r="M340" s="12"/>
      <c r="N340" s="12">
        <f t="shared" si="7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>
        <v>4</v>
      </c>
      <c r="AA340" s="11">
        <v>4</v>
      </c>
      <c r="AB340" s="11">
        <v>4</v>
      </c>
      <c r="AC340" s="11">
        <v>4</v>
      </c>
      <c r="AD340" s="11">
        <v>4</v>
      </c>
      <c r="AE340" s="11">
        <v>4</v>
      </c>
      <c r="AF340" s="11">
        <v>4</v>
      </c>
      <c r="AG340" s="11">
        <v>4</v>
      </c>
      <c r="AH340" s="11">
        <v>4</v>
      </c>
      <c r="AI340" s="11">
        <v>4</v>
      </c>
      <c r="AJ340" s="11">
        <v>4</v>
      </c>
      <c r="AK340" s="11">
        <v>4</v>
      </c>
      <c r="AL340" s="11">
        <v>4</v>
      </c>
      <c r="AM340" s="11">
        <v>4</v>
      </c>
      <c r="AN340" s="72">
        <v>4</v>
      </c>
      <c r="AO340" s="72">
        <v>4</v>
      </c>
      <c r="AP340" s="72">
        <v>4</v>
      </c>
      <c r="AQ340" s="72">
        <v>4</v>
      </c>
      <c r="AR340" s="72">
        <v>4</v>
      </c>
      <c r="AS340" s="72">
        <v>4</v>
      </c>
      <c r="AT340" s="72">
        <v>4</v>
      </c>
      <c r="AU340" s="72">
        <v>4</v>
      </c>
      <c r="AV340" s="72">
        <v>4</v>
      </c>
      <c r="AW340" s="72">
        <v>4</v>
      </c>
      <c r="AX340" s="72">
        <v>4</v>
      </c>
      <c r="AY340" s="72">
        <v>4</v>
      </c>
      <c r="AZ340" s="72">
        <v>4</v>
      </c>
      <c r="BA340" s="72">
        <v>4</v>
      </c>
      <c r="BB340" s="72">
        <v>4</v>
      </c>
      <c r="BC340" s="72">
        <v>4</v>
      </c>
      <c r="BD340" s="72">
        <v>4</v>
      </c>
      <c r="BE340" s="72">
        <v>4</v>
      </c>
      <c r="BF340" s="72">
        <v>4</v>
      </c>
      <c r="BG340" s="72">
        <v>4</v>
      </c>
      <c r="BH340" s="72">
        <v>4</v>
      </c>
      <c r="BI340" s="72">
        <v>4</v>
      </c>
      <c r="BJ340" s="72">
        <v>4</v>
      </c>
      <c r="BK340" s="72">
        <v>4</v>
      </c>
      <c r="BL340" s="72">
        <v>4</v>
      </c>
      <c r="BM340" s="72">
        <v>4</v>
      </c>
      <c r="BN340" s="72">
        <v>4</v>
      </c>
      <c r="BO340" s="72">
        <v>4</v>
      </c>
      <c r="BP340" s="72">
        <v>4</v>
      </c>
      <c r="BQ340" s="72">
        <v>4</v>
      </c>
      <c r="BR340" s="72">
        <v>4</v>
      </c>
      <c r="BS340" s="72">
        <v>4</v>
      </c>
      <c r="BT340" s="72">
        <v>4</v>
      </c>
      <c r="BU340" s="72">
        <v>4</v>
      </c>
      <c r="BV340" s="72">
        <v>4</v>
      </c>
      <c r="BW340" s="72">
        <v>4</v>
      </c>
      <c r="BX340" s="72">
        <v>4</v>
      </c>
      <c r="BY340" s="72">
        <v>4</v>
      </c>
      <c r="BZ340" s="72">
        <v>4</v>
      </c>
      <c r="CA340" s="72">
        <v>4</v>
      </c>
      <c r="CB340" s="72">
        <v>4</v>
      </c>
      <c r="CC340" s="72">
        <v>4</v>
      </c>
      <c r="CD340" s="72">
        <v>4</v>
      </c>
      <c r="CE340" s="72">
        <v>4</v>
      </c>
      <c r="CF340" s="72">
        <v>4</v>
      </c>
      <c r="CG340" s="72">
        <v>4</v>
      </c>
      <c r="CH340" s="72">
        <v>4</v>
      </c>
      <c r="CI340" s="72">
        <v>4</v>
      </c>
      <c r="CJ340" s="72">
        <v>4</v>
      </c>
      <c r="CK340" s="72">
        <v>4</v>
      </c>
      <c r="CL340" s="72">
        <v>4</v>
      </c>
      <c r="CM340" s="72">
        <v>4</v>
      </c>
      <c r="CN340" s="72">
        <v>4</v>
      </c>
      <c r="CO340" s="72">
        <v>4</v>
      </c>
      <c r="CP340" s="72">
        <v>4</v>
      </c>
      <c r="CQ340" s="72">
        <v>4</v>
      </c>
      <c r="CR340" s="72">
        <v>4</v>
      </c>
      <c r="CS340" s="72">
        <v>4</v>
      </c>
      <c r="CT340" s="72">
        <v>4</v>
      </c>
      <c r="CU340" s="72">
        <v>4</v>
      </c>
      <c r="CV340" s="72">
        <v>4</v>
      </c>
      <c r="CW340" s="72">
        <v>4</v>
      </c>
      <c r="CX340" s="72">
        <v>4</v>
      </c>
      <c r="CY340" s="72">
        <v>4</v>
      </c>
      <c r="CZ340" s="72">
        <v>4</v>
      </c>
      <c r="DA340" s="72">
        <v>4</v>
      </c>
      <c r="DB340" s="72">
        <v>4</v>
      </c>
      <c r="DC340" s="72">
        <v>4</v>
      </c>
      <c r="DD340" s="72">
        <v>4</v>
      </c>
      <c r="DE340" s="72">
        <v>4</v>
      </c>
      <c r="DF340" s="72">
        <v>4</v>
      </c>
      <c r="DG340" s="72">
        <v>4</v>
      </c>
      <c r="DH340" s="72">
        <v>4</v>
      </c>
      <c r="DI340" s="72">
        <v>4</v>
      </c>
      <c r="DJ340" s="72">
        <v>4</v>
      </c>
      <c r="DK340" s="72">
        <v>4</v>
      </c>
      <c r="DL340" s="72">
        <v>4</v>
      </c>
      <c r="DM340" s="72">
        <v>4</v>
      </c>
      <c r="DN340" s="72">
        <v>4</v>
      </c>
      <c r="DO340" s="72">
        <v>4</v>
      </c>
      <c r="DP340" s="72">
        <v>4</v>
      </c>
      <c r="DQ340" s="72"/>
      <c r="DR340" s="72">
        <v>4</v>
      </c>
      <c r="DS340" s="77"/>
    </row>
    <row r="341" spans="1:123" x14ac:dyDescent="0.35">
      <c r="A341" s="7"/>
      <c r="B341" s="8" t="s">
        <v>581</v>
      </c>
      <c r="C341" s="8" t="s">
        <v>582</v>
      </c>
      <c r="D341" s="10" t="s">
        <v>578</v>
      </c>
      <c r="E341" s="8" t="s">
        <v>1208</v>
      </c>
      <c r="F341" s="10">
        <v>1102</v>
      </c>
      <c r="G341" s="10" t="s">
        <v>40</v>
      </c>
      <c r="H341" s="10" t="s">
        <v>41</v>
      </c>
      <c r="I341" s="11"/>
      <c r="J341" s="10">
        <v>4</v>
      </c>
      <c r="K341" s="10" t="s">
        <v>42</v>
      </c>
      <c r="L341" s="8" t="s">
        <v>583</v>
      </c>
      <c r="M341" s="12"/>
      <c r="N341" s="12">
        <f t="shared" si="7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  <c r="DQ341" s="72"/>
      <c r="DR341" s="72">
        <v>0</v>
      </c>
      <c r="DS341" s="77"/>
    </row>
    <row r="342" spans="1:123" x14ac:dyDescent="0.35">
      <c r="A342" s="7"/>
      <c r="B342" s="8" t="s">
        <v>584</v>
      </c>
      <c r="C342" s="8" t="s">
        <v>585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/>
      <c r="J342" s="10">
        <v>4</v>
      </c>
      <c r="K342" s="10" t="s">
        <v>42</v>
      </c>
      <c r="L342" s="8" t="s">
        <v>583</v>
      </c>
      <c r="M342" s="12"/>
      <c r="N342" s="12">
        <f t="shared" si="7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  <c r="DQ342" s="72"/>
      <c r="DR342" s="72">
        <v>0</v>
      </c>
      <c r="DS342" s="77"/>
    </row>
    <row r="343" spans="1:123" x14ac:dyDescent="0.35">
      <c r="A343" s="7"/>
      <c r="B343" s="8" t="s">
        <v>586</v>
      </c>
      <c r="C343" s="7" t="s">
        <v>587</v>
      </c>
      <c r="D343" s="10" t="s">
        <v>588</v>
      </c>
      <c r="E343" s="8" t="s">
        <v>1206</v>
      </c>
      <c r="F343" s="10">
        <v>1002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>
        <v>30</v>
      </c>
      <c r="N343" s="12">
        <f t="shared" si="7"/>
        <v>120</v>
      </c>
      <c r="O343" s="11">
        <v>4</v>
      </c>
      <c r="P343" s="11">
        <v>4</v>
      </c>
      <c r="Q343" s="11">
        <v>4</v>
      </c>
      <c r="R343" s="11">
        <v>4</v>
      </c>
      <c r="S343" s="11">
        <v>4</v>
      </c>
      <c r="T343" s="11">
        <v>4</v>
      </c>
      <c r="U343" s="11">
        <v>4</v>
      </c>
      <c r="V343" s="11">
        <v>4</v>
      </c>
      <c r="W343" s="11">
        <v>4</v>
      </c>
      <c r="X343" s="11">
        <v>4</v>
      </c>
      <c r="Y343" s="11">
        <v>4</v>
      </c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  <c r="DQ343" s="72"/>
      <c r="DR343" s="72">
        <v>4</v>
      </c>
      <c r="DS343" s="137"/>
    </row>
    <row r="344" spans="1:123" x14ac:dyDescent="0.35">
      <c r="A344" s="7"/>
      <c r="B344" s="77" t="s">
        <v>1514</v>
      </c>
      <c r="C344" s="118" t="s">
        <v>1517</v>
      </c>
      <c r="D344" s="97" t="s">
        <v>1518</v>
      </c>
      <c r="E344" s="92" t="s">
        <v>1519</v>
      </c>
      <c r="F344" s="10"/>
      <c r="G344" s="10" t="s">
        <v>40</v>
      </c>
      <c r="H344" s="10" t="s">
        <v>41</v>
      </c>
      <c r="I344" s="11"/>
      <c r="J344" s="10"/>
      <c r="K344" s="10"/>
      <c r="L344" s="8"/>
      <c r="M344" s="12">
        <v>135.08437369837105</v>
      </c>
      <c r="N344" s="12">
        <f t="shared" si="7"/>
        <v>135.08437369837105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>
        <v>1</v>
      </c>
      <c r="CX344" s="72">
        <v>1</v>
      </c>
      <c r="CY344" s="72">
        <v>1</v>
      </c>
      <c r="CZ344" s="72">
        <v>1</v>
      </c>
      <c r="DA344" s="72">
        <v>1</v>
      </c>
      <c r="DB344" s="72">
        <v>1</v>
      </c>
      <c r="DC344" s="72">
        <v>1</v>
      </c>
      <c r="DD344" s="72">
        <v>1</v>
      </c>
      <c r="DE344" s="72">
        <v>1</v>
      </c>
      <c r="DF344" s="72">
        <v>1</v>
      </c>
      <c r="DG344" s="72">
        <v>1</v>
      </c>
      <c r="DH344" s="72">
        <v>1</v>
      </c>
      <c r="DI344" s="72">
        <v>1</v>
      </c>
      <c r="DJ344" s="72">
        <v>1</v>
      </c>
      <c r="DK344" s="72">
        <v>1</v>
      </c>
      <c r="DL344" s="72">
        <v>1</v>
      </c>
      <c r="DM344" s="72">
        <v>1</v>
      </c>
      <c r="DN344" s="72">
        <v>1</v>
      </c>
      <c r="DO344" s="72">
        <v>1</v>
      </c>
      <c r="DP344" s="72">
        <v>1</v>
      </c>
      <c r="DQ344" s="72"/>
      <c r="DR344" s="72">
        <v>1</v>
      </c>
      <c r="DS344" s="137"/>
    </row>
    <row r="345" spans="1:123" x14ac:dyDescent="0.35">
      <c r="A345" s="7"/>
      <c r="B345" s="77" t="s">
        <v>1515</v>
      </c>
      <c r="C345" s="118" t="s">
        <v>1520</v>
      </c>
      <c r="D345" s="97" t="s">
        <v>1518</v>
      </c>
      <c r="E345" s="92" t="s">
        <v>1519</v>
      </c>
      <c r="F345" s="10"/>
      <c r="G345" s="10" t="s">
        <v>40</v>
      </c>
      <c r="H345" s="10" t="s">
        <v>41</v>
      </c>
      <c r="I345" s="11"/>
      <c r="J345" s="10"/>
      <c r="K345" s="10"/>
      <c r="L345" s="8"/>
      <c r="M345" s="12">
        <v>125.84795848296203</v>
      </c>
      <c r="N345" s="12">
        <f t="shared" si="7"/>
        <v>125.84795848296203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>
        <v>1</v>
      </c>
      <c r="CX345" s="72">
        <v>1</v>
      </c>
      <c r="CY345" s="72">
        <v>1</v>
      </c>
      <c r="CZ345" s="72">
        <v>1</v>
      </c>
      <c r="DA345" s="72">
        <v>1</v>
      </c>
      <c r="DB345" s="72">
        <v>1</v>
      </c>
      <c r="DC345" s="72">
        <v>1</v>
      </c>
      <c r="DD345" s="72">
        <v>1</v>
      </c>
      <c r="DE345" s="72">
        <v>1</v>
      </c>
      <c r="DF345" s="72">
        <v>1</v>
      </c>
      <c r="DG345" s="72">
        <v>1</v>
      </c>
      <c r="DH345" s="72">
        <v>1</v>
      </c>
      <c r="DI345" s="72">
        <v>1</v>
      </c>
      <c r="DJ345" s="72">
        <v>1</v>
      </c>
      <c r="DK345" s="72">
        <v>1</v>
      </c>
      <c r="DL345" s="72">
        <v>1</v>
      </c>
      <c r="DM345" s="72">
        <v>1</v>
      </c>
      <c r="DN345" s="72">
        <v>1</v>
      </c>
      <c r="DO345" s="72">
        <v>1</v>
      </c>
      <c r="DP345" s="72">
        <v>1</v>
      </c>
      <c r="DQ345" s="72"/>
      <c r="DR345" s="72">
        <v>1</v>
      </c>
      <c r="DS345" s="137"/>
    </row>
    <row r="346" spans="1:123" x14ac:dyDescent="0.35">
      <c r="A346" s="7"/>
      <c r="B346" s="8">
        <v>20030658</v>
      </c>
      <c r="C346" s="9" t="s">
        <v>589</v>
      </c>
      <c r="D346" s="10" t="s">
        <v>590</v>
      </c>
      <c r="E346" s="8" t="s">
        <v>1228</v>
      </c>
      <c r="F346" s="10">
        <v>1105</v>
      </c>
      <c r="G346" s="10" t="s">
        <v>40</v>
      </c>
      <c r="H346" s="10" t="s">
        <v>95</v>
      </c>
      <c r="I346" s="11">
        <v>3000</v>
      </c>
      <c r="J346" s="10"/>
      <c r="K346" s="10" t="s">
        <v>591</v>
      </c>
      <c r="L346" s="8" t="s">
        <v>189</v>
      </c>
      <c r="M346" s="12"/>
      <c r="N346" s="12">
        <f t="shared" si="7"/>
        <v>0</v>
      </c>
      <c r="O346" s="11">
        <v>3000</v>
      </c>
      <c r="P346" s="11">
        <v>3000</v>
      </c>
      <c r="Q346" s="11">
        <v>3000</v>
      </c>
      <c r="R346" s="11">
        <v>3000</v>
      </c>
      <c r="S346" s="11">
        <v>3000</v>
      </c>
      <c r="T346" s="11">
        <v>3000</v>
      </c>
      <c r="U346" s="11">
        <v>3000</v>
      </c>
      <c r="V346" s="11">
        <v>3000</v>
      </c>
      <c r="W346" s="11">
        <v>3000</v>
      </c>
      <c r="X346" s="11">
        <v>3000</v>
      </c>
      <c r="Y346" s="11">
        <v>3000</v>
      </c>
      <c r="Z346" s="11">
        <v>3000</v>
      </c>
      <c r="AA346" s="11">
        <v>3000</v>
      </c>
      <c r="AB346" s="11">
        <v>3000</v>
      </c>
      <c r="AC346" s="11">
        <v>3000</v>
      </c>
      <c r="AD346" s="11">
        <v>3000</v>
      </c>
      <c r="AE346" s="11">
        <v>3000</v>
      </c>
      <c r="AF346" s="11">
        <v>3000</v>
      </c>
      <c r="AG346" s="11">
        <v>3000</v>
      </c>
      <c r="AH346" s="11">
        <v>3000</v>
      </c>
      <c r="AI346" s="11">
        <v>3000</v>
      </c>
      <c r="AJ346" s="11">
        <v>3000</v>
      </c>
      <c r="AK346" s="11">
        <v>3000</v>
      </c>
      <c r="AL346" s="11">
        <v>3000</v>
      </c>
      <c r="AM346" s="11">
        <v>3000</v>
      </c>
      <c r="AN346" s="72">
        <v>3000</v>
      </c>
      <c r="AO346" s="72">
        <v>3000</v>
      </c>
      <c r="AP346" s="72">
        <v>3000</v>
      </c>
      <c r="AQ346" s="72">
        <v>3000</v>
      </c>
      <c r="AR346" s="72">
        <v>3000</v>
      </c>
      <c r="AS346" s="72">
        <v>3000</v>
      </c>
      <c r="AT346" s="72">
        <v>3000</v>
      </c>
      <c r="AU346" s="72">
        <v>3000</v>
      </c>
      <c r="AV346" s="72">
        <v>3000</v>
      </c>
      <c r="AW346" s="72">
        <v>3000</v>
      </c>
      <c r="AX346" s="72">
        <v>3000</v>
      </c>
      <c r="AY346" s="72">
        <v>3000</v>
      </c>
      <c r="AZ346" s="72">
        <v>3000</v>
      </c>
      <c r="BA346" s="72">
        <v>3000</v>
      </c>
      <c r="BB346" s="72">
        <v>3000</v>
      </c>
      <c r="BC346" s="72">
        <v>3000</v>
      </c>
      <c r="BD346" s="72">
        <v>3000</v>
      </c>
      <c r="BE346" s="72">
        <v>3000</v>
      </c>
      <c r="BF346" s="72">
        <v>3000</v>
      </c>
      <c r="BG346" s="72">
        <v>3000</v>
      </c>
      <c r="BH346" s="72">
        <v>3000</v>
      </c>
      <c r="BI346" s="72">
        <v>3000</v>
      </c>
      <c r="BJ346" s="72">
        <v>3000</v>
      </c>
      <c r="BK346" s="72">
        <v>3000</v>
      </c>
      <c r="BL346" s="72">
        <v>3000</v>
      </c>
      <c r="BM346" s="72">
        <v>3000</v>
      </c>
      <c r="BN346" s="72">
        <v>3000</v>
      </c>
      <c r="BO346" s="72">
        <v>3000</v>
      </c>
      <c r="BP346" s="72">
        <v>3000</v>
      </c>
      <c r="BQ346" s="72">
        <v>3000</v>
      </c>
      <c r="BR346" s="72">
        <v>3000</v>
      </c>
      <c r="BS346" s="72">
        <v>3000</v>
      </c>
      <c r="BT346" s="72">
        <v>3000</v>
      </c>
      <c r="BU346" s="72">
        <v>3000</v>
      </c>
      <c r="BV346" s="72">
        <v>3000</v>
      </c>
      <c r="BW346" s="72">
        <v>3000</v>
      </c>
      <c r="BX346" s="72">
        <v>3000</v>
      </c>
      <c r="BY346" s="72">
        <v>3000</v>
      </c>
      <c r="BZ346" s="72">
        <v>3000</v>
      </c>
      <c r="CA346" s="72">
        <v>3000</v>
      </c>
      <c r="CB346" s="72">
        <v>3000</v>
      </c>
      <c r="CC346" s="72">
        <v>3000</v>
      </c>
      <c r="CD346" s="72">
        <v>3000</v>
      </c>
      <c r="CE346" s="72">
        <v>3000</v>
      </c>
      <c r="CF346" s="72">
        <v>3000</v>
      </c>
      <c r="CG346" s="72">
        <v>3000</v>
      </c>
      <c r="CH346" s="72">
        <v>3000</v>
      </c>
      <c r="CI346" s="72">
        <v>3000</v>
      </c>
      <c r="CJ346" s="72">
        <v>3000</v>
      </c>
      <c r="CK346" s="72">
        <v>3000</v>
      </c>
      <c r="CL346" s="72">
        <v>3000</v>
      </c>
      <c r="CM346" s="72">
        <v>3000</v>
      </c>
      <c r="CN346" s="72">
        <v>3000</v>
      </c>
      <c r="CO346" s="72">
        <v>3000</v>
      </c>
      <c r="CP346" s="72">
        <v>3000</v>
      </c>
      <c r="CQ346" s="72">
        <v>3000</v>
      </c>
      <c r="CR346" s="72">
        <v>3000</v>
      </c>
      <c r="CS346" s="72">
        <v>3000</v>
      </c>
      <c r="CT346" s="72">
        <v>3000</v>
      </c>
      <c r="CU346" s="72">
        <v>3000</v>
      </c>
      <c r="CV346" s="72">
        <v>3000</v>
      </c>
      <c r="CW346" s="72">
        <v>3000</v>
      </c>
      <c r="CX346" s="72">
        <v>3000</v>
      </c>
      <c r="CY346" s="72">
        <v>3000</v>
      </c>
      <c r="CZ346" s="72">
        <v>3000</v>
      </c>
      <c r="DA346" s="72">
        <v>3000</v>
      </c>
      <c r="DB346" s="72">
        <v>3000</v>
      </c>
      <c r="DC346" s="72">
        <v>3000</v>
      </c>
      <c r="DD346" s="72">
        <f t="shared" ref="DD346:DI346" si="8">3000-107</f>
        <v>2893</v>
      </c>
      <c r="DE346" s="72">
        <f t="shared" si="8"/>
        <v>2893</v>
      </c>
      <c r="DF346" s="72">
        <f t="shared" si="8"/>
        <v>2893</v>
      </c>
      <c r="DG346" s="72">
        <f t="shared" si="8"/>
        <v>2893</v>
      </c>
      <c r="DH346" s="72">
        <f t="shared" si="8"/>
        <v>2893</v>
      </c>
      <c r="DI346" s="72">
        <f t="shared" si="8"/>
        <v>2893</v>
      </c>
      <c r="DJ346" s="72">
        <f t="shared" ref="DJ346:DO346" si="9">3000-107</f>
        <v>2893</v>
      </c>
      <c r="DK346" s="72">
        <f t="shared" si="9"/>
        <v>2893</v>
      </c>
      <c r="DL346" s="72">
        <f t="shared" si="9"/>
        <v>2893</v>
      </c>
      <c r="DM346" s="72">
        <f t="shared" si="9"/>
        <v>2893</v>
      </c>
      <c r="DN346" s="72">
        <f t="shared" si="9"/>
        <v>2893</v>
      </c>
      <c r="DO346" s="72">
        <f t="shared" si="9"/>
        <v>2893</v>
      </c>
      <c r="DP346" s="72">
        <f>3000-107</f>
        <v>2893</v>
      </c>
      <c r="DQ346" s="72"/>
      <c r="DR346" s="72">
        <v>2893</v>
      </c>
      <c r="DS346" s="77"/>
    </row>
    <row r="347" spans="1:123" x14ac:dyDescent="0.35">
      <c r="A347" s="7"/>
      <c r="B347" s="77" t="s">
        <v>1370</v>
      </c>
      <c r="C347" s="9" t="s">
        <v>1372</v>
      </c>
      <c r="D347" s="10" t="s">
        <v>1373</v>
      </c>
      <c r="E347" s="8" t="s">
        <v>1374</v>
      </c>
      <c r="F347" s="10"/>
      <c r="G347" s="10"/>
      <c r="H347" s="10" t="s">
        <v>41</v>
      </c>
      <c r="I347" s="11"/>
      <c r="J347" s="10"/>
      <c r="K347" s="10"/>
      <c r="L347" s="8"/>
      <c r="M347" s="12">
        <v>475</v>
      </c>
      <c r="N347" s="12">
        <f t="shared" si="7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>
        <v>1</v>
      </c>
      <c r="BN347" s="72">
        <v>1</v>
      </c>
      <c r="BO347" s="72">
        <v>1</v>
      </c>
      <c r="BP347" s="72">
        <v>1</v>
      </c>
      <c r="BQ347" s="72">
        <v>1</v>
      </c>
      <c r="BR347" s="72">
        <v>1</v>
      </c>
      <c r="BS347" s="72">
        <v>1</v>
      </c>
      <c r="BT347" s="72">
        <v>1</v>
      </c>
      <c r="BU347" s="72">
        <v>1</v>
      </c>
      <c r="BV347" s="72">
        <v>1</v>
      </c>
      <c r="BW347" s="72">
        <v>1</v>
      </c>
      <c r="BX347" s="72">
        <v>1</v>
      </c>
      <c r="BY347" s="72">
        <v>1</v>
      </c>
      <c r="BZ347" s="72">
        <v>1</v>
      </c>
      <c r="CA347" s="72">
        <v>1</v>
      </c>
      <c r="CB347" s="72">
        <v>1</v>
      </c>
      <c r="CC347" s="72">
        <v>1</v>
      </c>
      <c r="CD347" s="72">
        <v>1</v>
      </c>
      <c r="CE347" s="72">
        <v>1</v>
      </c>
      <c r="CF347" s="72">
        <v>1</v>
      </c>
      <c r="CG347" s="72">
        <v>1</v>
      </c>
      <c r="CH347" s="72">
        <v>1</v>
      </c>
      <c r="CI347" s="72">
        <v>1</v>
      </c>
      <c r="CJ347" s="72">
        <v>1</v>
      </c>
      <c r="CK347" s="72">
        <v>1</v>
      </c>
      <c r="CL347" s="72">
        <v>1</v>
      </c>
      <c r="CM347" s="72">
        <v>1</v>
      </c>
      <c r="CN347" s="72">
        <v>1</v>
      </c>
      <c r="CO347" s="72">
        <v>1</v>
      </c>
      <c r="CP347" s="72">
        <v>1</v>
      </c>
      <c r="CQ347" s="72">
        <v>1</v>
      </c>
      <c r="CR347" s="72">
        <v>1</v>
      </c>
      <c r="CS347" s="72">
        <v>1</v>
      </c>
      <c r="CT347" s="72">
        <v>1</v>
      </c>
      <c r="CU347" s="72">
        <v>1</v>
      </c>
      <c r="CV347" s="72">
        <v>1</v>
      </c>
      <c r="CW347" s="72">
        <v>1</v>
      </c>
      <c r="CX347" s="72">
        <v>1</v>
      </c>
      <c r="CY347" s="72">
        <v>1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  <c r="DQ347" s="72"/>
      <c r="DR347" s="72">
        <v>0</v>
      </c>
      <c r="DS347" s="137"/>
    </row>
    <row r="348" spans="1:123" x14ac:dyDescent="0.35">
      <c r="A348" s="7"/>
      <c r="B348" s="21" t="s">
        <v>592</v>
      </c>
      <c r="C348" s="22" t="s">
        <v>593</v>
      </c>
      <c r="D348" s="23" t="s">
        <v>594</v>
      </c>
      <c r="E348" s="21" t="s">
        <v>1221</v>
      </c>
      <c r="F348" s="23">
        <v>1006</v>
      </c>
      <c r="G348" s="10" t="s">
        <v>40</v>
      </c>
      <c r="H348" s="10" t="s">
        <v>41</v>
      </c>
      <c r="I348" s="11">
        <v>2</v>
      </c>
      <c r="J348" s="23"/>
      <c r="K348" s="10"/>
      <c r="L348" s="8"/>
      <c r="M348" s="12"/>
      <c r="N348" s="12">
        <f t="shared" si="7"/>
        <v>0</v>
      </c>
      <c r="O348" s="11">
        <v>2</v>
      </c>
      <c r="P348" s="11">
        <v>2</v>
      </c>
      <c r="Q348" s="11">
        <v>2</v>
      </c>
      <c r="R348" s="11">
        <v>2</v>
      </c>
      <c r="S348" s="11">
        <v>2</v>
      </c>
      <c r="T348" s="11">
        <v>2</v>
      </c>
      <c r="U348" s="11">
        <v>2</v>
      </c>
      <c r="V348" s="11">
        <v>2</v>
      </c>
      <c r="W348" s="11">
        <v>2</v>
      </c>
      <c r="X348" s="11">
        <v>2</v>
      </c>
      <c r="Y348" s="11">
        <v>2</v>
      </c>
      <c r="Z348" s="11">
        <v>2</v>
      </c>
      <c r="AA348" s="11">
        <v>2</v>
      </c>
      <c r="AB348" s="11">
        <v>2</v>
      </c>
      <c r="AC348" s="11">
        <v>2</v>
      </c>
      <c r="AD348" s="11">
        <v>2</v>
      </c>
      <c r="AE348" s="11">
        <v>2</v>
      </c>
      <c r="AF348" s="11">
        <v>2</v>
      </c>
      <c r="AG348" s="11">
        <v>2</v>
      </c>
      <c r="AH348" s="11">
        <v>2</v>
      </c>
      <c r="AI348" s="11">
        <v>2</v>
      </c>
      <c r="AJ348" s="11">
        <v>2</v>
      </c>
      <c r="AK348" s="11">
        <v>2</v>
      </c>
      <c r="AL348" s="11">
        <v>2</v>
      </c>
      <c r="AM348" s="11">
        <v>2</v>
      </c>
      <c r="AN348" s="72">
        <v>2</v>
      </c>
      <c r="AO348" s="72">
        <v>2</v>
      </c>
      <c r="AP348" s="72">
        <v>2</v>
      </c>
      <c r="AQ348" s="72">
        <v>2</v>
      </c>
      <c r="AR348" s="72">
        <v>2</v>
      </c>
      <c r="AS348" s="72">
        <v>2</v>
      </c>
      <c r="AT348" s="72">
        <v>2</v>
      </c>
      <c r="AU348" s="72">
        <v>2</v>
      </c>
      <c r="AV348" s="72">
        <v>2</v>
      </c>
      <c r="AW348" s="72">
        <v>2</v>
      </c>
      <c r="AX348" s="72">
        <v>2</v>
      </c>
      <c r="AY348" s="72">
        <v>2</v>
      </c>
      <c r="AZ348" s="72">
        <v>2</v>
      </c>
      <c r="BA348" s="72">
        <v>2</v>
      </c>
      <c r="BB348" s="72">
        <v>2</v>
      </c>
      <c r="BC348" s="72">
        <v>2</v>
      </c>
      <c r="BD348" s="72">
        <v>2</v>
      </c>
      <c r="BE348" s="72">
        <v>2</v>
      </c>
      <c r="BF348" s="72">
        <v>2</v>
      </c>
      <c r="BG348" s="72">
        <v>2</v>
      </c>
      <c r="BH348" s="72">
        <v>2</v>
      </c>
      <c r="BI348" s="72">
        <v>2</v>
      </c>
      <c r="BJ348" s="72">
        <v>2</v>
      </c>
      <c r="BK348" s="72">
        <v>2</v>
      </c>
      <c r="BL348" s="72">
        <v>2</v>
      </c>
      <c r="BM348" s="72">
        <v>2</v>
      </c>
      <c r="BN348" s="72">
        <v>2</v>
      </c>
      <c r="BO348" s="72">
        <v>2</v>
      </c>
      <c r="BP348" s="72">
        <v>2</v>
      </c>
      <c r="BQ348" s="72">
        <v>2</v>
      </c>
      <c r="BR348" s="72">
        <v>2</v>
      </c>
      <c r="BS348" s="72">
        <v>2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  <c r="DM348" s="72">
        <v>2</v>
      </c>
      <c r="DN348" s="72">
        <v>2</v>
      </c>
      <c r="DO348" s="72">
        <v>2</v>
      </c>
      <c r="DP348" s="72">
        <v>2</v>
      </c>
      <c r="DQ348" s="72"/>
      <c r="DR348" s="72">
        <v>2</v>
      </c>
      <c r="DS348" s="77"/>
    </row>
    <row r="349" spans="1:123" x14ac:dyDescent="0.35">
      <c r="A349" s="7"/>
      <c r="B349" s="8" t="s">
        <v>595</v>
      </c>
      <c r="C349" s="78" t="s">
        <v>1354</v>
      </c>
      <c r="D349" s="10" t="s">
        <v>594</v>
      </c>
      <c r="E349" s="21" t="s">
        <v>1221</v>
      </c>
      <c r="F349" s="10">
        <v>1006</v>
      </c>
      <c r="G349" s="10" t="s">
        <v>40</v>
      </c>
      <c r="H349" s="10" t="s">
        <v>41</v>
      </c>
      <c r="I349" s="11">
        <v>20</v>
      </c>
      <c r="J349" s="10"/>
      <c r="K349" s="10" t="s">
        <v>42</v>
      </c>
      <c r="L349" s="8"/>
      <c r="M349" s="12">
        <v>25.89</v>
      </c>
      <c r="N349" s="12">
        <f t="shared" si="7"/>
        <v>517.79999999999995</v>
      </c>
      <c r="O349" s="11">
        <v>20</v>
      </c>
      <c r="P349" s="11">
        <v>20</v>
      </c>
      <c r="Q349" s="11">
        <v>20</v>
      </c>
      <c r="R349" s="11">
        <v>20</v>
      </c>
      <c r="S349" s="11">
        <v>20</v>
      </c>
      <c r="T349" s="11">
        <v>20</v>
      </c>
      <c r="U349" s="11">
        <v>20</v>
      </c>
      <c r="V349" s="11">
        <v>20</v>
      </c>
      <c r="W349" s="11">
        <v>20</v>
      </c>
      <c r="X349" s="11">
        <v>20</v>
      </c>
      <c r="Y349" s="11">
        <v>20</v>
      </c>
      <c r="Z349" s="11">
        <v>20</v>
      </c>
      <c r="AA349" s="11">
        <v>20</v>
      </c>
      <c r="AB349" s="11">
        <v>20</v>
      </c>
      <c r="AC349" s="11">
        <v>20</v>
      </c>
      <c r="AD349" s="11">
        <v>20</v>
      </c>
      <c r="AE349" s="11">
        <v>20</v>
      </c>
      <c r="AF349" s="11">
        <v>20</v>
      </c>
      <c r="AG349" s="11">
        <v>20</v>
      </c>
      <c r="AH349" s="11">
        <v>20</v>
      </c>
      <c r="AI349" s="11">
        <v>20</v>
      </c>
      <c r="AJ349" s="11">
        <v>20</v>
      </c>
      <c r="AK349" s="11">
        <v>20</v>
      </c>
      <c r="AL349" s="11">
        <v>20</v>
      </c>
      <c r="AM349" s="11">
        <v>20</v>
      </c>
      <c r="AN349" s="72">
        <v>20</v>
      </c>
      <c r="AO349" s="72">
        <v>20</v>
      </c>
      <c r="AP349" s="72">
        <v>20</v>
      </c>
      <c r="AQ349" s="72">
        <v>20</v>
      </c>
      <c r="AR349" s="72">
        <v>20</v>
      </c>
      <c r="AS349" s="72">
        <v>20</v>
      </c>
      <c r="AT349" s="72">
        <v>20</v>
      </c>
      <c r="AU349" s="72">
        <v>20</v>
      </c>
      <c r="AV349" s="72">
        <v>20</v>
      </c>
      <c r="AW349" s="72">
        <v>20</v>
      </c>
      <c r="AX349" s="72">
        <v>20</v>
      </c>
      <c r="AY349" s="72">
        <v>20</v>
      </c>
      <c r="AZ349" s="72">
        <v>20</v>
      </c>
      <c r="BA349" s="72">
        <v>20</v>
      </c>
      <c r="BB349" s="72">
        <v>20</v>
      </c>
      <c r="BC349" s="72">
        <v>20</v>
      </c>
      <c r="BD349" s="72">
        <v>20</v>
      </c>
      <c r="BE349" s="72">
        <v>20</v>
      </c>
      <c r="BF349" s="72">
        <v>20</v>
      </c>
      <c r="BG349" s="72">
        <v>20</v>
      </c>
      <c r="BH349" s="72">
        <v>20</v>
      </c>
      <c r="BI349" s="72">
        <v>20</v>
      </c>
      <c r="BJ349" s="72">
        <v>20</v>
      </c>
      <c r="BK349" s="72">
        <v>20</v>
      </c>
      <c r="BL349" s="72">
        <v>20</v>
      </c>
      <c r="BM349" s="72">
        <v>20</v>
      </c>
      <c r="BN349" s="72">
        <v>20</v>
      </c>
      <c r="BO349" s="72">
        <v>20</v>
      </c>
      <c r="BP349" s="72">
        <v>20</v>
      </c>
      <c r="BQ349" s="72">
        <v>20</v>
      </c>
      <c r="BR349" s="72">
        <v>20</v>
      </c>
      <c r="BS349" s="72">
        <v>20</v>
      </c>
      <c r="BT349" s="72">
        <v>20</v>
      </c>
      <c r="BU349" s="72">
        <v>20</v>
      </c>
      <c r="BV349" s="72">
        <v>20</v>
      </c>
      <c r="BW349" s="72">
        <v>20</v>
      </c>
      <c r="BX349" s="72">
        <v>20</v>
      </c>
      <c r="BY349" s="72">
        <v>20</v>
      </c>
      <c r="BZ349" s="72">
        <v>20</v>
      </c>
      <c r="CA349" s="72">
        <v>20</v>
      </c>
      <c r="CB349" s="72">
        <v>20</v>
      </c>
      <c r="CC349" s="72">
        <v>20</v>
      </c>
      <c r="CD349" s="72">
        <v>20</v>
      </c>
      <c r="CE349" s="72">
        <v>20</v>
      </c>
      <c r="CF349" s="72">
        <v>20</v>
      </c>
      <c r="CG349" s="72">
        <v>20</v>
      </c>
      <c r="CH349" s="72">
        <v>20</v>
      </c>
      <c r="CI349" s="72">
        <v>20</v>
      </c>
      <c r="CJ349" s="72">
        <v>20</v>
      </c>
      <c r="CK349" s="72">
        <v>20</v>
      </c>
      <c r="CL349" s="72">
        <v>20</v>
      </c>
      <c r="CM349" s="72">
        <v>20</v>
      </c>
      <c r="CN349" s="72">
        <v>20</v>
      </c>
      <c r="CO349" s="72">
        <v>20</v>
      </c>
      <c r="CP349" s="72">
        <v>20</v>
      </c>
      <c r="CQ349" s="72">
        <v>20</v>
      </c>
      <c r="CR349" s="72">
        <v>20</v>
      </c>
      <c r="CS349" s="72">
        <v>20</v>
      </c>
      <c r="CT349" s="72">
        <v>20</v>
      </c>
      <c r="CU349" s="72">
        <v>20</v>
      </c>
      <c r="CV349" s="72">
        <v>20</v>
      </c>
      <c r="CW349" s="72">
        <v>20</v>
      </c>
      <c r="CX349" s="72">
        <v>20</v>
      </c>
      <c r="CY349" s="72">
        <v>20</v>
      </c>
      <c r="CZ349" s="72">
        <v>20</v>
      </c>
      <c r="DA349" s="72">
        <v>20</v>
      </c>
      <c r="DB349" s="72">
        <v>20</v>
      </c>
      <c r="DC349" s="72">
        <v>20</v>
      </c>
      <c r="DD349" s="72">
        <v>20</v>
      </c>
      <c r="DE349" s="72">
        <v>20</v>
      </c>
      <c r="DF349" s="72">
        <v>20</v>
      </c>
      <c r="DG349" s="72">
        <v>20</v>
      </c>
      <c r="DH349" s="72">
        <v>20</v>
      </c>
      <c r="DI349" s="72">
        <v>20</v>
      </c>
      <c r="DJ349" s="72">
        <v>20</v>
      </c>
      <c r="DK349" s="72">
        <v>20</v>
      </c>
      <c r="DL349" s="72">
        <v>20</v>
      </c>
      <c r="DM349" s="72">
        <v>20</v>
      </c>
      <c r="DN349" s="72">
        <v>20</v>
      </c>
      <c r="DO349" s="72">
        <v>20</v>
      </c>
      <c r="DP349" s="72">
        <v>20</v>
      </c>
      <c r="DQ349" s="72"/>
      <c r="DR349" s="72">
        <v>20</v>
      </c>
      <c r="DS349" s="137"/>
    </row>
    <row r="350" spans="1:123" x14ac:dyDescent="0.35">
      <c r="A350" s="7"/>
      <c r="B350" s="8" t="s">
        <v>596</v>
      </c>
      <c r="C350" s="78" t="s">
        <v>1355</v>
      </c>
      <c r="D350" s="10" t="s">
        <v>594</v>
      </c>
      <c r="E350" s="21" t="s">
        <v>1221</v>
      </c>
      <c r="F350" s="10">
        <v>1006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>
        <v>39.15</v>
      </c>
      <c r="N350" s="12">
        <f t="shared" si="7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>
        <v>1</v>
      </c>
      <c r="U350" s="11">
        <v>1</v>
      </c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>
        <v>1</v>
      </c>
      <c r="AB350" s="11">
        <v>1</v>
      </c>
      <c r="AC350" s="11">
        <v>1</v>
      </c>
      <c r="AD350" s="11">
        <v>1</v>
      </c>
      <c r="AE350" s="11">
        <v>1</v>
      </c>
      <c r="AF350" s="11">
        <v>1</v>
      </c>
      <c r="AG350" s="11">
        <v>1</v>
      </c>
      <c r="AH350" s="11">
        <v>1</v>
      </c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1</v>
      </c>
      <c r="AV350" s="72">
        <v>1</v>
      </c>
      <c r="AW350" s="72">
        <v>1</v>
      </c>
      <c r="AX350" s="72">
        <v>1</v>
      </c>
      <c r="AY350" s="72">
        <v>1</v>
      </c>
      <c r="AZ350" s="72">
        <v>1</v>
      </c>
      <c r="BA350" s="72">
        <v>1</v>
      </c>
      <c r="BB350" s="72">
        <v>1</v>
      </c>
      <c r="BC350" s="72">
        <v>1</v>
      </c>
      <c r="BD350" s="72">
        <v>1</v>
      </c>
      <c r="BE350" s="72">
        <v>1</v>
      </c>
      <c r="BF350" s="72">
        <v>1</v>
      </c>
      <c r="BG350" s="72">
        <v>1</v>
      </c>
      <c r="BH350" s="72">
        <v>1</v>
      </c>
      <c r="BI350" s="72">
        <v>1</v>
      </c>
      <c r="BJ350" s="72">
        <v>1</v>
      </c>
      <c r="BK350" s="72">
        <v>1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  <c r="DQ350" s="72"/>
      <c r="DR350" s="72">
        <v>0</v>
      </c>
      <c r="DS350" s="77"/>
    </row>
    <row r="351" spans="1:123" x14ac:dyDescent="0.35">
      <c r="A351" s="7"/>
      <c r="B351" s="77" t="s">
        <v>1266</v>
      </c>
      <c r="C351" s="78" t="s">
        <v>1356</v>
      </c>
      <c r="D351" s="10" t="s">
        <v>594</v>
      </c>
      <c r="E351" s="21" t="s">
        <v>1221</v>
      </c>
      <c r="F351" s="10"/>
      <c r="G351" s="10"/>
      <c r="H351" s="10" t="s">
        <v>41</v>
      </c>
      <c r="I351" s="11"/>
      <c r="J351" s="10"/>
      <c r="K351" s="10"/>
      <c r="L351" s="8"/>
      <c r="M351" s="12">
        <v>80.739999999999995</v>
      </c>
      <c r="N351" s="12">
        <f t="shared" si="7"/>
        <v>161.47999999999999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</v>
      </c>
      <c r="AX351" s="72">
        <v>2</v>
      </c>
      <c r="AY351" s="72">
        <v>2</v>
      </c>
      <c r="AZ351" s="72">
        <v>2</v>
      </c>
      <c r="BA351" s="72">
        <v>2</v>
      </c>
      <c r="BB351" s="72">
        <v>2</v>
      </c>
      <c r="BC351" s="72">
        <v>2</v>
      </c>
      <c r="BD351" s="72">
        <v>2</v>
      </c>
      <c r="BE351" s="72">
        <v>2</v>
      </c>
      <c r="BF351" s="72">
        <v>2</v>
      </c>
      <c r="BG351" s="72">
        <v>2</v>
      </c>
      <c r="BH351" s="72">
        <v>2</v>
      </c>
      <c r="BI351" s="72">
        <v>2</v>
      </c>
      <c r="BJ351" s="72">
        <v>2</v>
      </c>
      <c r="BK351" s="72">
        <v>2</v>
      </c>
      <c r="BL351" s="72">
        <v>2</v>
      </c>
      <c r="BM351" s="72">
        <v>2</v>
      </c>
      <c r="BN351" s="72">
        <v>2</v>
      </c>
      <c r="BO351" s="72">
        <v>2</v>
      </c>
      <c r="BP351" s="72">
        <v>2</v>
      </c>
      <c r="BQ351" s="72">
        <v>2</v>
      </c>
      <c r="BR351" s="72">
        <v>2</v>
      </c>
      <c r="BS351" s="72">
        <v>2</v>
      </c>
      <c r="BT351" s="72">
        <v>2</v>
      </c>
      <c r="BU351" s="72">
        <v>2</v>
      </c>
      <c r="BV351" s="72">
        <v>2</v>
      </c>
      <c r="BW351" s="72">
        <v>2</v>
      </c>
      <c r="BX351" s="72">
        <v>2</v>
      </c>
      <c r="BY351" s="72">
        <v>2</v>
      </c>
      <c r="BZ351" s="72">
        <v>2</v>
      </c>
      <c r="CA351" s="72">
        <v>2</v>
      </c>
      <c r="CB351" s="72">
        <v>2</v>
      </c>
      <c r="CC351" s="72">
        <v>2</v>
      </c>
      <c r="CD351" s="72">
        <v>2</v>
      </c>
      <c r="CE351" s="72">
        <v>2</v>
      </c>
      <c r="CF351" s="72">
        <v>2</v>
      </c>
      <c r="CG351" s="72">
        <v>2</v>
      </c>
      <c r="CH351" s="72">
        <v>2</v>
      </c>
      <c r="CI351" s="72">
        <v>2</v>
      </c>
      <c r="CJ351" s="72">
        <v>2</v>
      </c>
      <c r="CK351" s="72">
        <v>2</v>
      </c>
      <c r="CL351" s="72">
        <v>2</v>
      </c>
      <c r="CM351" s="72">
        <v>2</v>
      </c>
      <c r="CN351" s="72">
        <v>2</v>
      </c>
      <c r="CO351" s="72">
        <v>2</v>
      </c>
      <c r="CP351" s="72">
        <v>2</v>
      </c>
      <c r="CQ351" s="72">
        <v>2</v>
      </c>
      <c r="CR351" s="72">
        <v>2</v>
      </c>
      <c r="CS351" s="72">
        <v>2</v>
      </c>
      <c r="CT351" s="72">
        <v>2</v>
      </c>
      <c r="CU351" s="72">
        <v>2</v>
      </c>
      <c r="CV351" s="72">
        <v>2</v>
      </c>
      <c r="CW351" s="72">
        <v>2</v>
      </c>
      <c r="CX351" s="72">
        <v>2</v>
      </c>
      <c r="CY351" s="72">
        <v>2</v>
      </c>
      <c r="CZ351" s="72">
        <v>2</v>
      </c>
      <c r="DA351" s="72">
        <v>2</v>
      </c>
      <c r="DB351" s="72">
        <v>2</v>
      </c>
      <c r="DC351" s="72">
        <v>2</v>
      </c>
      <c r="DD351" s="72">
        <v>2</v>
      </c>
      <c r="DE351" s="72">
        <v>2</v>
      </c>
      <c r="DF351" s="72">
        <v>2</v>
      </c>
      <c r="DG351" s="72">
        <v>2</v>
      </c>
      <c r="DH351" s="72">
        <v>2</v>
      </c>
      <c r="DI351" s="72">
        <v>2</v>
      </c>
      <c r="DJ351" s="72">
        <v>2</v>
      </c>
      <c r="DK351" s="72">
        <v>2</v>
      </c>
      <c r="DL351" s="72">
        <v>2</v>
      </c>
      <c r="DM351" s="72">
        <v>2</v>
      </c>
      <c r="DN351" s="72">
        <v>2</v>
      </c>
      <c r="DO351" s="72">
        <v>2</v>
      </c>
      <c r="DP351" s="72">
        <v>2</v>
      </c>
      <c r="DQ351" s="72"/>
      <c r="DR351" s="72">
        <v>2</v>
      </c>
      <c r="DS351" s="77"/>
    </row>
    <row r="352" spans="1:123" x14ac:dyDescent="0.35">
      <c r="A352" s="7"/>
      <c r="B352" s="77" t="s">
        <v>1350</v>
      </c>
      <c r="C352" s="78" t="s">
        <v>1357</v>
      </c>
      <c r="D352" s="10" t="s">
        <v>594</v>
      </c>
      <c r="E352" s="21" t="s">
        <v>1221</v>
      </c>
      <c r="F352" s="10"/>
      <c r="G352" s="10"/>
      <c r="H352" s="10" t="s">
        <v>41</v>
      </c>
      <c r="I352" s="11"/>
      <c r="J352" s="10"/>
      <c r="K352" s="10"/>
      <c r="L352" s="8"/>
      <c r="M352" s="12"/>
      <c r="N352" s="12">
        <f t="shared" si="7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  <c r="DO352" s="72">
        <v>2</v>
      </c>
      <c r="DP352" s="72">
        <v>2</v>
      </c>
      <c r="DQ352" s="72"/>
      <c r="DR352" s="72">
        <v>2</v>
      </c>
      <c r="DS352" s="77"/>
    </row>
    <row r="353" spans="1:123" x14ac:dyDescent="0.35">
      <c r="A353" s="7"/>
      <c r="B353" s="21" t="s">
        <v>597</v>
      </c>
      <c r="C353" s="22" t="s">
        <v>598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4</v>
      </c>
      <c r="J353" s="23"/>
      <c r="K353" s="10"/>
      <c r="L353" s="8"/>
      <c r="M353" s="12">
        <v>205</v>
      </c>
      <c r="N353" s="12">
        <f t="shared" si="7"/>
        <v>1230</v>
      </c>
      <c r="O353" s="11">
        <v>6</v>
      </c>
      <c r="P353" s="11">
        <v>6</v>
      </c>
      <c r="Q353" s="11">
        <v>6</v>
      </c>
      <c r="R353" s="11">
        <v>6</v>
      </c>
      <c r="S353" s="11">
        <v>6</v>
      </c>
      <c r="T353" s="11">
        <v>6</v>
      </c>
      <c r="U353" s="11">
        <v>6</v>
      </c>
      <c r="V353" s="11">
        <v>6</v>
      </c>
      <c r="W353" s="11">
        <v>6</v>
      </c>
      <c r="X353" s="11">
        <v>6</v>
      </c>
      <c r="Y353" s="11">
        <v>6</v>
      </c>
      <c r="Z353" s="11">
        <v>6</v>
      </c>
      <c r="AA353" s="11">
        <v>6</v>
      </c>
      <c r="AB353" s="11">
        <v>6</v>
      </c>
      <c r="AC353" s="11">
        <v>6</v>
      </c>
      <c r="AD353" s="11">
        <v>6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6</v>
      </c>
      <c r="BK353" s="72">
        <v>6</v>
      </c>
      <c r="BL353" s="72">
        <v>6</v>
      </c>
      <c r="BM353" s="72">
        <v>6</v>
      </c>
      <c r="BN353" s="72">
        <v>6</v>
      </c>
      <c r="BO353" s="72">
        <v>6</v>
      </c>
      <c r="BP353" s="72">
        <v>6</v>
      </c>
      <c r="BQ353" s="72">
        <v>6</v>
      </c>
      <c r="BR353" s="72">
        <v>6</v>
      </c>
      <c r="BS353" s="72">
        <v>6</v>
      </c>
      <c r="BT353" s="72">
        <v>6</v>
      </c>
      <c r="BU353" s="72">
        <v>6</v>
      </c>
      <c r="BV353" s="72">
        <v>6</v>
      </c>
      <c r="BW353" s="72">
        <v>6</v>
      </c>
      <c r="BX353" s="72">
        <v>6</v>
      </c>
      <c r="BY353" s="72">
        <v>6</v>
      </c>
      <c r="BZ353" s="72">
        <v>6</v>
      </c>
      <c r="CA353" s="72">
        <v>6</v>
      </c>
      <c r="CB353" s="72">
        <v>6</v>
      </c>
      <c r="CC353" s="72">
        <v>6</v>
      </c>
      <c r="CD353" s="72">
        <v>6</v>
      </c>
      <c r="CE353" s="72">
        <v>6</v>
      </c>
      <c r="CF353" s="72">
        <v>6</v>
      </c>
      <c r="CG353" s="72">
        <v>6</v>
      </c>
      <c r="CH353" s="72">
        <v>6</v>
      </c>
      <c r="CI353" s="72">
        <v>6</v>
      </c>
      <c r="CJ353" s="72">
        <v>6</v>
      </c>
      <c r="CK353" s="72">
        <v>6</v>
      </c>
      <c r="CL353" s="72">
        <v>6</v>
      </c>
      <c r="CM353" s="72">
        <v>6</v>
      </c>
      <c r="CN353" s="72">
        <v>6</v>
      </c>
      <c r="CO353" s="72">
        <v>6</v>
      </c>
      <c r="CP353" s="72">
        <v>6</v>
      </c>
      <c r="CQ353" s="72">
        <v>6</v>
      </c>
      <c r="CR353" s="72">
        <v>6</v>
      </c>
      <c r="CS353" s="72">
        <v>6</v>
      </c>
      <c r="CT353" s="72">
        <v>6</v>
      </c>
      <c r="CU353" s="72">
        <v>6</v>
      </c>
      <c r="CV353" s="72">
        <v>6</v>
      </c>
      <c r="CW353" s="72">
        <v>6</v>
      </c>
      <c r="CX353" s="72">
        <v>6</v>
      </c>
      <c r="CY353" s="72">
        <v>6</v>
      </c>
      <c r="CZ353" s="72">
        <v>6</v>
      </c>
      <c r="DA353" s="72">
        <v>6</v>
      </c>
      <c r="DB353" s="72">
        <v>6</v>
      </c>
      <c r="DC353" s="72">
        <v>6</v>
      </c>
      <c r="DD353" s="72">
        <v>6</v>
      </c>
      <c r="DE353" s="72">
        <v>6</v>
      </c>
      <c r="DF353" s="72">
        <v>6</v>
      </c>
      <c r="DG353" s="72">
        <v>6</v>
      </c>
      <c r="DH353" s="72">
        <v>6</v>
      </c>
      <c r="DI353" s="72">
        <v>6</v>
      </c>
      <c r="DJ353" s="72">
        <v>6</v>
      </c>
      <c r="DK353" s="72">
        <v>6</v>
      </c>
      <c r="DL353" s="72">
        <v>6</v>
      </c>
      <c r="DM353" s="72">
        <v>6</v>
      </c>
      <c r="DN353" s="72">
        <v>6</v>
      </c>
      <c r="DO353" s="72">
        <v>6</v>
      </c>
      <c r="DP353" s="72">
        <v>6</v>
      </c>
      <c r="DQ353" s="72"/>
      <c r="DR353" s="72">
        <v>6</v>
      </c>
      <c r="DS353" s="137"/>
    </row>
    <row r="354" spans="1:123" x14ac:dyDescent="0.35">
      <c r="A354" s="7"/>
      <c r="B354" s="21" t="s">
        <v>599</v>
      </c>
      <c r="C354" s="95" t="s">
        <v>1347</v>
      </c>
      <c r="D354" s="10" t="s">
        <v>594</v>
      </c>
      <c r="E354" s="8" t="s">
        <v>1205</v>
      </c>
      <c r="F354" s="23">
        <v>1006</v>
      </c>
      <c r="G354" s="10" t="s">
        <v>40</v>
      </c>
      <c r="H354" s="10" t="s">
        <v>41</v>
      </c>
      <c r="I354" s="11">
        <v>6</v>
      </c>
      <c r="J354" s="23"/>
      <c r="K354" s="10"/>
      <c r="L354" s="8"/>
      <c r="M354" s="12"/>
      <c r="N354" s="12">
        <f t="shared" si="7"/>
        <v>0</v>
      </c>
      <c r="O354" s="11">
        <v>6</v>
      </c>
      <c r="P354" s="11">
        <v>6</v>
      </c>
      <c r="Q354" s="11">
        <v>6</v>
      </c>
      <c r="R354" s="11">
        <v>6</v>
      </c>
      <c r="S354" s="11">
        <v>6</v>
      </c>
      <c r="T354" s="11">
        <v>6</v>
      </c>
      <c r="U354" s="11">
        <v>6</v>
      </c>
      <c r="V354" s="11">
        <v>6</v>
      </c>
      <c r="W354" s="11">
        <v>6</v>
      </c>
      <c r="X354" s="11">
        <v>6</v>
      </c>
      <c r="Y354" s="11">
        <v>6</v>
      </c>
      <c r="Z354" s="11">
        <v>6</v>
      </c>
      <c r="AA354" s="11">
        <v>6</v>
      </c>
      <c r="AB354" s="11">
        <v>6</v>
      </c>
      <c r="AC354" s="11">
        <v>6</v>
      </c>
      <c r="AD354" s="11">
        <v>6</v>
      </c>
      <c r="AE354" s="11">
        <v>6</v>
      </c>
      <c r="AF354" s="11">
        <v>6</v>
      </c>
      <c r="AG354" s="11">
        <v>6</v>
      </c>
      <c r="AH354" s="11">
        <v>6</v>
      </c>
      <c r="AI354" s="11">
        <v>6</v>
      </c>
      <c r="AJ354" s="11">
        <v>6</v>
      </c>
      <c r="AK354" s="11">
        <v>6</v>
      </c>
      <c r="AL354" s="11">
        <v>6</v>
      </c>
      <c r="AM354" s="11">
        <v>6</v>
      </c>
      <c r="AN354" s="72">
        <v>6</v>
      </c>
      <c r="AO354" s="72">
        <v>6</v>
      </c>
      <c r="AP354" s="72">
        <v>6</v>
      </c>
      <c r="AQ354" s="72">
        <v>6</v>
      </c>
      <c r="AR354" s="72">
        <v>6</v>
      </c>
      <c r="AS354" s="72">
        <v>6</v>
      </c>
      <c r="AT354" s="72">
        <v>6</v>
      </c>
      <c r="AU354" s="72">
        <v>6</v>
      </c>
      <c r="AV354" s="72">
        <v>6</v>
      </c>
      <c r="AW354" s="72">
        <v>6</v>
      </c>
      <c r="AX354" s="72">
        <v>6</v>
      </c>
      <c r="AY354" s="72">
        <v>6</v>
      </c>
      <c r="AZ354" s="72">
        <v>6</v>
      </c>
      <c r="BA354" s="72">
        <v>6</v>
      </c>
      <c r="BB354" s="72">
        <v>6</v>
      </c>
      <c r="BC354" s="72">
        <v>6</v>
      </c>
      <c r="BD354" s="72">
        <v>6</v>
      </c>
      <c r="BE354" s="72">
        <v>6</v>
      </c>
      <c r="BF354" s="72">
        <v>6</v>
      </c>
      <c r="BG354" s="72">
        <v>6</v>
      </c>
      <c r="BH354" s="72">
        <v>6</v>
      </c>
      <c r="BI354" s="72">
        <v>6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2</v>
      </c>
      <c r="CM354" s="72">
        <v>2</v>
      </c>
      <c r="CN354" s="72">
        <v>2</v>
      </c>
      <c r="CO354" s="72">
        <v>2</v>
      </c>
      <c r="CP354" s="72">
        <v>2</v>
      </c>
      <c r="CQ354" s="72">
        <v>2</v>
      </c>
      <c r="CR354" s="72">
        <v>2</v>
      </c>
      <c r="CS354" s="72">
        <v>2</v>
      </c>
      <c r="CT354" s="72">
        <v>2</v>
      </c>
      <c r="CU354" s="72">
        <v>2</v>
      </c>
      <c r="CV354" s="72">
        <v>2</v>
      </c>
      <c r="CW354" s="72">
        <v>2</v>
      </c>
      <c r="CX354" s="72">
        <v>2</v>
      </c>
      <c r="CY354" s="72">
        <v>2</v>
      </c>
      <c r="CZ354" s="72">
        <v>2</v>
      </c>
      <c r="DA354" s="72">
        <v>2</v>
      </c>
      <c r="DB354" s="72">
        <v>2</v>
      </c>
      <c r="DC354" s="72">
        <v>2</v>
      </c>
      <c r="DD354" s="72">
        <v>2</v>
      </c>
      <c r="DE354" s="72">
        <v>2</v>
      </c>
      <c r="DF354" s="72">
        <v>2</v>
      </c>
      <c r="DG354" s="72">
        <v>2</v>
      </c>
      <c r="DH354" s="72">
        <v>2</v>
      </c>
      <c r="DI354" s="72">
        <v>2</v>
      </c>
      <c r="DJ354" s="72">
        <v>2</v>
      </c>
      <c r="DK354" s="72">
        <v>2</v>
      </c>
      <c r="DL354" s="72">
        <v>2</v>
      </c>
      <c r="DM354" s="72">
        <v>2</v>
      </c>
      <c r="DN354" s="72">
        <v>2</v>
      </c>
      <c r="DO354" s="72">
        <v>2</v>
      </c>
      <c r="DP354" s="72">
        <v>2</v>
      </c>
      <c r="DQ354" s="72"/>
      <c r="DR354" s="72">
        <v>2</v>
      </c>
      <c r="DS354" s="77"/>
    </row>
    <row r="355" spans="1:123" x14ac:dyDescent="0.35">
      <c r="A355" s="7"/>
      <c r="B355" s="21" t="s">
        <v>600</v>
      </c>
      <c r="C355" s="22" t="s">
        <v>601</v>
      </c>
      <c r="D355" s="10" t="s">
        <v>594</v>
      </c>
      <c r="E355" s="8" t="s">
        <v>1205</v>
      </c>
      <c r="F355" s="23">
        <v>1006</v>
      </c>
      <c r="G355" s="10" t="s">
        <v>40</v>
      </c>
      <c r="H355" s="10" t="s">
        <v>41</v>
      </c>
      <c r="I355" s="11">
        <v>1</v>
      </c>
      <c r="J355" s="23"/>
      <c r="K355" s="10" t="s">
        <v>53</v>
      </c>
      <c r="L355" s="8" t="s">
        <v>602</v>
      </c>
      <c r="M355" s="12">
        <v>205</v>
      </c>
      <c r="N355" s="12">
        <f t="shared" si="7"/>
        <v>0</v>
      </c>
      <c r="O355" s="11"/>
      <c r="P355" s="11"/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5</v>
      </c>
      <c r="AF355" s="11">
        <v>5</v>
      </c>
      <c r="AG355" s="11">
        <v>5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2</v>
      </c>
      <c r="AP355" s="72">
        <v>2</v>
      </c>
      <c r="AQ355" s="72">
        <v>2</v>
      </c>
      <c r="AR355" s="72">
        <v>2</v>
      </c>
      <c r="AS355" s="72">
        <v>2</v>
      </c>
      <c r="AT355" s="72">
        <v>2</v>
      </c>
      <c r="AU355" s="72">
        <v>2</v>
      </c>
      <c r="AV355" s="72">
        <v>2</v>
      </c>
      <c r="AW355" s="72">
        <v>2</v>
      </c>
      <c r="AX355" s="72">
        <v>2</v>
      </c>
      <c r="AY355" s="72">
        <v>2</v>
      </c>
      <c r="AZ355" s="72">
        <v>2</v>
      </c>
      <c r="BA355" s="72">
        <v>2</v>
      </c>
      <c r="BB355" s="72">
        <v>2</v>
      </c>
      <c r="BC355" s="72">
        <v>2</v>
      </c>
      <c r="BD355" s="72">
        <v>2</v>
      </c>
      <c r="BE355" s="72">
        <v>2</v>
      </c>
      <c r="BF355" s="72">
        <v>2</v>
      </c>
      <c r="BG355" s="72">
        <v>2</v>
      </c>
      <c r="BH355" s="72">
        <v>2</v>
      </c>
      <c r="BI355" s="72">
        <v>2</v>
      </c>
      <c r="BJ355" s="72">
        <v>2</v>
      </c>
      <c r="BK355" s="72">
        <v>2</v>
      </c>
      <c r="BL355" s="72">
        <v>2</v>
      </c>
      <c r="BM355" s="72">
        <v>2</v>
      </c>
      <c r="BN355" s="72">
        <v>2</v>
      </c>
      <c r="BO355" s="72">
        <v>2</v>
      </c>
      <c r="BP355" s="72">
        <v>2</v>
      </c>
      <c r="BQ355" s="72">
        <v>2</v>
      </c>
      <c r="BR355" s="72">
        <v>2</v>
      </c>
      <c r="BS355" s="72">
        <v>2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  <c r="DQ355" s="72"/>
      <c r="DR355" s="72">
        <v>0</v>
      </c>
      <c r="DS355" s="137"/>
    </row>
    <row r="356" spans="1:123" x14ac:dyDescent="0.35">
      <c r="A356" s="7"/>
      <c r="B356" s="79" t="s">
        <v>1169</v>
      </c>
      <c r="C356" s="22" t="s">
        <v>1178</v>
      </c>
      <c r="D356" s="10" t="s">
        <v>594</v>
      </c>
      <c r="E356" s="8" t="s">
        <v>1205</v>
      </c>
      <c r="F356" s="23"/>
      <c r="G356" s="10" t="s">
        <v>40</v>
      </c>
      <c r="H356" s="10" t="s">
        <v>41</v>
      </c>
      <c r="I356" s="11"/>
      <c r="J356" s="23"/>
      <c r="K356" s="10"/>
      <c r="L356" s="8"/>
      <c r="M356" s="12"/>
      <c r="N356" s="12">
        <f t="shared" si="7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  <c r="DP356" s="72">
        <v>0</v>
      </c>
      <c r="DQ356" s="72"/>
      <c r="DR356" s="72">
        <v>0</v>
      </c>
      <c r="DS356" s="77"/>
    </row>
    <row r="357" spans="1:123" x14ac:dyDescent="0.35">
      <c r="A357" s="7"/>
      <c r="B357" s="79" t="s">
        <v>1170</v>
      </c>
      <c r="C357" s="22" t="s">
        <v>1179</v>
      </c>
      <c r="D357" s="10" t="s">
        <v>594</v>
      </c>
      <c r="E357" s="8" t="s">
        <v>1205</v>
      </c>
      <c r="F357" s="23"/>
      <c r="G357" s="10" t="s">
        <v>40</v>
      </c>
      <c r="H357" s="10" t="s">
        <v>41</v>
      </c>
      <c r="I357" s="11"/>
      <c r="J357" s="23"/>
      <c r="K357" s="10"/>
      <c r="L357" s="8"/>
      <c r="M357" s="12">
        <v>122.16</v>
      </c>
      <c r="N357" s="12">
        <f t="shared" si="7"/>
        <v>244.32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>
        <v>5</v>
      </c>
      <c r="AP357" s="72">
        <v>5</v>
      </c>
      <c r="AQ357" s="72">
        <v>5</v>
      </c>
      <c r="AR357" s="72">
        <v>5</v>
      </c>
      <c r="AS357" s="72">
        <v>5</v>
      </c>
      <c r="AT357" s="72">
        <v>5</v>
      </c>
      <c r="AU357" s="72">
        <v>5</v>
      </c>
      <c r="AV357" s="72">
        <v>5</v>
      </c>
      <c r="AW357" s="72">
        <v>5</v>
      </c>
      <c r="AX357" s="72">
        <v>5</v>
      </c>
      <c r="AY357" s="72">
        <v>5</v>
      </c>
      <c r="AZ357" s="72">
        <v>5</v>
      </c>
      <c r="BA357" s="72">
        <v>5</v>
      </c>
      <c r="BB357" s="72">
        <v>5</v>
      </c>
      <c r="BC357" s="72">
        <v>5</v>
      </c>
      <c r="BD357" s="72">
        <v>5</v>
      </c>
      <c r="BE357" s="72">
        <v>5</v>
      </c>
      <c r="BF357" s="72">
        <v>5</v>
      </c>
      <c r="BG357" s="72">
        <v>5</v>
      </c>
      <c r="BH357" s="72">
        <v>5</v>
      </c>
      <c r="BI357" s="72">
        <v>5</v>
      </c>
      <c r="BJ357" s="72">
        <v>5</v>
      </c>
      <c r="BK357" s="72">
        <v>5</v>
      </c>
      <c r="BL357" s="72">
        <v>5</v>
      </c>
      <c r="BM357" s="72">
        <v>5</v>
      </c>
      <c r="BN357" s="72">
        <v>5</v>
      </c>
      <c r="BO357" s="72">
        <v>5</v>
      </c>
      <c r="BP357" s="72">
        <v>5</v>
      </c>
      <c r="BQ357" s="72">
        <v>5</v>
      </c>
      <c r="BR357" s="72">
        <v>5</v>
      </c>
      <c r="BS357" s="72">
        <v>5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  <c r="DQ357" s="72"/>
      <c r="DR357" s="72">
        <v>2</v>
      </c>
      <c r="DS357" s="137"/>
    </row>
    <row r="358" spans="1:123" x14ac:dyDescent="0.35">
      <c r="A358" s="7"/>
      <c r="B358" s="79" t="s">
        <v>1351</v>
      </c>
      <c r="C358" s="96" t="s">
        <v>1358</v>
      </c>
      <c r="D358" s="10" t="s">
        <v>594</v>
      </c>
      <c r="E358" s="8" t="s">
        <v>1205</v>
      </c>
      <c r="F358" s="23"/>
      <c r="G358" s="10"/>
      <c r="H358" s="10" t="s">
        <v>41</v>
      </c>
      <c r="I358" s="11"/>
      <c r="J358" s="23"/>
      <c r="K358" s="10"/>
      <c r="L358" s="8"/>
      <c r="M358" s="12"/>
      <c r="N358" s="12">
        <f t="shared" si="7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>
        <v>7</v>
      </c>
      <c r="BK358" s="72">
        <v>7</v>
      </c>
      <c r="BL358" s="72">
        <v>7</v>
      </c>
      <c r="BM358" s="72">
        <v>7</v>
      </c>
      <c r="BN358" s="72">
        <v>7</v>
      </c>
      <c r="BO358" s="72">
        <v>7</v>
      </c>
      <c r="BP358" s="72">
        <v>7</v>
      </c>
      <c r="BQ358" s="72">
        <v>7</v>
      </c>
      <c r="BR358" s="72">
        <v>7</v>
      </c>
      <c r="BS358" s="72">
        <v>7</v>
      </c>
      <c r="BT358" s="72">
        <v>7</v>
      </c>
      <c r="BU358" s="72">
        <v>7</v>
      </c>
      <c r="BV358" s="72">
        <v>7</v>
      </c>
      <c r="BW358" s="72">
        <v>7</v>
      </c>
      <c r="BX358" s="72">
        <v>7</v>
      </c>
      <c r="BY358" s="72">
        <v>7</v>
      </c>
      <c r="BZ358" s="72">
        <v>7</v>
      </c>
      <c r="CA358" s="72">
        <v>7</v>
      </c>
      <c r="CB358" s="72">
        <v>7</v>
      </c>
      <c r="CC358" s="72">
        <v>7</v>
      </c>
      <c r="CD358" s="72">
        <v>7</v>
      </c>
      <c r="CE358" s="72">
        <v>7</v>
      </c>
      <c r="CF358" s="72">
        <v>7</v>
      </c>
      <c r="CG358" s="72">
        <v>7</v>
      </c>
      <c r="CH358" s="72">
        <v>7</v>
      </c>
      <c r="CI358" s="72">
        <v>7</v>
      </c>
      <c r="CJ358" s="72">
        <v>7</v>
      </c>
      <c r="CK358" s="72">
        <v>7</v>
      </c>
      <c r="CL358" s="72">
        <v>7</v>
      </c>
      <c r="CM358" s="72">
        <v>7</v>
      </c>
      <c r="CN358" s="72">
        <v>7</v>
      </c>
      <c r="CO358" s="72">
        <v>7</v>
      </c>
      <c r="CP358" s="72">
        <v>7</v>
      </c>
      <c r="CQ358" s="72">
        <v>7</v>
      </c>
      <c r="CR358" s="72">
        <v>7</v>
      </c>
      <c r="CS358" s="72">
        <v>7</v>
      </c>
      <c r="CT358" s="72">
        <v>7</v>
      </c>
      <c r="CU358" s="72">
        <v>7</v>
      </c>
      <c r="CV358" s="72">
        <v>7</v>
      </c>
      <c r="CW358" s="72">
        <v>7</v>
      </c>
      <c r="CX358" s="72">
        <v>7</v>
      </c>
      <c r="CY358" s="72">
        <v>7</v>
      </c>
      <c r="CZ358" s="72">
        <v>7</v>
      </c>
      <c r="DA358" s="72">
        <v>7</v>
      </c>
      <c r="DB358" s="72">
        <v>7</v>
      </c>
      <c r="DC358" s="72">
        <v>7</v>
      </c>
      <c r="DD358" s="72">
        <v>7</v>
      </c>
      <c r="DE358" s="72">
        <v>7</v>
      </c>
      <c r="DF358" s="72">
        <v>7</v>
      </c>
      <c r="DG358" s="72">
        <v>7</v>
      </c>
      <c r="DH358" s="72">
        <v>7</v>
      </c>
      <c r="DI358" s="72">
        <v>7</v>
      </c>
      <c r="DJ358" s="72">
        <v>7</v>
      </c>
      <c r="DK358" s="72">
        <v>7</v>
      </c>
      <c r="DL358" s="72">
        <v>7</v>
      </c>
      <c r="DM358" s="72">
        <v>7</v>
      </c>
      <c r="DN358" s="72">
        <v>7</v>
      </c>
      <c r="DO358" s="72">
        <v>7</v>
      </c>
      <c r="DP358" s="72">
        <v>7</v>
      </c>
      <c r="DQ358" s="72"/>
      <c r="DR358" s="72">
        <v>7</v>
      </c>
      <c r="DS358" s="77"/>
    </row>
    <row r="359" spans="1:123" x14ac:dyDescent="0.35">
      <c r="A359" s="7"/>
      <c r="B359" s="8" t="s">
        <v>603</v>
      </c>
      <c r="C359" s="9" t="s">
        <v>604</v>
      </c>
      <c r="D359" s="10" t="s">
        <v>594</v>
      </c>
      <c r="E359" s="8" t="s">
        <v>1060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 t="s">
        <v>42</v>
      </c>
      <c r="L359" s="8"/>
      <c r="M359" s="12"/>
      <c r="N359" s="12">
        <f t="shared" si="7"/>
        <v>0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T359" s="11"/>
      <c r="U359" s="11"/>
      <c r="V359" s="11">
        <v>1</v>
      </c>
      <c r="W359" s="11">
        <v>1</v>
      </c>
      <c r="X359" s="11">
        <v>1</v>
      </c>
      <c r="Y359" s="11">
        <v>1</v>
      </c>
      <c r="Z359" s="11">
        <v>1</v>
      </c>
      <c r="AA359" s="11"/>
      <c r="AB359" s="11"/>
      <c r="AC359" s="11"/>
      <c r="AD359" s="11"/>
      <c r="AE359" s="11"/>
      <c r="AF359" s="11"/>
      <c r="AG359" s="11"/>
      <c r="AH359" s="11"/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  <c r="DQ359" s="72"/>
      <c r="DR359" s="72">
        <v>0</v>
      </c>
      <c r="DS359" s="77"/>
    </row>
    <row r="360" spans="1:123" x14ac:dyDescent="0.35">
      <c r="A360" s="7"/>
      <c r="B360" s="77" t="s">
        <v>1500</v>
      </c>
      <c r="C360" s="9" t="s">
        <v>604</v>
      </c>
      <c r="D360" s="10" t="s">
        <v>594</v>
      </c>
      <c r="E360" s="8" t="s">
        <v>1060</v>
      </c>
      <c r="F360" s="10">
        <v>1002</v>
      </c>
      <c r="G360" s="10" t="s">
        <v>40</v>
      </c>
      <c r="H360" s="10" t="s">
        <v>41</v>
      </c>
      <c r="I360" s="11"/>
      <c r="J360" s="10"/>
      <c r="K360" s="10"/>
      <c r="L360" s="8"/>
      <c r="M360" s="12">
        <v>5680.5839999999998</v>
      </c>
      <c r="N360" s="12">
        <f t="shared" si="7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>
        <v>1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  <c r="DQ360" s="72"/>
      <c r="DR360" s="72">
        <v>0</v>
      </c>
      <c r="DS360" s="77"/>
    </row>
    <row r="361" spans="1:123" x14ac:dyDescent="0.35">
      <c r="A361" s="7"/>
      <c r="B361" s="8" t="s">
        <v>1267</v>
      </c>
      <c r="C361" s="9" t="s">
        <v>1276</v>
      </c>
      <c r="D361" s="10" t="s">
        <v>594</v>
      </c>
      <c r="E361" s="8" t="s">
        <v>1206</v>
      </c>
      <c r="F361" s="10"/>
      <c r="G361" s="10"/>
      <c r="H361" s="10" t="s">
        <v>41</v>
      </c>
      <c r="I361" s="11"/>
      <c r="J361" s="10"/>
      <c r="K361" s="10"/>
      <c r="L361" s="8"/>
      <c r="M361" s="12">
        <v>190.36</v>
      </c>
      <c r="N361" s="12">
        <f t="shared" si="7"/>
        <v>17893.84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204</v>
      </c>
      <c r="AX361" s="72">
        <v>204</v>
      </c>
      <c r="AY361" s="72">
        <v>204</v>
      </c>
      <c r="AZ361" s="72">
        <v>203</v>
      </c>
      <c r="BA361" s="72">
        <v>203</v>
      </c>
      <c r="BB361" s="72">
        <v>204</v>
      </c>
      <c r="BC361" s="72">
        <v>204</v>
      </c>
      <c r="BD361" s="72">
        <v>204</v>
      </c>
      <c r="BE361" s="72">
        <v>204</v>
      </c>
      <c r="BF361" s="72">
        <v>184</v>
      </c>
      <c r="BG361" s="72">
        <v>184</v>
      </c>
      <c r="BH361" s="72">
        <v>184</v>
      </c>
      <c r="BI361" s="72">
        <v>184</v>
      </c>
      <c r="BJ361" s="72">
        <v>184</v>
      </c>
      <c r="BK361" s="72">
        <v>184</v>
      </c>
      <c r="BL361" s="72">
        <v>184</v>
      </c>
      <c r="BM361" s="72">
        <v>184</v>
      </c>
      <c r="BN361" s="72">
        <v>163</v>
      </c>
      <c r="BO361" s="72">
        <v>163</v>
      </c>
      <c r="BP361" s="72">
        <v>162</v>
      </c>
      <c r="BQ361" s="72">
        <v>162</v>
      </c>
      <c r="BR361" s="72">
        <v>161</v>
      </c>
      <c r="BS361" s="72">
        <v>161</v>
      </c>
      <c r="BT361" s="72">
        <v>161</v>
      </c>
      <c r="BU361" s="72">
        <v>161</v>
      </c>
      <c r="BV361" s="72">
        <v>161</v>
      </c>
      <c r="BW361" s="72">
        <v>161</v>
      </c>
      <c r="BX361" s="72">
        <v>161</v>
      </c>
      <c r="BY361" s="72">
        <v>161</v>
      </c>
      <c r="BZ361" s="72">
        <v>161</v>
      </c>
      <c r="CA361" s="72">
        <v>161</v>
      </c>
      <c r="CB361" s="72">
        <v>161</v>
      </c>
      <c r="CC361" s="72">
        <v>161</v>
      </c>
      <c r="CD361" s="72">
        <v>161</v>
      </c>
      <c r="CE361" s="72">
        <v>161</v>
      </c>
      <c r="CF361" s="72">
        <v>161</v>
      </c>
      <c r="CG361" s="72">
        <v>161</v>
      </c>
      <c r="CH361" s="72">
        <v>161</v>
      </c>
      <c r="CI361" s="72">
        <v>161</v>
      </c>
      <c r="CJ361" s="72">
        <v>161</v>
      </c>
      <c r="CK361" s="72">
        <v>161</v>
      </c>
      <c r="CL361" s="72">
        <v>161</v>
      </c>
      <c r="CM361" s="72">
        <v>161</v>
      </c>
      <c r="CN361" s="72">
        <v>161</v>
      </c>
      <c r="CO361" s="72">
        <v>160</v>
      </c>
      <c r="CP361" s="72">
        <v>160</v>
      </c>
      <c r="CQ361" s="72">
        <v>160</v>
      </c>
      <c r="CR361" s="72">
        <v>150</v>
      </c>
      <c r="CS361" s="72">
        <v>145</v>
      </c>
      <c r="CT361" s="72">
        <v>145</v>
      </c>
      <c r="CU361" s="72">
        <v>109</v>
      </c>
      <c r="CV361" s="72">
        <v>109</v>
      </c>
      <c r="CW361" s="72">
        <v>109</v>
      </c>
      <c r="CX361" s="72">
        <v>109</v>
      </c>
      <c r="CY361" s="72">
        <v>109</v>
      </c>
      <c r="CZ361" s="72">
        <v>109</v>
      </c>
      <c r="DA361" s="72">
        <v>109</v>
      </c>
      <c r="DB361" s="72">
        <v>109</v>
      </c>
      <c r="DC361" s="72">
        <v>109</v>
      </c>
      <c r="DD361" s="72">
        <v>109</v>
      </c>
      <c r="DE361" s="72">
        <v>109</v>
      </c>
      <c r="DF361" s="72">
        <v>104</v>
      </c>
      <c r="DG361" s="72">
        <v>104</v>
      </c>
      <c r="DH361" s="72">
        <v>94</v>
      </c>
      <c r="DI361" s="72">
        <v>94</v>
      </c>
      <c r="DJ361" s="72">
        <v>94</v>
      </c>
      <c r="DK361" s="72">
        <v>94</v>
      </c>
      <c r="DL361" s="72">
        <v>94</v>
      </c>
      <c r="DM361" s="72">
        <v>94</v>
      </c>
      <c r="DN361" s="72">
        <v>94</v>
      </c>
      <c r="DO361" s="72">
        <v>94</v>
      </c>
      <c r="DP361" s="72">
        <v>94</v>
      </c>
      <c r="DQ361" s="72"/>
      <c r="DR361" s="72">
        <v>94</v>
      </c>
      <c r="DS361" s="137"/>
    </row>
    <row r="362" spans="1:123" x14ac:dyDescent="0.35">
      <c r="A362" s="7"/>
      <c r="B362" s="8" t="s">
        <v>605</v>
      </c>
      <c r="C362" s="9" t="s">
        <v>606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47</v>
      </c>
      <c r="J362" s="10"/>
      <c r="K362" s="10"/>
      <c r="L362" s="8"/>
      <c r="M362" s="12">
        <v>324.52999999999997</v>
      </c>
      <c r="N362" s="12">
        <f t="shared" si="7"/>
        <v>324.52999999999997</v>
      </c>
      <c r="O362" s="11">
        <v>259</v>
      </c>
      <c r="P362" s="11">
        <v>259</v>
      </c>
      <c r="Q362" s="11">
        <v>259</v>
      </c>
      <c r="R362" s="11">
        <v>259</v>
      </c>
      <c r="S362" s="11">
        <v>259</v>
      </c>
      <c r="T362" s="11">
        <v>259</v>
      </c>
      <c r="U362" s="11">
        <v>52</v>
      </c>
      <c r="V362" s="11">
        <v>52</v>
      </c>
      <c r="W362" s="11">
        <v>52</v>
      </c>
      <c r="X362" s="11">
        <v>52</v>
      </c>
      <c r="Y362" s="11">
        <v>52</v>
      </c>
      <c r="Z362" s="11">
        <v>47</v>
      </c>
      <c r="AA362" s="11">
        <v>47</v>
      </c>
      <c r="AB362" s="11">
        <v>47</v>
      </c>
      <c r="AC362" s="11">
        <v>47</v>
      </c>
      <c r="AD362" s="11">
        <v>47</v>
      </c>
      <c r="AE362" s="11">
        <v>47</v>
      </c>
      <c r="AF362" s="11">
        <v>46</v>
      </c>
      <c r="AG362" s="11">
        <v>47</v>
      </c>
      <c r="AH362" s="11">
        <v>47</v>
      </c>
      <c r="AI362" s="11">
        <v>47</v>
      </c>
      <c r="AJ362" s="11">
        <v>47</v>
      </c>
      <c r="AK362" s="11">
        <v>47</v>
      </c>
      <c r="AL362" s="11">
        <v>47</v>
      </c>
      <c r="AM362" s="11">
        <v>47</v>
      </c>
      <c r="AN362" s="72">
        <v>46</v>
      </c>
      <c r="AO362" s="72">
        <v>47</v>
      </c>
      <c r="AP362" s="72">
        <v>47</v>
      </c>
      <c r="AQ362" s="72">
        <v>47</v>
      </c>
      <c r="AR362" s="72">
        <v>47</v>
      </c>
      <c r="AS362" s="72">
        <v>46</v>
      </c>
      <c r="AT362" s="72">
        <v>46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4</v>
      </c>
      <c r="BN362" s="72">
        <v>5</v>
      </c>
      <c r="BO362" s="72">
        <v>5</v>
      </c>
      <c r="BP362" s="72">
        <v>5</v>
      </c>
      <c r="BQ362" s="72">
        <v>6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  <c r="DO362" s="72">
        <v>1</v>
      </c>
      <c r="DP362" s="72">
        <v>1</v>
      </c>
      <c r="DQ362" s="72"/>
      <c r="DR362" s="72">
        <v>1</v>
      </c>
      <c r="DS362" s="77"/>
    </row>
    <row r="363" spans="1:123" x14ac:dyDescent="0.35">
      <c r="A363" s="7"/>
      <c r="B363" s="8" t="s">
        <v>1243</v>
      </c>
      <c r="C363" s="9" t="s">
        <v>606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/>
      <c r="J363" s="10"/>
      <c r="K363" s="10"/>
      <c r="L363" s="8"/>
      <c r="M363" s="12"/>
      <c r="N363" s="12">
        <f t="shared" si="7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>
        <v>225</v>
      </c>
      <c r="AT363" s="72">
        <v>245</v>
      </c>
      <c r="AU363" s="72">
        <v>0</v>
      </c>
      <c r="AV363" s="72">
        <v>0</v>
      </c>
      <c r="AW363" s="72">
        <v>0</v>
      </c>
      <c r="AX363" s="72">
        <v>0</v>
      </c>
      <c r="AY363" s="72">
        <v>0</v>
      </c>
      <c r="AZ363" s="72">
        <v>0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0</v>
      </c>
      <c r="BI363" s="72">
        <v>0</v>
      </c>
      <c r="BJ363" s="72">
        <v>0</v>
      </c>
      <c r="BK363" s="72">
        <v>0</v>
      </c>
      <c r="BL363" s="72">
        <v>0</v>
      </c>
      <c r="BM363" s="72">
        <v>0</v>
      </c>
      <c r="BN363" s="72">
        <v>0</v>
      </c>
      <c r="BO363" s="72">
        <v>0</v>
      </c>
      <c r="BP363" s="72">
        <v>0</v>
      </c>
      <c r="BQ363" s="72">
        <v>0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20</v>
      </c>
      <c r="CK363" s="72">
        <v>20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  <c r="DQ363" s="72"/>
      <c r="DR363" s="72">
        <v>0</v>
      </c>
      <c r="DS363" s="77"/>
    </row>
    <row r="364" spans="1:123" x14ac:dyDescent="0.35">
      <c r="A364" s="7"/>
      <c r="B364" s="8" t="s">
        <v>607</v>
      </c>
      <c r="C364" s="9" t="s">
        <v>608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/>
      <c r="L364" s="8"/>
      <c r="M364" s="12">
        <v>559.26</v>
      </c>
      <c r="N364" s="12">
        <f t="shared" si="7"/>
        <v>559.26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1</v>
      </c>
      <c r="AD364" s="11">
        <v>1</v>
      </c>
      <c r="AE364" s="11">
        <v>1</v>
      </c>
      <c r="AF364" s="11">
        <v>1</v>
      </c>
      <c r="AG364" s="11">
        <v>1</v>
      </c>
      <c r="AH364" s="11">
        <v>1</v>
      </c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  <c r="DM364" s="72">
        <v>1</v>
      </c>
      <c r="DN364" s="72">
        <v>1</v>
      </c>
      <c r="DO364" s="72">
        <v>1</v>
      </c>
      <c r="DP364" s="72">
        <v>1</v>
      </c>
      <c r="DQ364" s="72"/>
      <c r="DR364" s="72">
        <v>1</v>
      </c>
      <c r="DS364" s="137"/>
    </row>
    <row r="365" spans="1:123" x14ac:dyDescent="0.35">
      <c r="A365" s="7"/>
      <c r="B365" s="8" t="s">
        <v>609</v>
      </c>
      <c r="C365" s="9" t="s">
        <v>610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/>
      <c r="M365" s="12"/>
      <c r="N365" s="12">
        <f t="shared" si="7"/>
        <v>0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T365" s="11">
        <v>1</v>
      </c>
      <c r="U365" s="11">
        <v>1</v>
      </c>
      <c r="V365" s="11">
        <v>1</v>
      </c>
      <c r="W365" s="11">
        <v>1</v>
      </c>
      <c r="X365" s="11">
        <v>1</v>
      </c>
      <c r="Y365" s="11">
        <v>1</v>
      </c>
      <c r="Z365" s="11">
        <v>1</v>
      </c>
      <c r="AA365" s="11">
        <v>1</v>
      </c>
      <c r="AB365" s="11">
        <v>1</v>
      </c>
      <c r="AC365" s="11">
        <v>1</v>
      </c>
      <c r="AD365" s="11">
        <v>1</v>
      </c>
      <c r="AE365" s="11">
        <v>1</v>
      </c>
      <c r="AF365" s="11">
        <v>1</v>
      </c>
      <c r="AG365" s="11">
        <v>1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1</v>
      </c>
      <c r="BA365" s="72">
        <v>1</v>
      </c>
      <c r="BB365" s="72">
        <v>1</v>
      </c>
      <c r="BC365" s="72">
        <v>1</v>
      </c>
      <c r="BD365" s="72">
        <v>1</v>
      </c>
      <c r="BE365" s="72">
        <v>1</v>
      </c>
      <c r="BF365" s="72">
        <v>1</v>
      </c>
      <c r="BG365" s="72">
        <v>1</v>
      </c>
      <c r="BH365" s="72">
        <v>1</v>
      </c>
      <c r="BI365" s="72">
        <v>1</v>
      </c>
      <c r="BJ365" s="72">
        <v>1</v>
      </c>
      <c r="BK365" s="72">
        <v>1</v>
      </c>
      <c r="BL365" s="72">
        <v>1</v>
      </c>
      <c r="BM365" s="72">
        <v>1</v>
      </c>
      <c r="BN365" s="72">
        <v>1</v>
      </c>
      <c r="BO365" s="72">
        <v>1</v>
      </c>
      <c r="BP365" s="72">
        <v>1</v>
      </c>
      <c r="BQ365" s="72">
        <v>1</v>
      </c>
      <c r="BR365" s="72">
        <v>1</v>
      </c>
      <c r="BS365" s="72">
        <v>1</v>
      </c>
      <c r="BT365" s="72">
        <v>1</v>
      </c>
      <c r="BU365" s="72">
        <v>1</v>
      </c>
      <c r="BV365" s="72">
        <v>1</v>
      </c>
      <c r="BW365" s="72">
        <v>1</v>
      </c>
      <c r="BX365" s="72">
        <v>1</v>
      </c>
      <c r="BY365" s="72">
        <v>1</v>
      </c>
      <c r="BZ365" s="72">
        <v>1</v>
      </c>
      <c r="CA365" s="72">
        <v>1</v>
      </c>
      <c r="CB365" s="72">
        <v>1</v>
      </c>
      <c r="CC365" s="72">
        <v>1</v>
      </c>
      <c r="CD365" s="72">
        <v>1</v>
      </c>
      <c r="CE365" s="72">
        <v>1</v>
      </c>
      <c r="CF365" s="72">
        <v>1</v>
      </c>
      <c r="CG365" s="72">
        <v>1</v>
      </c>
      <c r="CH365" s="72">
        <v>1</v>
      </c>
      <c r="CI365" s="72">
        <v>1</v>
      </c>
      <c r="CJ365" s="72">
        <v>1</v>
      </c>
      <c r="CK365" s="72">
        <v>1</v>
      </c>
      <c r="CL365" s="72">
        <v>1</v>
      </c>
      <c r="CM365" s="72">
        <v>1</v>
      </c>
      <c r="CN365" s="72">
        <v>1</v>
      </c>
      <c r="CO365" s="72">
        <v>1</v>
      </c>
      <c r="CP365" s="72">
        <v>1</v>
      </c>
      <c r="CQ365" s="72">
        <v>1</v>
      </c>
      <c r="CR365" s="72">
        <v>1</v>
      </c>
      <c r="CS365" s="72">
        <v>1</v>
      </c>
      <c r="CT365" s="72">
        <v>1</v>
      </c>
      <c r="CU365" s="72">
        <v>1</v>
      </c>
      <c r="CV365" s="72">
        <v>1</v>
      </c>
      <c r="CW365" s="72">
        <v>1</v>
      </c>
      <c r="CX365" s="72">
        <v>1</v>
      </c>
      <c r="CY365" s="72">
        <v>1</v>
      </c>
      <c r="CZ365" s="72">
        <v>1</v>
      </c>
      <c r="DA365" s="72">
        <v>1</v>
      </c>
      <c r="DB365" s="72">
        <v>1</v>
      </c>
      <c r="DC365" s="72">
        <v>1</v>
      </c>
      <c r="DD365" s="72">
        <v>1</v>
      </c>
      <c r="DE365" s="72">
        <v>1</v>
      </c>
      <c r="DF365" s="72">
        <v>1</v>
      </c>
      <c r="DG365" s="72">
        <v>1</v>
      </c>
      <c r="DH365" s="72">
        <v>1</v>
      </c>
      <c r="DI365" s="72">
        <v>1</v>
      </c>
      <c r="DJ365" s="72">
        <v>1</v>
      </c>
      <c r="DK365" s="72">
        <v>1</v>
      </c>
      <c r="DL365" s="72">
        <v>1</v>
      </c>
      <c r="DM365" s="72">
        <v>1</v>
      </c>
      <c r="DN365" s="72">
        <v>1</v>
      </c>
      <c r="DO365" s="72">
        <v>1</v>
      </c>
      <c r="DP365" s="72">
        <v>1</v>
      </c>
      <c r="DQ365" s="72"/>
      <c r="DR365" s="72">
        <v>1</v>
      </c>
      <c r="DS365" s="77"/>
    </row>
    <row r="366" spans="1:123" x14ac:dyDescent="0.35">
      <c r="A366" s="7"/>
      <c r="B366" s="8" t="s">
        <v>611</v>
      </c>
      <c r="C366" s="9" t="s">
        <v>612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2</v>
      </c>
      <c r="J366" s="10"/>
      <c r="K366" s="10"/>
      <c r="L366" s="8"/>
      <c r="M366" s="12">
        <v>249</v>
      </c>
      <c r="N366" s="12">
        <f t="shared" si="7"/>
        <v>0</v>
      </c>
      <c r="O366" s="11">
        <v>2</v>
      </c>
      <c r="P366" s="11">
        <v>2</v>
      </c>
      <c r="Q366" s="11">
        <v>2</v>
      </c>
      <c r="R366" s="11">
        <v>2</v>
      </c>
      <c r="S366" s="11">
        <v>2</v>
      </c>
      <c r="T366" s="11">
        <v>2</v>
      </c>
      <c r="U366" s="11">
        <v>2</v>
      </c>
      <c r="V366" s="11">
        <v>2</v>
      </c>
      <c r="W366" s="11">
        <v>2</v>
      </c>
      <c r="X366" s="11">
        <v>2</v>
      </c>
      <c r="Y366" s="11">
        <v>2</v>
      </c>
      <c r="Z366" s="11">
        <v>2</v>
      </c>
      <c r="AA366" s="11">
        <v>2</v>
      </c>
      <c r="AB366" s="11">
        <v>2</v>
      </c>
      <c r="AC366" s="11">
        <v>2</v>
      </c>
      <c r="AD366" s="11">
        <v>2</v>
      </c>
      <c r="AE366" s="11">
        <v>2</v>
      </c>
      <c r="AF366" s="11">
        <v>2</v>
      </c>
      <c r="AG366" s="11">
        <v>2</v>
      </c>
      <c r="AH366" s="11">
        <v>2</v>
      </c>
      <c r="AI366" s="11">
        <v>2</v>
      </c>
      <c r="AJ366" s="11">
        <v>2</v>
      </c>
      <c r="AK366" s="11">
        <v>2</v>
      </c>
      <c r="AL366" s="11">
        <v>2</v>
      </c>
      <c r="AM366" s="11">
        <v>2</v>
      </c>
      <c r="AN366" s="72">
        <v>2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  <c r="DQ366" s="72"/>
      <c r="DR366" s="72">
        <v>0</v>
      </c>
      <c r="DS366" s="137"/>
    </row>
    <row r="367" spans="1:123" x14ac:dyDescent="0.35">
      <c r="A367" s="7"/>
      <c r="B367" s="8" t="s">
        <v>613</v>
      </c>
      <c r="C367" s="9" t="s">
        <v>614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100</v>
      </c>
      <c r="J367" s="10"/>
      <c r="K367" s="10"/>
      <c r="L367" s="8"/>
      <c r="M367" s="12">
        <v>264.27</v>
      </c>
      <c r="N367" s="12">
        <f t="shared" si="7"/>
        <v>2114.16</v>
      </c>
      <c r="O367" s="11">
        <v>25</v>
      </c>
      <c r="P367" s="11">
        <v>25</v>
      </c>
      <c r="Q367" s="11">
        <v>25</v>
      </c>
      <c r="R367" s="11">
        <v>25</v>
      </c>
      <c r="S367" s="11">
        <v>25</v>
      </c>
      <c r="T367" s="11">
        <v>0</v>
      </c>
      <c r="U367" s="11">
        <v>0</v>
      </c>
      <c r="V367" s="11">
        <v>0</v>
      </c>
      <c r="W367" s="11">
        <v>0</v>
      </c>
      <c r="X367" s="11">
        <v>0</v>
      </c>
      <c r="Y367" s="11">
        <v>0</v>
      </c>
      <c r="Z367" s="11">
        <v>0</v>
      </c>
      <c r="AA367" s="11">
        <v>0</v>
      </c>
      <c r="AB367" s="11">
        <v>150</v>
      </c>
      <c r="AC367" s="11">
        <v>148</v>
      </c>
      <c r="AD367" s="11">
        <v>148</v>
      </c>
      <c r="AE367" s="11">
        <v>118</v>
      </c>
      <c r="AF367" s="11">
        <v>117</v>
      </c>
      <c r="AG367" s="11">
        <v>118</v>
      </c>
      <c r="AH367" s="11">
        <v>118</v>
      </c>
      <c r="AI367" s="11">
        <v>118</v>
      </c>
      <c r="AJ367" s="11">
        <v>100</v>
      </c>
      <c r="AK367" s="11">
        <v>100</v>
      </c>
      <c r="AL367" s="11">
        <v>100</v>
      </c>
      <c r="AM367" s="11">
        <v>100</v>
      </c>
      <c r="AN367" s="72">
        <v>97</v>
      </c>
      <c r="AO367" s="72">
        <v>197</v>
      </c>
      <c r="AP367" s="72">
        <v>193</v>
      </c>
      <c r="AQ367" s="72">
        <v>183</v>
      </c>
      <c r="AR367" s="72">
        <v>183</v>
      </c>
      <c r="AS367" s="72">
        <v>183</v>
      </c>
      <c r="AT367" s="72">
        <v>183</v>
      </c>
      <c r="AU367" s="72">
        <v>183</v>
      </c>
      <c r="AV367" s="72">
        <v>183</v>
      </c>
      <c r="AW367" s="72">
        <v>157</v>
      </c>
      <c r="AX367" s="72">
        <v>157</v>
      </c>
      <c r="AY367" s="72">
        <v>157</v>
      </c>
      <c r="AZ367" s="72">
        <v>157</v>
      </c>
      <c r="BA367" s="72">
        <v>157</v>
      </c>
      <c r="BB367" s="72">
        <v>157</v>
      </c>
      <c r="BC367" s="72">
        <v>157</v>
      </c>
      <c r="BD367" s="72">
        <v>155</v>
      </c>
      <c r="BE367" s="72">
        <v>139</v>
      </c>
      <c r="BF367" s="72">
        <v>132</v>
      </c>
      <c r="BG367" s="72">
        <v>132</v>
      </c>
      <c r="BH367" s="72">
        <v>112</v>
      </c>
      <c r="BI367" s="72">
        <v>112</v>
      </c>
      <c r="BJ367" s="72">
        <v>112</v>
      </c>
      <c r="BK367" s="72">
        <v>112</v>
      </c>
      <c r="BL367" s="72">
        <v>112</v>
      </c>
      <c r="BM367" s="72">
        <v>112</v>
      </c>
      <c r="BN367" s="72">
        <v>112</v>
      </c>
      <c r="BO367" s="72">
        <v>102</v>
      </c>
      <c r="BP367" s="72">
        <v>102</v>
      </c>
      <c r="BQ367" s="72">
        <v>98</v>
      </c>
      <c r="BR367" s="72">
        <v>93</v>
      </c>
      <c r="BS367" s="72">
        <v>77</v>
      </c>
      <c r="BT367" s="72">
        <v>77</v>
      </c>
      <c r="BU367" s="72">
        <v>77</v>
      </c>
      <c r="BV367" s="72">
        <v>77</v>
      </c>
      <c r="BW367" s="72">
        <v>77</v>
      </c>
      <c r="BX367" s="72">
        <v>77</v>
      </c>
      <c r="BY367" s="72">
        <v>77</v>
      </c>
      <c r="BZ367" s="72">
        <v>77</v>
      </c>
      <c r="CA367" s="72">
        <v>77</v>
      </c>
      <c r="CB367" s="72">
        <v>77</v>
      </c>
      <c r="CC367" s="72">
        <v>77</v>
      </c>
      <c r="CD367" s="72">
        <v>77</v>
      </c>
      <c r="CE367" s="72">
        <v>56</v>
      </c>
      <c r="CF367" s="72">
        <v>56</v>
      </c>
      <c r="CG367" s="72">
        <v>56</v>
      </c>
      <c r="CH367" s="72">
        <v>56</v>
      </c>
      <c r="CI367" s="72">
        <v>56</v>
      </c>
      <c r="CJ367" s="72">
        <v>32</v>
      </c>
      <c r="CK367" s="72">
        <v>32</v>
      </c>
      <c r="CL367" s="72">
        <v>28</v>
      </c>
      <c r="CM367" s="72">
        <v>28</v>
      </c>
      <c r="CN367" s="72">
        <v>28</v>
      </c>
      <c r="CO367" s="72">
        <v>26</v>
      </c>
      <c r="CP367" s="72">
        <v>26</v>
      </c>
      <c r="CQ367" s="72">
        <v>26</v>
      </c>
      <c r="CR367" s="72">
        <v>26</v>
      </c>
      <c r="CS367" s="72">
        <v>26</v>
      </c>
      <c r="CT367" s="72">
        <v>26</v>
      </c>
      <c r="CU367" s="72">
        <v>26</v>
      </c>
      <c r="CV367" s="72">
        <v>27</v>
      </c>
      <c r="CW367" s="72">
        <v>27</v>
      </c>
      <c r="CX367" s="72">
        <v>27</v>
      </c>
      <c r="CY367" s="72">
        <v>27</v>
      </c>
      <c r="CZ367" s="72">
        <v>27</v>
      </c>
      <c r="DA367" s="72">
        <v>27</v>
      </c>
      <c r="DB367" s="72">
        <v>26</v>
      </c>
      <c r="DC367" s="72">
        <v>26</v>
      </c>
      <c r="DD367" s="72">
        <v>25</v>
      </c>
      <c r="DE367" s="72">
        <v>23</v>
      </c>
      <c r="DF367" s="72">
        <v>23</v>
      </c>
      <c r="DG367" s="72">
        <v>23</v>
      </c>
      <c r="DH367" s="72">
        <v>23</v>
      </c>
      <c r="DI367" s="72">
        <v>8</v>
      </c>
      <c r="DJ367" s="72">
        <v>8</v>
      </c>
      <c r="DK367" s="72">
        <v>8</v>
      </c>
      <c r="DL367" s="72">
        <v>8</v>
      </c>
      <c r="DM367" s="72">
        <v>8</v>
      </c>
      <c r="DN367" s="72">
        <v>8</v>
      </c>
      <c r="DO367" s="72">
        <v>8</v>
      </c>
      <c r="DP367" s="72">
        <v>8</v>
      </c>
      <c r="DQ367" s="72"/>
      <c r="DR367" s="72">
        <v>8</v>
      </c>
      <c r="DS367" s="77"/>
    </row>
    <row r="368" spans="1:123" ht="39.85" x14ac:dyDescent="0.35">
      <c r="A368" s="7"/>
      <c r="B368" s="8" t="s">
        <v>615</v>
      </c>
      <c r="C368" s="9" t="s">
        <v>616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4</v>
      </c>
      <c r="J368" s="10">
        <v>3</v>
      </c>
      <c r="K368" s="10" t="s">
        <v>53</v>
      </c>
      <c r="L368" s="14" t="s">
        <v>617</v>
      </c>
      <c r="M368" s="12">
        <v>392.16</v>
      </c>
      <c r="N368" s="12">
        <f t="shared" si="7"/>
        <v>28235.52</v>
      </c>
      <c r="O368" s="11">
        <v>39</v>
      </c>
      <c r="P368" s="11">
        <v>39</v>
      </c>
      <c r="Q368" s="11">
        <v>69</v>
      </c>
      <c r="R368" s="11">
        <v>68</v>
      </c>
      <c r="S368" s="11">
        <v>68</v>
      </c>
      <c r="T368" s="11">
        <v>62</v>
      </c>
      <c r="U368" s="11">
        <v>30</v>
      </c>
      <c r="V368" s="11">
        <v>33</v>
      </c>
      <c r="W368" s="11">
        <v>1</v>
      </c>
      <c r="X368" s="11">
        <v>1</v>
      </c>
      <c r="Y368" s="11">
        <v>1</v>
      </c>
      <c r="Z368" s="11">
        <v>6</v>
      </c>
      <c r="AA368" s="11">
        <v>6</v>
      </c>
      <c r="AB368" s="11">
        <v>6</v>
      </c>
      <c r="AC368" s="11">
        <v>6</v>
      </c>
      <c r="AD368" s="11">
        <v>6</v>
      </c>
      <c r="AE368" s="11">
        <v>3</v>
      </c>
      <c r="AF368" s="11">
        <v>2</v>
      </c>
      <c r="AG368" s="11">
        <v>3</v>
      </c>
      <c r="AH368" s="11">
        <v>3</v>
      </c>
      <c r="AI368" s="11">
        <v>4</v>
      </c>
      <c r="AJ368" s="11">
        <v>4</v>
      </c>
      <c r="AK368" s="11">
        <v>4</v>
      </c>
      <c r="AL368" s="11">
        <v>3</v>
      </c>
      <c r="AM368" s="11">
        <v>3</v>
      </c>
      <c r="AN368" s="72">
        <v>2</v>
      </c>
      <c r="AO368" s="72">
        <v>3</v>
      </c>
      <c r="AP368" s="72">
        <v>3</v>
      </c>
      <c r="AQ368" s="72">
        <v>3</v>
      </c>
      <c r="AR368" s="72">
        <v>21</v>
      </c>
      <c r="AS368" s="72">
        <v>4</v>
      </c>
      <c r="AT368" s="72">
        <v>1</v>
      </c>
      <c r="AU368" s="72">
        <v>1</v>
      </c>
      <c r="AV368" s="72">
        <v>1</v>
      </c>
      <c r="AW368" s="72">
        <v>61</v>
      </c>
      <c r="AX368" s="72">
        <v>61</v>
      </c>
      <c r="AY368" s="72">
        <v>29</v>
      </c>
      <c r="AZ368" s="72">
        <v>29</v>
      </c>
      <c r="BA368" s="72">
        <v>28</v>
      </c>
      <c r="BB368" s="72">
        <v>28</v>
      </c>
      <c r="BC368" s="72">
        <v>28</v>
      </c>
      <c r="BD368" s="72">
        <v>28</v>
      </c>
      <c r="BE368" s="72">
        <v>28</v>
      </c>
      <c r="BF368" s="72">
        <v>28</v>
      </c>
      <c r="BG368" s="72">
        <v>28</v>
      </c>
      <c r="BH368" s="72">
        <v>28</v>
      </c>
      <c r="BI368" s="72">
        <v>28</v>
      </c>
      <c r="BJ368" s="72">
        <v>28</v>
      </c>
      <c r="BK368" s="72">
        <v>28</v>
      </c>
      <c r="BL368" s="72">
        <v>28</v>
      </c>
      <c r="BM368" s="72">
        <v>27</v>
      </c>
      <c r="BN368" s="72">
        <v>28</v>
      </c>
      <c r="BO368" s="72">
        <v>58</v>
      </c>
      <c r="BP368" s="72">
        <v>21</v>
      </c>
      <c r="BQ368" s="72">
        <v>21</v>
      </c>
      <c r="BR368" s="72">
        <v>6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34</v>
      </c>
      <c r="CK368" s="72">
        <v>24</v>
      </c>
      <c r="CL368" s="72">
        <v>57</v>
      </c>
      <c r="CM368" s="72">
        <v>44</v>
      </c>
      <c r="CN368" s="72">
        <v>44</v>
      </c>
      <c r="CO368" s="72">
        <v>43</v>
      </c>
      <c r="CP368" s="72">
        <v>43</v>
      </c>
      <c r="CQ368" s="72">
        <v>43</v>
      </c>
      <c r="CR368" s="72">
        <v>88</v>
      </c>
      <c r="CS368" s="72">
        <v>48</v>
      </c>
      <c r="CT368" s="72">
        <v>48</v>
      </c>
      <c r="CU368" s="72">
        <v>31</v>
      </c>
      <c r="CV368" s="72">
        <v>31</v>
      </c>
      <c r="CW368" s="72">
        <v>29</v>
      </c>
      <c r="CX368" s="72">
        <v>29</v>
      </c>
      <c r="CY368" s="72">
        <v>134</v>
      </c>
      <c r="CZ368" s="72">
        <v>134</v>
      </c>
      <c r="DA368" s="72">
        <v>130</v>
      </c>
      <c r="DB368" s="72">
        <v>130</v>
      </c>
      <c r="DC368" s="72">
        <v>129</v>
      </c>
      <c r="DD368" s="72">
        <v>129</v>
      </c>
      <c r="DE368" s="72">
        <v>129</v>
      </c>
      <c r="DF368" s="72">
        <v>107</v>
      </c>
      <c r="DG368" s="72">
        <v>107</v>
      </c>
      <c r="DH368" s="72">
        <v>75</v>
      </c>
      <c r="DI368" s="72">
        <v>75</v>
      </c>
      <c r="DJ368" s="72">
        <v>75</v>
      </c>
      <c r="DK368" s="72">
        <v>75</v>
      </c>
      <c r="DL368" s="72">
        <v>87</v>
      </c>
      <c r="DM368" s="72">
        <v>87</v>
      </c>
      <c r="DN368" s="72">
        <v>87</v>
      </c>
      <c r="DO368" s="72">
        <v>73</v>
      </c>
      <c r="DP368" s="72">
        <v>72</v>
      </c>
      <c r="DQ368" s="72">
        <v>72</v>
      </c>
      <c r="DR368" s="72">
        <v>0</v>
      </c>
      <c r="DS368" s="90" t="s">
        <v>1592</v>
      </c>
    </row>
    <row r="369" spans="1:123" x14ac:dyDescent="0.35">
      <c r="A369" s="7"/>
      <c r="B369" s="77" t="s">
        <v>1268</v>
      </c>
      <c r="C369" s="9" t="s">
        <v>1277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14"/>
      <c r="M369" s="12"/>
      <c r="N369" s="12">
        <f t="shared" si="7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4</v>
      </c>
      <c r="AX369" s="72">
        <v>4</v>
      </c>
      <c r="AY369" s="72">
        <v>4</v>
      </c>
      <c r="AZ369" s="72">
        <v>4</v>
      </c>
      <c r="BA369" s="72">
        <v>4</v>
      </c>
      <c r="BB369" s="72">
        <v>4</v>
      </c>
      <c r="BC369" s="72">
        <v>4</v>
      </c>
      <c r="BD369" s="72">
        <v>4</v>
      </c>
      <c r="BE369" s="72">
        <v>4</v>
      </c>
      <c r="BF369" s="72">
        <v>4</v>
      </c>
      <c r="BG369" s="72">
        <v>4</v>
      </c>
      <c r="BH369" s="72">
        <v>4</v>
      </c>
      <c r="BI369" s="72">
        <v>4</v>
      </c>
      <c r="BJ369" s="72">
        <v>4</v>
      </c>
      <c r="BK369" s="72">
        <v>4</v>
      </c>
      <c r="BL369" s="72">
        <v>4</v>
      </c>
      <c r="BM369" s="72">
        <v>4</v>
      </c>
      <c r="BN369" s="72">
        <v>4</v>
      </c>
      <c r="BO369" s="72">
        <v>4</v>
      </c>
      <c r="BP369" s="72">
        <v>4</v>
      </c>
      <c r="BQ369" s="72">
        <v>4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  <c r="DQ369" s="72"/>
      <c r="DR369" s="72">
        <v>0</v>
      </c>
      <c r="DS369" s="90"/>
    </row>
    <row r="370" spans="1:123" x14ac:dyDescent="0.35">
      <c r="A370" s="7"/>
      <c r="B370" s="8" t="s">
        <v>618</v>
      </c>
      <c r="C370" s="9" t="s">
        <v>619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27</v>
      </c>
      <c r="J370" s="10"/>
      <c r="K370" s="10"/>
      <c r="L370" s="14" t="s">
        <v>620</v>
      </c>
      <c r="M370" s="12">
        <v>350</v>
      </c>
      <c r="N370" s="12">
        <f t="shared" si="7"/>
        <v>0</v>
      </c>
      <c r="O370" s="11">
        <v>62</v>
      </c>
      <c r="P370" s="11">
        <v>62</v>
      </c>
      <c r="Q370" s="11">
        <v>62</v>
      </c>
      <c r="R370" s="11">
        <v>62</v>
      </c>
      <c r="S370" s="11">
        <v>62</v>
      </c>
      <c r="T370" s="11">
        <v>62</v>
      </c>
      <c r="U370" s="11">
        <v>0</v>
      </c>
      <c r="V370" s="11">
        <v>1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42</v>
      </c>
      <c r="AC370" s="11">
        <v>42</v>
      </c>
      <c r="AD370" s="11">
        <v>52</v>
      </c>
      <c r="AE370" s="11">
        <v>27</v>
      </c>
      <c r="AF370" s="11">
        <v>27</v>
      </c>
      <c r="AG370" s="11">
        <v>27</v>
      </c>
      <c r="AH370" s="11">
        <v>27</v>
      </c>
      <c r="AI370" s="11">
        <v>27</v>
      </c>
      <c r="AJ370" s="11">
        <v>27</v>
      </c>
      <c r="AK370" s="11">
        <v>27</v>
      </c>
      <c r="AL370" s="11">
        <v>27</v>
      </c>
      <c r="AM370" s="11">
        <v>27</v>
      </c>
      <c r="AN370" s="72">
        <v>27</v>
      </c>
      <c r="AO370" s="72">
        <v>27</v>
      </c>
      <c r="AP370" s="72">
        <v>27</v>
      </c>
      <c r="AQ370" s="72">
        <v>27</v>
      </c>
      <c r="AR370" s="72">
        <v>27</v>
      </c>
      <c r="AS370" s="72">
        <v>27</v>
      </c>
      <c r="AT370" s="72">
        <v>27</v>
      </c>
      <c r="AU370" s="72">
        <v>27</v>
      </c>
      <c r="AV370" s="72">
        <v>27</v>
      </c>
      <c r="AW370" s="72">
        <v>64</v>
      </c>
      <c r="AX370" s="72">
        <v>64</v>
      </c>
      <c r="AY370" s="72">
        <v>64</v>
      </c>
      <c r="AZ370" s="72">
        <v>64</v>
      </c>
      <c r="BA370" s="72">
        <v>64</v>
      </c>
      <c r="BB370" s="72">
        <v>61</v>
      </c>
      <c r="BC370" s="72">
        <v>61</v>
      </c>
      <c r="BD370" s="72">
        <v>61</v>
      </c>
      <c r="BE370" s="72">
        <v>58</v>
      </c>
      <c r="BF370" s="72">
        <v>58</v>
      </c>
      <c r="BG370" s="72">
        <v>58</v>
      </c>
      <c r="BH370" s="72">
        <v>46</v>
      </c>
      <c r="BI370" s="72">
        <v>46</v>
      </c>
      <c r="BJ370" s="72">
        <v>46</v>
      </c>
      <c r="BK370" s="72">
        <v>48</v>
      </c>
      <c r="BL370" s="72">
        <v>48</v>
      </c>
      <c r="BM370" s="72">
        <v>40</v>
      </c>
      <c r="BN370" s="72">
        <v>38</v>
      </c>
      <c r="BO370" s="72">
        <v>40</v>
      </c>
      <c r="BP370" s="72">
        <v>40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  <c r="DQ370" s="72"/>
      <c r="DR370" s="72">
        <v>0</v>
      </c>
      <c r="DS370" s="134"/>
    </row>
    <row r="371" spans="1:123" x14ac:dyDescent="0.35">
      <c r="A371" s="7"/>
      <c r="B371" s="8" t="s">
        <v>621</v>
      </c>
      <c r="C371" s="9" t="s">
        <v>622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2"/>
      <c r="N371" s="12">
        <f t="shared" si="7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  <c r="DO371" s="72">
        <v>1</v>
      </c>
      <c r="DP371" s="72">
        <v>1</v>
      </c>
      <c r="DQ371" s="72"/>
      <c r="DR371" s="72">
        <v>1</v>
      </c>
      <c r="DS371" s="77"/>
    </row>
    <row r="372" spans="1:123" x14ac:dyDescent="0.35">
      <c r="A372" s="7"/>
      <c r="B372" s="8" t="s">
        <v>623</v>
      </c>
      <c r="C372" s="9" t="s">
        <v>624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</v>
      </c>
      <c r="J372" s="10"/>
      <c r="K372" s="10"/>
      <c r="L372" s="8"/>
      <c r="M372" s="12">
        <v>724.8</v>
      </c>
      <c r="N372" s="12">
        <f t="shared" si="7"/>
        <v>0</v>
      </c>
      <c r="O372" s="11">
        <v>4</v>
      </c>
      <c r="P372" s="11">
        <v>4</v>
      </c>
      <c r="Q372" s="11">
        <v>4</v>
      </c>
      <c r="R372" s="11">
        <v>4</v>
      </c>
      <c r="S372" s="11">
        <v>4</v>
      </c>
      <c r="T372" s="11">
        <v>4</v>
      </c>
      <c r="U372" s="11">
        <v>4</v>
      </c>
      <c r="V372" s="11">
        <v>4</v>
      </c>
      <c r="W372" s="11">
        <v>4</v>
      </c>
      <c r="X372" s="11">
        <v>4</v>
      </c>
      <c r="Y372" s="11">
        <v>4</v>
      </c>
      <c r="Z372" s="11">
        <v>4</v>
      </c>
      <c r="AA372" s="11">
        <v>4</v>
      </c>
      <c r="AB372" s="11">
        <v>4</v>
      </c>
      <c r="AC372" s="11">
        <v>4</v>
      </c>
      <c r="AD372" s="11">
        <v>4</v>
      </c>
      <c r="AE372" s="11">
        <v>4</v>
      </c>
      <c r="AF372" s="11">
        <v>4</v>
      </c>
      <c r="AG372" s="11">
        <v>4</v>
      </c>
      <c r="AH372" s="11">
        <v>4</v>
      </c>
      <c r="AI372" s="11">
        <v>4</v>
      </c>
      <c r="AJ372" s="11">
        <v>4</v>
      </c>
      <c r="AK372" s="11">
        <v>4</v>
      </c>
      <c r="AL372" s="11">
        <v>4</v>
      </c>
      <c r="AM372" s="11">
        <v>4</v>
      </c>
      <c r="AN372" s="72">
        <v>4</v>
      </c>
      <c r="AO372" s="72">
        <v>4</v>
      </c>
      <c r="AP372" s="72">
        <v>4</v>
      </c>
      <c r="AQ372" s="72">
        <v>4</v>
      </c>
      <c r="AR372" s="72">
        <v>4</v>
      </c>
      <c r="AS372" s="72">
        <v>4</v>
      </c>
      <c r="AT372" s="72">
        <v>4</v>
      </c>
      <c r="AU372" s="72">
        <v>4</v>
      </c>
      <c r="AV372" s="72">
        <v>4</v>
      </c>
      <c r="AW372" s="72">
        <v>4</v>
      </c>
      <c r="AX372" s="72">
        <v>4</v>
      </c>
      <c r="AY372" s="72">
        <v>4</v>
      </c>
      <c r="AZ372" s="72">
        <v>4</v>
      </c>
      <c r="BA372" s="72">
        <v>4</v>
      </c>
      <c r="BB372" s="72">
        <v>4</v>
      </c>
      <c r="BC372" s="72">
        <v>4</v>
      </c>
      <c r="BD372" s="72">
        <v>4</v>
      </c>
      <c r="BE372" s="72">
        <v>4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  <c r="DQ372" s="72"/>
      <c r="DR372" s="72">
        <v>0</v>
      </c>
      <c r="DS372" s="137"/>
    </row>
    <row r="373" spans="1:123" x14ac:dyDescent="0.35">
      <c r="A373" s="7"/>
      <c r="B373" s="8" t="s">
        <v>625</v>
      </c>
      <c r="C373" s="9" t="s">
        <v>626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/>
      <c r="K373" s="10"/>
      <c r="L373" s="8"/>
      <c r="M373" s="12">
        <v>525</v>
      </c>
      <c r="N373" s="12">
        <f t="shared" si="7"/>
        <v>525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6</v>
      </c>
      <c r="AD373" s="11">
        <v>6</v>
      </c>
      <c r="AE373" s="11">
        <v>6</v>
      </c>
      <c r="AF373" s="11">
        <v>6</v>
      </c>
      <c r="AG373" s="11">
        <v>6</v>
      </c>
      <c r="AH373" s="11">
        <v>6</v>
      </c>
      <c r="AI373" s="11">
        <v>6</v>
      </c>
      <c r="AJ373" s="11">
        <v>4</v>
      </c>
      <c r="AK373" s="11">
        <v>4</v>
      </c>
      <c r="AL373" s="11">
        <v>4</v>
      </c>
      <c r="AM373" s="11">
        <v>4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  <c r="DQ373" s="72"/>
      <c r="DR373" s="72">
        <v>1</v>
      </c>
      <c r="DS373" s="77"/>
    </row>
    <row r="374" spans="1:123" ht="26.55" x14ac:dyDescent="0.35">
      <c r="A374" s="7"/>
      <c r="B374" s="8" t="s">
        <v>627</v>
      </c>
      <c r="C374" s="9" t="s">
        <v>628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18</v>
      </c>
      <c r="J374" s="10"/>
      <c r="K374" s="10"/>
      <c r="L374" s="8" t="s">
        <v>629</v>
      </c>
      <c r="M374" s="12">
        <v>433.49</v>
      </c>
      <c r="N374" s="12">
        <f t="shared" si="7"/>
        <v>26876.38</v>
      </c>
      <c r="O374" s="11">
        <v>33</v>
      </c>
      <c r="P374" s="11">
        <v>33</v>
      </c>
      <c r="Q374" s="11">
        <v>38</v>
      </c>
      <c r="R374" s="11">
        <v>38</v>
      </c>
      <c r="S374" s="11">
        <v>38</v>
      </c>
      <c r="T374" s="11">
        <v>35</v>
      </c>
      <c r="U374" s="11">
        <v>24</v>
      </c>
      <c r="V374" s="11">
        <v>29</v>
      </c>
      <c r="W374" s="11">
        <v>29</v>
      </c>
      <c r="X374" s="11">
        <v>22</v>
      </c>
      <c r="Y374" s="11">
        <v>7</v>
      </c>
      <c r="Z374" s="11">
        <v>12</v>
      </c>
      <c r="AA374" s="11">
        <v>12</v>
      </c>
      <c r="AB374" s="11">
        <v>22</v>
      </c>
      <c r="AC374" s="11">
        <v>22</v>
      </c>
      <c r="AD374" s="11">
        <v>10</v>
      </c>
      <c r="AE374" s="11">
        <v>10</v>
      </c>
      <c r="AF374" s="11">
        <v>22</v>
      </c>
      <c r="AG374" s="11">
        <v>22</v>
      </c>
      <c r="AH374" s="11">
        <v>17</v>
      </c>
      <c r="AI374" s="11">
        <v>17</v>
      </c>
      <c r="AJ374" s="11">
        <v>18</v>
      </c>
      <c r="AK374" s="11">
        <v>18</v>
      </c>
      <c r="AL374" s="11">
        <v>18</v>
      </c>
      <c r="AM374" s="11">
        <v>18</v>
      </c>
      <c r="AN374" s="72">
        <v>17</v>
      </c>
      <c r="AO374" s="72">
        <v>100</v>
      </c>
      <c r="AP374" s="72">
        <v>100</v>
      </c>
      <c r="AQ374" s="72">
        <v>99</v>
      </c>
      <c r="AR374" s="72">
        <v>94</v>
      </c>
      <c r="AS374" s="72">
        <v>93</v>
      </c>
      <c r="AT374" s="72">
        <v>93</v>
      </c>
      <c r="AU374" s="72">
        <v>93</v>
      </c>
      <c r="AV374" s="72">
        <v>93</v>
      </c>
      <c r="AW374" s="72">
        <v>51</v>
      </c>
      <c r="AX374" s="72">
        <v>51</v>
      </c>
      <c r="AY374" s="72">
        <v>51</v>
      </c>
      <c r="AZ374" s="72">
        <v>50</v>
      </c>
      <c r="BA374" s="72">
        <v>47</v>
      </c>
      <c r="BB374" s="72">
        <v>43</v>
      </c>
      <c r="BC374" s="72">
        <v>42</v>
      </c>
      <c r="BD374" s="72">
        <v>33</v>
      </c>
      <c r="BE374" s="72">
        <v>24</v>
      </c>
      <c r="BF374" s="72">
        <v>17</v>
      </c>
      <c r="BG374" s="72">
        <v>17</v>
      </c>
      <c r="BH374" s="72">
        <v>13</v>
      </c>
      <c r="BI374" s="72">
        <v>13</v>
      </c>
      <c r="BJ374" s="72">
        <v>6</v>
      </c>
      <c r="BK374" s="72">
        <v>13</v>
      </c>
      <c r="BL374" s="72">
        <v>13</v>
      </c>
      <c r="BM374" s="72">
        <v>12</v>
      </c>
      <c r="BN374" s="72">
        <v>9</v>
      </c>
      <c r="BO374" s="72">
        <v>28</v>
      </c>
      <c r="BP374" s="72">
        <v>20</v>
      </c>
      <c r="BQ374" s="72">
        <v>8</v>
      </c>
      <c r="BR374" s="72">
        <v>8</v>
      </c>
      <c r="BS374" s="72">
        <v>8</v>
      </c>
      <c r="BT374" s="72">
        <v>8</v>
      </c>
      <c r="BU374" s="72">
        <v>8</v>
      </c>
      <c r="BV374" s="72">
        <v>8</v>
      </c>
      <c r="BW374" s="72">
        <v>8</v>
      </c>
      <c r="BX374" s="72">
        <v>8</v>
      </c>
      <c r="BY374" s="72">
        <v>7</v>
      </c>
      <c r="BZ374" s="72">
        <v>2</v>
      </c>
      <c r="CA374" s="72">
        <v>1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32</v>
      </c>
      <c r="CK374" s="72">
        <v>32</v>
      </c>
      <c r="CL374" s="72">
        <v>23</v>
      </c>
      <c r="CM374" s="72">
        <v>23</v>
      </c>
      <c r="CN374" s="72">
        <v>22</v>
      </c>
      <c r="CO374" s="72">
        <v>21</v>
      </c>
      <c r="CP374" s="72">
        <v>17</v>
      </c>
      <c r="CQ374" s="72">
        <v>17</v>
      </c>
      <c r="CR374" s="72">
        <v>35</v>
      </c>
      <c r="CS374" s="72">
        <v>32</v>
      </c>
      <c r="CT374" s="72">
        <v>32</v>
      </c>
      <c r="CU374" s="72">
        <v>32</v>
      </c>
      <c r="CV374" s="72">
        <v>51</v>
      </c>
      <c r="CW374" s="72">
        <v>49</v>
      </c>
      <c r="CX374" s="72">
        <v>48</v>
      </c>
      <c r="CY374" s="72">
        <v>88</v>
      </c>
      <c r="CZ374" s="72">
        <v>88</v>
      </c>
      <c r="DA374" s="72">
        <v>88</v>
      </c>
      <c r="DB374" s="72">
        <v>88</v>
      </c>
      <c r="DC374" s="72">
        <v>88</v>
      </c>
      <c r="DD374" s="72">
        <v>82</v>
      </c>
      <c r="DE374" s="72">
        <v>80</v>
      </c>
      <c r="DF374" s="72">
        <v>78</v>
      </c>
      <c r="DG374" s="72">
        <v>78</v>
      </c>
      <c r="DH374" s="72">
        <v>74</v>
      </c>
      <c r="DI374" s="72">
        <v>73</v>
      </c>
      <c r="DJ374" s="72">
        <v>73</v>
      </c>
      <c r="DK374" s="72">
        <v>72</v>
      </c>
      <c r="DL374" s="72">
        <v>72</v>
      </c>
      <c r="DM374" s="72">
        <v>62</v>
      </c>
      <c r="DN374" s="72">
        <v>62</v>
      </c>
      <c r="DO374" s="72">
        <v>62</v>
      </c>
      <c r="DP374" s="72">
        <v>62</v>
      </c>
      <c r="DQ374" s="72">
        <v>33</v>
      </c>
      <c r="DR374" s="72">
        <v>29</v>
      </c>
      <c r="DS374" s="90" t="s">
        <v>1593</v>
      </c>
    </row>
    <row r="375" spans="1:123" x14ac:dyDescent="0.35">
      <c r="A375" s="7"/>
      <c r="B375" s="8" t="s">
        <v>630</v>
      </c>
      <c r="C375" s="9" t="s">
        <v>631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 t="s">
        <v>632</v>
      </c>
      <c r="M375" s="12"/>
      <c r="N375" s="12">
        <f t="shared" si="7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1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  <c r="DQ375" s="72"/>
      <c r="DR375" s="72">
        <v>0</v>
      </c>
      <c r="DS375" s="77"/>
    </row>
    <row r="376" spans="1:123" x14ac:dyDescent="0.35">
      <c r="A376" s="7"/>
      <c r="B376" s="8" t="s">
        <v>633</v>
      </c>
      <c r="C376" s="9" t="s">
        <v>634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5</v>
      </c>
      <c r="J376" s="10"/>
      <c r="K376" s="10"/>
      <c r="L376" s="8"/>
      <c r="M376" s="12">
        <v>813.96</v>
      </c>
      <c r="N376" s="12">
        <f t="shared" si="7"/>
        <v>0</v>
      </c>
      <c r="O376" s="11">
        <v>5</v>
      </c>
      <c r="P376" s="11">
        <v>5</v>
      </c>
      <c r="Q376" s="11">
        <v>5</v>
      </c>
      <c r="R376" s="11">
        <v>5</v>
      </c>
      <c r="S376" s="11">
        <v>5</v>
      </c>
      <c r="T376" s="11">
        <v>5</v>
      </c>
      <c r="U376" s="11">
        <v>5</v>
      </c>
      <c r="V376" s="11">
        <v>0</v>
      </c>
      <c r="W376" s="11">
        <v>0</v>
      </c>
      <c r="X376" s="11">
        <v>0</v>
      </c>
      <c r="Y376" s="11">
        <v>0</v>
      </c>
      <c r="Z376" s="11">
        <v>5</v>
      </c>
      <c r="AA376" s="11">
        <v>5</v>
      </c>
      <c r="AB376" s="11">
        <v>5</v>
      </c>
      <c r="AC376" s="11">
        <v>5</v>
      </c>
      <c r="AD376" s="11">
        <v>5</v>
      </c>
      <c r="AE376" s="11">
        <v>5</v>
      </c>
      <c r="AF376" s="11">
        <v>5</v>
      </c>
      <c r="AG376" s="11">
        <v>5</v>
      </c>
      <c r="AH376" s="11">
        <v>5</v>
      </c>
      <c r="AI376" s="11">
        <v>5</v>
      </c>
      <c r="AJ376" s="11">
        <v>5</v>
      </c>
      <c r="AK376" s="11">
        <v>5</v>
      </c>
      <c r="AL376" s="11">
        <v>5</v>
      </c>
      <c r="AM376" s="11">
        <v>5</v>
      </c>
      <c r="AN376" s="72">
        <v>5</v>
      </c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3</v>
      </c>
      <c r="BO376" s="72">
        <v>3</v>
      </c>
      <c r="BP376" s="72">
        <v>3</v>
      </c>
      <c r="BQ376" s="72">
        <v>3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  <c r="DQ376" s="72"/>
      <c r="DR376" s="72">
        <v>0</v>
      </c>
      <c r="DS376" s="137"/>
    </row>
    <row r="377" spans="1:123" x14ac:dyDescent="0.35">
      <c r="A377" s="7"/>
      <c r="B377" s="21" t="s">
        <v>635</v>
      </c>
      <c r="C377" s="22" t="s">
        <v>636</v>
      </c>
      <c r="D377" s="10" t="s">
        <v>594</v>
      </c>
      <c r="E377" s="8" t="s">
        <v>1205</v>
      </c>
      <c r="F377" s="23">
        <v>1006</v>
      </c>
      <c r="G377" s="10" t="s">
        <v>40</v>
      </c>
      <c r="H377" s="10" t="s">
        <v>41</v>
      </c>
      <c r="I377" s="11">
        <v>0</v>
      </c>
      <c r="J377" s="23"/>
      <c r="K377" s="10"/>
      <c r="L377" s="8"/>
      <c r="M377" s="12">
        <v>16.45</v>
      </c>
      <c r="N377" s="12">
        <f t="shared" si="7"/>
        <v>855.4</v>
      </c>
      <c r="O377" s="11">
        <v>32</v>
      </c>
      <c r="P377" s="11">
        <v>32</v>
      </c>
      <c r="Q377" s="11">
        <v>32</v>
      </c>
      <c r="R377" s="11">
        <v>32</v>
      </c>
      <c r="S377" s="11">
        <v>32</v>
      </c>
      <c r="T377" s="11">
        <v>32</v>
      </c>
      <c r="U377" s="11">
        <v>32</v>
      </c>
      <c r="V377" s="11">
        <v>32</v>
      </c>
      <c r="W377" s="11">
        <v>32</v>
      </c>
      <c r="X377" s="11">
        <v>32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0</v>
      </c>
      <c r="AK377" s="11">
        <v>0</v>
      </c>
      <c r="AL377" s="11">
        <v>0</v>
      </c>
      <c r="AM377" s="11">
        <v>0</v>
      </c>
      <c r="AN377" s="72">
        <v>0</v>
      </c>
      <c r="AO377" s="72">
        <v>0</v>
      </c>
      <c r="AP377" s="72">
        <v>0</v>
      </c>
      <c r="AQ377" s="72">
        <v>0</v>
      </c>
      <c r="AR377" s="72">
        <v>0</v>
      </c>
      <c r="AS377" s="72">
        <v>0</v>
      </c>
      <c r="AT377" s="72">
        <v>0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0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52</v>
      </c>
      <c r="DL377" s="72">
        <v>52</v>
      </c>
      <c r="DM377" s="72">
        <v>52</v>
      </c>
      <c r="DN377" s="72">
        <v>52</v>
      </c>
      <c r="DO377" s="72">
        <v>52</v>
      </c>
      <c r="DP377" s="72">
        <v>52</v>
      </c>
      <c r="DQ377" s="72">
        <v>52</v>
      </c>
      <c r="DR377" s="72">
        <v>0</v>
      </c>
      <c r="DS377" s="77" t="s">
        <v>1594</v>
      </c>
    </row>
    <row r="378" spans="1:123" x14ac:dyDescent="0.35">
      <c r="A378" s="7"/>
      <c r="B378" s="8" t="s">
        <v>637</v>
      </c>
      <c r="C378" s="9" t="s">
        <v>638</v>
      </c>
      <c r="D378" s="10" t="s">
        <v>594</v>
      </c>
      <c r="E378" s="8" t="s">
        <v>1205</v>
      </c>
      <c r="F378" s="10">
        <v>1006</v>
      </c>
      <c r="G378" s="10" t="s">
        <v>40</v>
      </c>
      <c r="H378" s="10" t="s">
        <v>41</v>
      </c>
      <c r="I378" s="11">
        <v>2</v>
      </c>
      <c r="J378" s="10"/>
      <c r="K378" s="10" t="s">
        <v>42</v>
      </c>
      <c r="L378" s="8"/>
      <c r="M378" s="12">
        <v>17</v>
      </c>
      <c r="N378" s="12">
        <f t="shared" si="7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2</v>
      </c>
      <c r="BK378" s="72">
        <v>2</v>
      </c>
      <c r="BL378" s="72">
        <v>2</v>
      </c>
      <c r="BM378" s="72">
        <v>2</v>
      </c>
      <c r="BN378" s="72">
        <v>2</v>
      </c>
      <c r="BO378" s="72">
        <v>2</v>
      </c>
      <c r="BP378" s="72">
        <v>2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2</v>
      </c>
      <c r="CM378" s="72">
        <v>2</v>
      </c>
      <c r="CN378" s="72">
        <v>2</v>
      </c>
      <c r="CO378" s="72">
        <v>2</v>
      </c>
      <c r="CP378" s="72">
        <v>2</v>
      </c>
      <c r="CQ378" s="72">
        <v>2</v>
      </c>
      <c r="CR378" s="72">
        <v>2</v>
      </c>
      <c r="CS378" s="72">
        <v>2</v>
      </c>
      <c r="CT378" s="72">
        <v>2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  <c r="DQ378" s="72"/>
      <c r="DR378" s="72">
        <v>0</v>
      </c>
      <c r="DS378" s="137"/>
    </row>
    <row r="379" spans="1:123" x14ac:dyDescent="0.35">
      <c r="A379" s="7"/>
      <c r="B379" s="77" t="s">
        <v>1352</v>
      </c>
      <c r="C379" s="78" t="s">
        <v>1359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8"/>
      <c r="M379" s="12">
        <v>200</v>
      </c>
      <c r="N379" s="12">
        <f t="shared" si="7"/>
        <v>400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>
        <v>6</v>
      </c>
      <c r="BK379" s="72">
        <v>4</v>
      </c>
      <c r="BL379" s="72">
        <v>4</v>
      </c>
      <c r="BM379" s="72">
        <v>2</v>
      </c>
      <c r="BN379" s="72">
        <v>2</v>
      </c>
      <c r="BO379" s="72">
        <v>2</v>
      </c>
      <c r="BP379" s="72">
        <v>2</v>
      </c>
      <c r="BQ379" s="72">
        <v>2</v>
      </c>
      <c r="BR379" s="72">
        <v>2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2</v>
      </c>
      <c r="CK379" s="72">
        <v>2</v>
      </c>
      <c r="CL379" s="72">
        <v>2</v>
      </c>
      <c r="CM379" s="72">
        <v>2</v>
      </c>
      <c r="CN379" s="72">
        <v>2</v>
      </c>
      <c r="CO379" s="72">
        <v>2</v>
      </c>
      <c r="CP379" s="72">
        <v>2</v>
      </c>
      <c r="CQ379" s="72">
        <v>2</v>
      </c>
      <c r="CR379" s="72">
        <v>2</v>
      </c>
      <c r="CS379" s="72">
        <v>2</v>
      </c>
      <c r="CT379" s="72">
        <v>2</v>
      </c>
      <c r="CU379" s="72">
        <v>2</v>
      </c>
      <c r="CV379" s="72">
        <v>2</v>
      </c>
      <c r="CW379" s="72">
        <v>2</v>
      </c>
      <c r="CX379" s="72">
        <v>2</v>
      </c>
      <c r="CY379" s="72">
        <v>2</v>
      </c>
      <c r="CZ379" s="72">
        <v>2</v>
      </c>
      <c r="DA379" s="72">
        <v>2</v>
      </c>
      <c r="DB379" s="72">
        <v>2</v>
      </c>
      <c r="DC379" s="72">
        <v>2</v>
      </c>
      <c r="DD379" s="72">
        <v>2</v>
      </c>
      <c r="DE379" s="72">
        <v>2</v>
      </c>
      <c r="DF379" s="72">
        <v>2</v>
      </c>
      <c r="DG379" s="72">
        <v>2</v>
      </c>
      <c r="DH379" s="72">
        <v>2</v>
      </c>
      <c r="DI379" s="72">
        <v>2</v>
      </c>
      <c r="DJ379" s="72">
        <v>2</v>
      </c>
      <c r="DK379" s="72">
        <v>2</v>
      </c>
      <c r="DL379" s="72">
        <v>2</v>
      </c>
      <c r="DM379" s="72">
        <v>2</v>
      </c>
      <c r="DN379" s="72">
        <v>2</v>
      </c>
      <c r="DO379" s="72">
        <v>2</v>
      </c>
      <c r="DP379" s="72">
        <v>2</v>
      </c>
      <c r="DQ379" s="72"/>
      <c r="DR379" s="72">
        <v>2</v>
      </c>
      <c r="DS379" s="77"/>
    </row>
    <row r="380" spans="1:123" x14ac:dyDescent="0.35">
      <c r="A380" s="7"/>
      <c r="B380" s="77" t="s">
        <v>1171</v>
      </c>
      <c r="C380" s="78" t="s">
        <v>1180</v>
      </c>
      <c r="D380" s="10" t="s">
        <v>594</v>
      </c>
      <c r="E380" s="8" t="s">
        <v>1206</v>
      </c>
      <c r="F380" s="10">
        <v>1006</v>
      </c>
      <c r="G380" s="10" t="s">
        <v>40</v>
      </c>
      <c r="H380" s="10" t="s">
        <v>41</v>
      </c>
      <c r="I380" s="11"/>
      <c r="J380" s="10"/>
      <c r="K380" s="10" t="s">
        <v>153</v>
      </c>
      <c r="L380" s="8"/>
      <c r="M380" s="12">
        <v>207.53</v>
      </c>
      <c r="N380" s="12">
        <f t="shared" si="7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>
        <v>5</v>
      </c>
      <c r="AP380" s="72">
        <v>5</v>
      </c>
      <c r="AQ380" s="72">
        <v>5</v>
      </c>
      <c r="AR380" s="72">
        <v>5</v>
      </c>
      <c r="AS380" s="72">
        <v>5</v>
      </c>
      <c r="AT380" s="72">
        <v>5</v>
      </c>
      <c r="AU380" s="72">
        <v>5</v>
      </c>
      <c r="AV380" s="72">
        <v>5</v>
      </c>
      <c r="AW380" s="72">
        <v>5</v>
      </c>
      <c r="AX380" s="72">
        <v>5</v>
      </c>
      <c r="AY380" s="72">
        <v>5</v>
      </c>
      <c r="AZ380" s="72">
        <v>5</v>
      </c>
      <c r="BA380" s="72">
        <v>5</v>
      </c>
      <c r="BB380" s="72">
        <v>5</v>
      </c>
      <c r="BC380" s="72">
        <v>5</v>
      </c>
      <c r="BD380" s="72">
        <v>5</v>
      </c>
      <c r="BE380" s="72">
        <v>5</v>
      </c>
      <c r="BF380" s="72">
        <v>5</v>
      </c>
      <c r="BG380" s="72">
        <v>5</v>
      </c>
      <c r="BH380" s="72">
        <v>5</v>
      </c>
      <c r="BI380" s="72">
        <v>5</v>
      </c>
      <c r="BJ380" s="72">
        <v>5</v>
      </c>
      <c r="BK380" s="72">
        <v>5</v>
      </c>
      <c r="BL380" s="72">
        <v>5</v>
      </c>
      <c r="BM380" s="72">
        <v>5</v>
      </c>
      <c r="BN380" s="72">
        <v>5</v>
      </c>
      <c r="BO380" s="72">
        <v>5</v>
      </c>
      <c r="BP380" s="72">
        <v>5</v>
      </c>
      <c r="BQ380" s="72">
        <v>5</v>
      </c>
      <c r="BR380" s="72">
        <v>5</v>
      </c>
      <c r="BS380" s="72">
        <v>5</v>
      </c>
      <c r="BT380" s="72">
        <v>5</v>
      </c>
      <c r="BU380" s="72">
        <v>5</v>
      </c>
      <c r="BV380" s="72">
        <v>5</v>
      </c>
      <c r="BW380" s="72">
        <v>5</v>
      </c>
      <c r="BX380" s="72">
        <v>5</v>
      </c>
      <c r="BY380" s="72">
        <v>5</v>
      </c>
      <c r="BZ380" s="72">
        <v>5</v>
      </c>
      <c r="CA380" s="72">
        <v>5</v>
      </c>
      <c r="CB380" s="72">
        <v>5</v>
      </c>
      <c r="CC380" s="72">
        <v>5</v>
      </c>
      <c r="CD380" s="72">
        <v>5</v>
      </c>
      <c r="CE380" s="72">
        <v>5</v>
      </c>
      <c r="CF380" s="72">
        <v>5</v>
      </c>
      <c r="CG380" s="72">
        <v>5</v>
      </c>
      <c r="CH380" s="72">
        <v>5</v>
      </c>
      <c r="CI380" s="72">
        <v>5</v>
      </c>
      <c r="CJ380" s="72">
        <v>5</v>
      </c>
      <c r="CK380" s="72">
        <v>5</v>
      </c>
      <c r="CL380" s="72">
        <v>5</v>
      </c>
      <c r="CM380" s="72">
        <v>5</v>
      </c>
      <c r="CN380" s="72">
        <v>5</v>
      </c>
      <c r="CO380" s="72">
        <v>5</v>
      </c>
      <c r="CP380" s="72">
        <v>5</v>
      </c>
      <c r="CQ380" s="72">
        <v>5</v>
      </c>
      <c r="CR380" s="72">
        <v>5</v>
      </c>
      <c r="CS380" s="72">
        <v>5</v>
      </c>
      <c r="CT380" s="72">
        <v>5</v>
      </c>
      <c r="CU380" s="72">
        <v>5</v>
      </c>
      <c r="CV380" s="72">
        <v>5</v>
      </c>
      <c r="CW380" s="72">
        <v>5</v>
      </c>
      <c r="CX380" s="72">
        <v>5</v>
      </c>
      <c r="CY380" s="72">
        <v>5</v>
      </c>
      <c r="CZ380" s="72">
        <v>5</v>
      </c>
      <c r="DA380" s="72">
        <v>5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/>
      <c r="DR380" s="72">
        <v>0</v>
      </c>
      <c r="DS380" s="77"/>
    </row>
    <row r="381" spans="1:123" x14ac:dyDescent="0.35">
      <c r="A381" s="7"/>
      <c r="B381" s="77" t="s">
        <v>1486</v>
      </c>
      <c r="C381" s="78" t="s">
        <v>1180</v>
      </c>
      <c r="D381" s="10" t="s">
        <v>594</v>
      </c>
      <c r="E381" s="8" t="s">
        <v>1206</v>
      </c>
      <c r="F381" s="10">
        <v>1006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131.33000000000001</v>
      </c>
      <c r="N381" s="12">
        <f t="shared" si="7"/>
        <v>33751.810000000005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>
        <v>329</v>
      </c>
      <c r="CK381" s="72">
        <v>329</v>
      </c>
      <c r="CL381" s="72">
        <v>329</v>
      </c>
      <c r="CM381" s="72">
        <v>329</v>
      </c>
      <c r="CN381" s="72">
        <v>313</v>
      </c>
      <c r="CO381" s="72">
        <v>313</v>
      </c>
      <c r="CP381" s="72">
        <v>312</v>
      </c>
      <c r="CQ381" s="72">
        <v>312</v>
      </c>
      <c r="CR381" s="72">
        <v>312</v>
      </c>
      <c r="CS381" s="72">
        <v>252</v>
      </c>
      <c r="CT381" s="72">
        <v>252</v>
      </c>
      <c r="CU381" s="72">
        <v>252</v>
      </c>
      <c r="CV381" s="72">
        <v>440</v>
      </c>
      <c r="CW381" s="72">
        <v>440</v>
      </c>
      <c r="CX381" s="72">
        <v>436</v>
      </c>
      <c r="CY381" s="72">
        <v>436</v>
      </c>
      <c r="CZ381" s="72">
        <v>436</v>
      </c>
      <c r="DA381" s="72">
        <v>436</v>
      </c>
      <c r="DB381" s="72">
        <v>426</v>
      </c>
      <c r="DC381" s="72">
        <v>426</v>
      </c>
      <c r="DD381" s="72">
        <v>426</v>
      </c>
      <c r="DE381" s="72">
        <v>426</v>
      </c>
      <c r="DF381" s="72">
        <v>426</v>
      </c>
      <c r="DG381" s="72">
        <v>276</v>
      </c>
      <c r="DH381" s="72">
        <v>276</v>
      </c>
      <c r="DI381" s="72">
        <v>268</v>
      </c>
      <c r="DJ381" s="72">
        <v>268</v>
      </c>
      <c r="DK381" s="72">
        <v>260</v>
      </c>
      <c r="DL381" s="72">
        <v>260</v>
      </c>
      <c r="DM381" s="72">
        <v>260</v>
      </c>
      <c r="DN381" s="72">
        <v>260</v>
      </c>
      <c r="DO381" s="72">
        <v>257</v>
      </c>
      <c r="DP381" s="72">
        <v>257</v>
      </c>
      <c r="DQ381" s="72"/>
      <c r="DR381" s="72">
        <v>257</v>
      </c>
      <c r="DS381" s="137"/>
    </row>
    <row r="382" spans="1:123" x14ac:dyDescent="0.35">
      <c r="A382" s="7"/>
      <c r="B382" s="8" t="s">
        <v>639</v>
      </c>
      <c r="C382" s="9" t="s">
        <v>640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/>
      <c r="L382" s="8"/>
      <c r="M382" s="12">
        <v>460</v>
      </c>
      <c r="N382" s="12">
        <f t="shared" si="7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0</v>
      </c>
      <c r="DP382" s="72">
        <v>0</v>
      </c>
      <c r="DQ382" s="72"/>
      <c r="DR382" s="72">
        <v>0</v>
      </c>
      <c r="DS382" s="137"/>
    </row>
    <row r="383" spans="1:123" x14ac:dyDescent="0.35">
      <c r="A383" s="7"/>
      <c r="B383" s="77" t="s">
        <v>1172</v>
      </c>
      <c r="C383" s="9" t="s">
        <v>1181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/>
      <c r="J383" s="10"/>
      <c r="K383" s="10"/>
      <c r="L383" s="8"/>
      <c r="M383" s="12">
        <v>395</v>
      </c>
      <c r="N383" s="12">
        <f t="shared" si="7"/>
        <v>395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>
        <v>32</v>
      </c>
      <c r="AP383" s="72">
        <v>32</v>
      </c>
      <c r="AQ383" s="72">
        <v>32</v>
      </c>
      <c r="AR383" s="72">
        <v>32</v>
      </c>
      <c r="AS383" s="72">
        <v>32</v>
      </c>
      <c r="AT383" s="72">
        <v>32</v>
      </c>
      <c r="AU383" s="72">
        <v>32</v>
      </c>
      <c r="AV383" s="72">
        <v>32</v>
      </c>
      <c r="AW383" s="72">
        <v>32</v>
      </c>
      <c r="AX383" s="72">
        <v>32</v>
      </c>
      <c r="AY383" s="72">
        <v>32</v>
      </c>
      <c r="AZ383" s="72">
        <v>32</v>
      </c>
      <c r="BA383" s="72">
        <v>32</v>
      </c>
      <c r="BB383" s="72">
        <v>32</v>
      </c>
      <c r="BC383" s="72">
        <v>32</v>
      </c>
      <c r="BD383" s="72">
        <v>32</v>
      </c>
      <c r="BE383" s="72">
        <v>32</v>
      </c>
      <c r="BF383" s="72">
        <v>32</v>
      </c>
      <c r="BG383" s="72">
        <v>32</v>
      </c>
      <c r="BH383" s="72">
        <v>29</v>
      </c>
      <c r="BI383" s="72">
        <v>29</v>
      </c>
      <c r="BJ383" s="72">
        <v>29</v>
      </c>
      <c r="BK383" s="72">
        <v>29</v>
      </c>
      <c r="BL383" s="72">
        <v>29</v>
      </c>
      <c r="BM383" s="72">
        <v>29</v>
      </c>
      <c r="BN383" s="72">
        <v>29</v>
      </c>
      <c r="BO383" s="72">
        <v>29</v>
      </c>
      <c r="BP383" s="72">
        <v>26</v>
      </c>
      <c r="BQ383" s="72">
        <v>24</v>
      </c>
      <c r="BR383" s="72">
        <v>24</v>
      </c>
      <c r="BS383" s="72">
        <v>24</v>
      </c>
      <c r="BT383" s="72">
        <v>24</v>
      </c>
      <c r="BU383" s="72">
        <v>24</v>
      </c>
      <c r="BV383" s="72">
        <v>24</v>
      </c>
      <c r="BW383" s="72">
        <v>23</v>
      </c>
      <c r="BX383" s="72">
        <v>23</v>
      </c>
      <c r="BY383" s="72">
        <v>13</v>
      </c>
      <c r="BZ383" s="72">
        <v>13</v>
      </c>
      <c r="CA383" s="72">
        <v>13</v>
      </c>
      <c r="CB383" s="72">
        <v>13</v>
      </c>
      <c r="CC383" s="72">
        <v>13</v>
      </c>
      <c r="CD383" s="72">
        <v>13</v>
      </c>
      <c r="CE383" s="72">
        <v>13</v>
      </c>
      <c r="CF383" s="72">
        <v>12</v>
      </c>
      <c r="CG383" s="72">
        <v>12</v>
      </c>
      <c r="CH383" s="72">
        <v>12</v>
      </c>
      <c r="CI383" s="72">
        <v>12</v>
      </c>
      <c r="CJ383" s="72">
        <v>12</v>
      </c>
      <c r="CK383" s="72">
        <v>12</v>
      </c>
      <c r="CL383" s="72">
        <v>9</v>
      </c>
      <c r="CM383" s="72">
        <v>9</v>
      </c>
      <c r="CN383" s="72">
        <v>9</v>
      </c>
      <c r="CO383" s="72">
        <v>9</v>
      </c>
      <c r="CP383" s="72">
        <v>9</v>
      </c>
      <c r="CQ383" s="72">
        <v>9</v>
      </c>
      <c r="CR383" s="72">
        <v>9</v>
      </c>
      <c r="CS383" s="72">
        <v>9</v>
      </c>
      <c r="CT383" s="72">
        <v>9</v>
      </c>
      <c r="CU383" s="72">
        <v>9</v>
      </c>
      <c r="CV383" s="72">
        <v>9</v>
      </c>
      <c r="CW383" s="72">
        <v>9</v>
      </c>
      <c r="CX383" s="72">
        <v>9</v>
      </c>
      <c r="CY383" s="72">
        <v>9</v>
      </c>
      <c r="CZ383" s="72">
        <v>9</v>
      </c>
      <c r="DA383" s="72">
        <v>9</v>
      </c>
      <c r="DB383" s="72">
        <v>6</v>
      </c>
      <c r="DC383" s="72">
        <v>6</v>
      </c>
      <c r="DD383" s="72">
        <v>6</v>
      </c>
      <c r="DE383" s="72">
        <v>6</v>
      </c>
      <c r="DF383" s="72">
        <v>6</v>
      </c>
      <c r="DG383" s="72">
        <v>6</v>
      </c>
      <c r="DH383" s="72">
        <v>2</v>
      </c>
      <c r="DI383" s="72">
        <v>2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  <c r="DQ383" s="72"/>
      <c r="DR383" s="72">
        <v>1</v>
      </c>
      <c r="DS383" s="77"/>
    </row>
    <row r="384" spans="1:123" x14ac:dyDescent="0.35">
      <c r="A384" s="7"/>
      <c r="B384" s="8" t="s">
        <v>641</v>
      </c>
      <c r="C384" s="9" t="s">
        <v>642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0</v>
      </c>
      <c r="J384" s="10"/>
      <c r="K384" s="10"/>
      <c r="L384" s="8"/>
      <c r="M384" s="12"/>
      <c r="N384" s="12">
        <f t="shared" si="7"/>
        <v>0</v>
      </c>
      <c r="O384" s="11">
        <v>3</v>
      </c>
      <c r="P384" s="11">
        <v>3</v>
      </c>
      <c r="Q384" s="11">
        <v>3</v>
      </c>
      <c r="R384" s="11">
        <v>3</v>
      </c>
      <c r="S384" s="11">
        <v>3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0</v>
      </c>
      <c r="AK384" s="11">
        <v>0</v>
      </c>
      <c r="AL384" s="11">
        <v>0</v>
      </c>
      <c r="AM384" s="11">
        <v>0</v>
      </c>
      <c r="AN384" s="72">
        <v>0</v>
      </c>
      <c r="AO384" s="72">
        <v>0</v>
      </c>
      <c r="AP384" s="72">
        <v>0</v>
      </c>
      <c r="AQ384" s="72">
        <v>0</v>
      </c>
      <c r="AR384" s="72">
        <v>0</v>
      </c>
      <c r="AS384" s="72">
        <v>0</v>
      </c>
      <c r="AT384" s="72">
        <v>0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0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  <c r="DQ384" s="72"/>
      <c r="DR384" s="72">
        <v>0</v>
      </c>
      <c r="DS384" s="77"/>
    </row>
    <row r="385" spans="1:123" x14ac:dyDescent="0.35">
      <c r="A385" s="7"/>
      <c r="B385" s="8" t="s">
        <v>643</v>
      </c>
      <c r="C385" s="9" t="s">
        <v>644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153</v>
      </c>
      <c r="L385" s="8"/>
      <c r="M385" s="12"/>
      <c r="N385" s="12">
        <f t="shared" si="7"/>
        <v>0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  <c r="DP385" s="72">
        <v>1</v>
      </c>
      <c r="DQ385" s="72"/>
      <c r="DR385" s="72">
        <v>1</v>
      </c>
      <c r="DS385" s="77"/>
    </row>
    <row r="386" spans="1:123" x14ac:dyDescent="0.35">
      <c r="A386" s="7"/>
      <c r="B386" s="8" t="s">
        <v>1173</v>
      </c>
      <c r="C386" s="9" t="s">
        <v>1182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1094.81</v>
      </c>
      <c r="N386" s="12">
        <f t="shared" si="7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5</v>
      </c>
      <c r="BO386" s="72">
        <v>5</v>
      </c>
      <c r="BP386" s="72">
        <v>5</v>
      </c>
      <c r="BQ386" s="72">
        <v>5</v>
      </c>
      <c r="BR386" s="72">
        <v>5</v>
      </c>
      <c r="BS386" s="72">
        <v>5</v>
      </c>
      <c r="BT386" s="72">
        <v>5</v>
      </c>
      <c r="BU386" s="72">
        <v>5</v>
      </c>
      <c r="BV386" s="72">
        <v>5</v>
      </c>
      <c r="BW386" s="72">
        <v>5</v>
      </c>
      <c r="BX386" s="72">
        <v>5</v>
      </c>
      <c r="BY386" s="72">
        <v>5</v>
      </c>
      <c r="BZ386" s="72">
        <v>5</v>
      </c>
      <c r="CA386" s="72">
        <v>5</v>
      </c>
      <c r="CB386" s="72">
        <v>5</v>
      </c>
      <c r="CC386" s="72">
        <v>5</v>
      </c>
      <c r="CD386" s="72">
        <v>5</v>
      </c>
      <c r="CE386" s="72">
        <v>5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/>
      <c r="DR386" s="72">
        <v>0</v>
      </c>
      <c r="DS386" s="137"/>
    </row>
    <row r="387" spans="1:123" x14ac:dyDescent="0.35">
      <c r="A387" s="7"/>
      <c r="B387" s="8" t="s">
        <v>645</v>
      </c>
      <c r="C387" s="9" t="s">
        <v>646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42</v>
      </c>
      <c r="L387" s="8" t="s">
        <v>647</v>
      </c>
      <c r="M387" s="12">
        <v>1775</v>
      </c>
      <c r="N387" s="12">
        <f t="shared" ref="N387:N449" si="10">M387*DP387</f>
        <v>1775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1</v>
      </c>
      <c r="BK387" s="72">
        <v>1</v>
      </c>
      <c r="BL387" s="72">
        <v>1</v>
      </c>
      <c r="BM387" s="72">
        <v>1</v>
      </c>
      <c r="BN387" s="72">
        <v>1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1</v>
      </c>
      <c r="DP387" s="72">
        <v>1</v>
      </c>
      <c r="DQ387" s="72"/>
      <c r="DR387" s="72">
        <v>1</v>
      </c>
      <c r="DS387" s="77"/>
    </row>
    <row r="388" spans="1:123" x14ac:dyDescent="0.35">
      <c r="A388" s="7"/>
      <c r="B388" s="8" t="s">
        <v>648</v>
      </c>
      <c r="C388" s="9" t="s">
        <v>649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 t="s">
        <v>42</v>
      </c>
      <c r="L388" s="8"/>
      <c r="M388" s="12">
        <v>530</v>
      </c>
      <c r="N388" s="12">
        <f t="shared" si="10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/>
      <c r="DR388" s="72">
        <v>0</v>
      </c>
      <c r="DS388" s="77"/>
    </row>
    <row r="389" spans="1:123" ht="39.85" x14ac:dyDescent="0.35">
      <c r="A389" s="7"/>
      <c r="B389" s="8" t="s">
        <v>650</v>
      </c>
      <c r="C389" s="9" t="s">
        <v>651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2</v>
      </c>
      <c r="K389" s="10" t="s">
        <v>153</v>
      </c>
      <c r="L389" s="14" t="s">
        <v>652</v>
      </c>
      <c r="M389" s="12">
        <v>875.72</v>
      </c>
      <c r="N389" s="12">
        <f t="shared" si="10"/>
        <v>0</v>
      </c>
      <c r="O389" s="11">
        <v>16</v>
      </c>
      <c r="P389" s="11">
        <v>16</v>
      </c>
      <c r="Q389" s="11">
        <v>15</v>
      </c>
      <c r="R389" s="11">
        <v>15</v>
      </c>
      <c r="S389" s="11">
        <v>15</v>
      </c>
      <c r="T389" s="11">
        <v>13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20</v>
      </c>
      <c r="AC389" s="11">
        <v>20</v>
      </c>
      <c r="AD389" s="11">
        <v>20</v>
      </c>
      <c r="AE389" s="11">
        <v>1</v>
      </c>
      <c r="AF389" s="11">
        <v>1</v>
      </c>
      <c r="AG389" s="11">
        <v>1</v>
      </c>
      <c r="AH389" s="11">
        <v>1</v>
      </c>
      <c r="AI389" s="11">
        <v>1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7</v>
      </c>
      <c r="AP389" s="72">
        <v>7</v>
      </c>
      <c r="AQ389" s="72">
        <v>0</v>
      </c>
      <c r="AR389" s="72">
        <v>1</v>
      </c>
      <c r="AS389" s="72">
        <v>1</v>
      </c>
      <c r="AT389" s="72">
        <v>1</v>
      </c>
      <c r="AU389" s="72">
        <v>10</v>
      </c>
      <c r="AV389" s="72">
        <v>10</v>
      </c>
      <c r="AW389" s="72">
        <v>25</v>
      </c>
      <c r="AX389" s="72">
        <v>25</v>
      </c>
      <c r="AY389" s="72">
        <v>25</v>
      </c>
      <c r="AZ389" s="72">
        <v>25</v>
      </c>
      <c r="BA389" s="72">
        <v>25</v>
      </c>
      <c r="BB389" s="72">
        <v>25</v>
      </c>
      <c r="BC389" s="72">
        <v>25</v>
      </c>
      <c r="BD389" s="72">
        <v>24</v>
      </c>
      <c r="BE389" s="72">
        <v>24</v>
      </c>
      <c r="BF389" s="72">
        <v>24</v>
      </c>
      <c r="BG389" s="72">
        <v>24</v>
      </c>
      <c r="BH389" s="72">
        <v>24</v>
      </c>
      <c r="BI389" s="72">
        <v>24</v>
      </c>
      <c r="BJ389" s="72">
        <v>24</v>
      </c>
      <c r="BK389" s="72">
        <v>21</v>
      </c>
      <c r="BL389" s="72">
        <v>21</v>
      </c>
      <c r="BM389" s="72">
        <v>21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1</v>
      </c>
      <c r="BT389" s="72">
        <v>1</v>
      </c>
      <c r="BU389" s="72">
        <v>1</v>
      </c>
      <c r="BV389" s="72">
        <v>2</v>
      </c>
      <c r="BW389" s="72">
        <v>1</v>
      </c>
      <c r="BX389" s="72">
        <v>1</v>
      </c>
      <c r="BY389" s="72">
        <v>1</v>
      </c>
      <c r="BZ389" s="72">
        <v>1</v>
      </c>
      <c r="CA389" s="72">
        <v>1</v>
      </c>
      <c r="CB389" s="72">
        <v>1</v>
      </c>
      <c r="CC389" s="72">
        <v>1</v>
      </c>
      <c r="CD389" s="72">
        <v>1</v>
      </c>
      <c r="CE389" s="72">
        <v>1</v>
      </c>
      <c r="CF389" s="72">
        <v>1</v>
      </c>
      <c r="CG389" s="72">
        <v>1</v>
      </c>
      <c r="CH389" s="72">
        <v>1</v>
      </c>
      <c r="CI389" s="72">
        <v>1</v>
      </c>
      <c r="CJ389" s="72">
        <v>1</v>
      </c>
      <c r="CK389" s="72">
        <v>1</v>
      </c>
      <c r="CL389" s="72">
        <v>1</v>
      </c>
      <c r="CM389" s="72">
        <v>1</v>
      </c>
      <c r="CN389" s="72">
        <v>1</v>
      </c>
      <c r="CO389" s="72">
        <v>1</v>
      </c>
      <c r="CP389" s="72">
        <v>1</v>
      </c>
      <c r="CQ389" s="72">
        <v>1</v>
      </c>
      <c r="CR389" s="72">
        <v>1</v>
      </c>
      <c r="CS389" s="72">
        <v>1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  <c r="DQ389" s="72"/>
      <c r="DR389" s="72">
        <v>0</v>
      </c>
      <c r="DS389" s="90"/>
    </row>
    <row r="390" spans="1:123" x14ac:dyDescent="0.35">
      <c r="A390" s="7"/>
      <c r="B390" s="8" t="s">
        <v>1353</v>
      </c>
      <c r="C390" s="9" t="s">
        <v>651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10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1</v>
      </c>
      <c r="BK390" s="72">
        <v>1</v>
      </c>
      <c r="BL390" s="72">
        <v>1</v>
      </c>
      <c r="BM390" s="72">
        <v>1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  <c r="DQ390" s="72"/>
      <c r="DR390" s="72">
        <v>0</v>
      </c>
      <c r="DS390" s="90"/>
    </row>
    <row r="391" spans="1:123" ht="39.85" x14ac:dyDescent="0.35">
      <c r="A391" s="7"/>
      <c r="B391" s="8" t="s">
        <v>653</v>
      </c>
      <c r="C391" s="9" t="s">
        <v>654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>
        <v>0</v>
      </c>
      <c r="K391" s="10" t="s">
        <v>153</v>
      </c>
      <c r="L391" s="14" t="s">
        <v>655</v>
      </c>
      <c r="M391" s="12">
        <v>975</v>
      </c>
      <c r="N391" s="12">
        <f t="shared" si="10"/>
        <v>0</v>
      </c>
      <c r="O391" s="11"/>
      <c r="P391" s="11"/>
      <c r="Q391" s="11">
        <v>6</v>
      </c>
      <c r="R391" s="11">
        <v>6</v>
      </c>
      <c r="S391" s="11">
        <v>6</v>
      </c>
      <c r="T391" s="11">
        <v>6</v>
      </c>
      <c r="U391" s="11">
        <v>6</v>
      </c>
      <c r="V391" s="11">
        <v>6</v>
      </c>
      <c r="W391" s="11">
        <v>6</v>
      </c>
      <c r="X391" s="11">
        <v>5</v>
      </c>
      <c r="Y391" s="11">
        <v>5</v>
      </c>
      <c r="Z391" s="11">
        <v>5</v>
      </c>
      <c r="AA391" s="11">
        <v>5</v>
      </c>
      <c r="AB391" s="11">
        <v>6</v>
      </c>
      <c r="AC391" s="11">
        <v>6</v>
      </c>
      <c r="AD391" s="11">
        <v>6</v>
      </c>
      <c r="AE391" s="11">
        <v>6</v>
      </c>
      <c r="AF391" s="11">
        <v>6</v>
      </c>
      <c r="AG391" s="11">
        <v>6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  <c r="DQ391" s="72"/>
      <c r="DR391" s="72">
        <v>0</v>
      </c>
      <c r="DS391" s="140"/>
    </row>
    <row r="392" spans="1:123" x14ac:dyDescent="0.35">
      <c r="A392" s="7"/>
      <c r="B392" s="8" t="s">
        <v>1269</v>
      </c>
      <c r="C392" s="78" t="s">
        <v>1278</v>
      </c>
      <c r="D392" s="10" t="s">
        <v>594</v>
      </c>
      <c r="E392" s="8" t="s">
        <v>1203</v>
      </c>
      <c r="F392" s="10"/>
      <c r="G392" s="10"/>
      <c r="H392" s="10" t="s">
        <v>41</v>
      </c>
      <c r="I392" s="11"/>
      <c r="J392" s="10"/>
      <c r="K392" s="10"/>
      <c r="L392" s="14"/>
      <c r="M392" s="12"/>
      <c r="N392" s="12">
        <f t="shared" si="10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  <c r="DQ392" s="72"/>
      <c r="DR392" s="72">
        <v>0</v>
      </c>
      <c r="DS392" s="90"/>
    </row>
    <row r="393" spans="1:123" x14ac:dyDescent="0.35">
      <c r="A393" s="7"/>
      <c r="B393" s="8" t="s">
        <v>656</v>
      </c>
      <c r="C393" s="9" t="s">
        <v>657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42</v>
      </c>
      <c r="L393" s="8" t="s">
        <v>658</v>
      </c>
      <c r="M393" s="12"/>
      <c r="N393" s="12">
        <f t="shared" si="10"/>
        <v>0</v>
      </c>
      <c r="O393" s="11">
        <v>6</v>
      </c>
      <c r="P393" s="11">
        <v>6</v>
      </c>
      <c r="Q393" s="11">
        <v>6</v>
      </c>
      <c r="R393" s="11">
        <v>6</v>
      </c>
      <c r="S393" s="11">
        <v>6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  <c r="DQ393" s="72"/>
      <c r="DR393" s="72">
        <v>0</v>
      </c>
      <c r="DS393" s="77"/>
    </row>
    <row r="394" spans="1:123" x14ac:dyDescent="0.35">
      <c r="A394" s="7"/>
      <c r="B394" s="8" t="s">
        <v>660</v>
      </c>
      <c r="C394" s="9" t="s">
        <v>661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11</v>
      </c>
      <c r="J394" s="10"/>
      <c r="K394" s="10" t="s">
        <v>42</v>
      </c>
      <c r="L394" s="8" t="s">
        <v>662</v>
      </c>
      <c r="M394" s="12">
        <v>1323</v>
      </c>
      <c r="N394" s="12">
        <f t="shared" si="10"/>
        <v>0</v>
      </c>
      <c r="O394" s="11"/>
      <c r="P394" s="11"/>
      <c r="Q394" s="11">
        <v>30</v>
      </c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>
        <v>11</v>
      </c>
      <c r="AC394" s="11">
        <v>11</v>
      </c>
      <c r="AD394" s="11">
        <v>11</v>
      </c>
      <c r="AE394" s="11">
        <v>11</v>
      </c>
      <c r="AF394" s="11">
        <v>11</v>
      </c>
      <c r="AG394" s="11">
        <v>11</v>
      </c>
      <c r="AH394" s="11">
        <v>11</v>
      </c>
      <c r="AI394" s="11">
        <v>11</v>
      </c>
      <c r="AJ394" s="11">
        <v>11</v>
      </c>
      <c r="AK394" s="11">
        <v>11</v>
      </c>
      <c r="AL394" s="11">
        <v>11</v>
      </c>
      <c r="AM394" s="11">
        <v>11</v>
      </c>
      <c r="AN394" s="72">
        <v>11</v>
      </c>
      <c r="AO394" s="72">
        <v>11</v>
      </c>
      <c r="AP394" s="72">
        <v>11</v>
      </c>
      <c r="AQ394" s="72">
        <v>11</v>
      </c>
      <c r="AR394" s="72">
        <v>11</v>
      </c>
      <c r="AS394" s="72">
        <v>11</v>
      </c>
      <c r="AT394" s="72">
        <v>10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25</v>
      </c>
      <c r="BE394" s="72">
        <v>25</v>
      </c>
      <c r="BF394" s="72">
        <v>25</v>
      </c>
      <c r="BG394" s="72">
        <v>25</v>
      </c>
      <c r="BH394" s="72">
        <v>25</v>
      </c>
      <c r="BI394" s="72">
        <v>25</v>
      </c>
      <c r="BJ394" s="72">
        <v>25</v>
      </c>
      <c r="BK394" s="72">
        <v>25</v>
      </c>
      <c r="BL394" s="72">
        <v>25</v>
      </c>
      <c r="BM394" s="72">
        <v>25</v>
      </c>
      <c r="BN394" s="72">
        <v>14</v>
      </c>
      <c r="BO394" s="72">
        <v>14</v>
      </c>
      <c r="BP394" s="72">
        <v>13</v>
      </c>
      <c r="BQ394" s="72">
        <v>13</v>
      </c>
      <c r="BR394" s="72">
        <v>3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/>
      <c r="DR394" s="72">
        <v>0</v>
      </c>
      <c r="DS394" s="137"/>
    </row>
    <row r="395" spans="1:123" x14ac:dyDescent="0.35">
      <c r="A395" s="7"/>
      <c r="B395" s="77" t="s">
        <v>1388</v>
      </c>
      <c r="C395" s="9" t="s">
        <v>1390</v>
      </c>
      <c r="D395" s="10" t="s">
        <v>594</v>
      </c>
      <c r="E395" s="8" t="s">
        <v>1203</v>
      </c>
      <c r="F395" s="10"/>
      <c r="G395" s="10"/>
      <c r="H395" s="10" t="s">
        <v>41</v>
      </c>
      <c r="I395" s="11">
        <v>0</v>
      </c>
      <c r="J395" s="10"/>
      <c r="K395" s="10"/>
      <c r="L395" s="8"/>
      <c r="M395" s="12"/>
      <c r="N395" s="12">
        <f t="shared" si="10"/>
        <v>0</v>
      </c>
      <c r="O395" s="11">
        <v>0</v>
      </c>
      <c r="P395" s="11">
        <v>0</v>
      </c>
      <c r="Q395" s="11">
        <v>0</v>
      </c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1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  <c r="DQ395" s="72"/>
      <c r="DR395" s="72">
        <v>0</v>
      </c>
      <c r="DS395" s="77"/>
    </row>
    <row r="396" spans="1:123" x14ac:dyDescent="0.35">
      <c r="A396" s="7"/>
      <c r="B396" s="8" t="s">
        <v>663</v>
      </c>
      <c r="C396" s="9" t="s">
        <v>664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20</v>
      </c>
      <c r="J396" s="10"/>
      <c r="K396" s="10" t="s">
        <v>153</v>
      </c>
      <c r="L396" s="8"/>
      <c r="M396" s="12">
        <v>1348</v>
      </c>
      <c r="N396" s="12">
        <f t="shared" si="10"/>
        <v>0</v>
      </c>
      <c r="O396" s="11">
        <v>25</v>
      </c>
      <c r="P396" s="11">
        <v>25</v>
      </c>
      <c r="Q396" s="11">
        <v>30</v>
      </c>
      <c r="R396" s="11">
        <v>30</v>
      </c>
      <c r="S396" s="11">
        <v>30</v>
      </c>
      <c r="T396" s="11">
        <v>30</v>
      </c>
      <c r="U396" s="11">
        <v>22</v>
      </c>
      <c r="V396" s="11">
        <v>22</v>
      </c>
      <c r="W396" s="11">
        <v>22</v>
      </c>
      <c r="X396" s="11">
        <v>22</v>
      </c>
      <c r="Y396" s="11">
        <v>22</v>
      </c>
      <c r="Z396" s="11">
        <v>22</v>
      </c>
      <c r="AA396" s="11">
        <v>22</v>
      </c>
      <c r="AB396" s="11">
        <v>23</v>
      </c>
      <c r="AC396" s="11">
        <v>23</v>
      </c>
      <c r="AD396" s="11">
        <v>23</v>
      </c>
      <c r="AE396" s="11">
        <v>22</v>
      </c>
      <c r="AF396" s="11">
        <v>22</v>
      </c>
      <c r="AG396" s="11">
        <v>22</v>
      </c>
      <c r="AH396" s="11">
        <v>22</v>
      </c>
      <c r="AI396" s="11">
        <v>20</v>
      </c>
      <c r="AJ396" s="11">
        <v>20</v>
      </c>
      <c r="AK396" s="11">
        <v>20</v>
      </c>
      <c r="AL396" s="11">
        <v>20</v>
      </c>
      <c r="AM396" s="11">
        <v>20</v>
      </c>
      <c r="AN396" s="72">
        <v>20</v>
      </c>
      <c r="AO396" s="72">
        <v>23</v>
      </c>
      <c r="AP396" s="72">
        <v>21</v>
      </c>
      <c r="AQ396" s="72">
        <v>21</v>
      </c>
      <c r="AR396" s="72">
        <v>21</v>
      </c>
      <c r="AS396" s="72">
        <v>21</v>
      </c>
      <c r="AT396" s="72">
        <v>21</v>
      </c>
      <c r="AU396" s="72">
        <v>21</v>
      </c>
      <c r="AV396" s="72">
        <v>21</v>
      </c>
      <c r="AW396" s="72">
        <v>36</v>
      </c>
      <c r="AX396" s="72">
        <v>36</v>
      </c>
      <c r="AY396" s="72">
        <v>29</v>
      </c>
      <c r="AZ396" s="72">
        <v>29</v>
      </c>
      <c r="BA396" s="72">
        <v>29</v>
      </c>
      <c r="BB396" s="72">
        <v>28</v>
      </c>
      <c r="BC396" s="72">
        <v>28</v>
      </c>
      <c r="BD396" s="72">
        <v>28</v>
      </c>
      <c r="BE396" s="72">
        <v>28</v>
      </c>
      <c r="BF396" s="72">
        <v>28</v>
      </c>
      <c r="BG396" s="72">
        <v>28</v>
      </c>
      <c r="BH396" s="72">
        <v>28</v>
      </c>
      <c r="BI396" s="72">
        <v>28</v>
      </c>
      <c r="BJ396" s="72">
        <v>28</v>
      </c>
      <c r="BK396" s="72">
        <v>28</v>
      </c>
      <c r="BL396" s="72">
        <v>28</v>
      </c>
      <c r="BM396" s="72">
        <v>28</v>
      </c>
      <c r="BN396" s="72">
        <v>16</v>
      </c>
      <c r="BO396" s="72">
        <v>16</v>
      </c>
      <c r="BP396" s="72">
        <v>16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/>
      <c r="DR396" s="72">
        <v>0</v>
      </c>
      <c r="DS396" s="137"/>
    </row>
    <row r="397" spans="1:123" x14ac:dyDescent="0.35">
      <c r="A397" s="7"/>
      <c r="B397" s="77" t="s">
        <v>1337</v>
      </c>
      <c r="C397" s="9" t="s">
        <v>664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0</v>
      </c>
      <c r="J397" s="10">
        <v>1</v>
      </c>
      <c r="K397" s="10" t="s">
        <v>659</v>
      </c>
      <c r="L397" s="8" t="s">
        <v>665</v>
      </c>
      <c r="M397" s="12"/>
      <c r="N397" s="12">
        <f t="shared" si="10"/>
        <v>0</v>
      </c>
      <c r="O397" s="11">
        <v>0</v>
      </c>
      <c r="P397" s="11">
        <v>0</v>
      </c>
      <c r="Q397" s="11"/>
      <c r="R397" s="11">
        <v>0</v>
      </c>
      <c r="S397" s="11">
        <v>0</v>
      </c>
      <c r="T397" s="11">
        <v>0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22</v>
      </c>
      <c r="AB397" s="11">
        <v>0</v>
      </c>
      <c r="AC397" s="11">
        <v>0</v>
      </c>
      <c r="AD397" s="11">
        <v>0</v>
      </c>
      <c r="AE397" s="11">
        <v>0</v>
      </c>
      <c r="AF397" s="11">
        <v>0</v>
      </c>
      <c r="AG397" s="11">
        <v>0</v>
      </c>
      <c r="AH397" s="11">
        <v>0</v>
      </c>
      <c r="AI397" s="11">
        <v>0</v>
      </c>
      <c r="AJ397" s="11">
        <v>0</v>
      </c>
      <c r="AK397" s="11">
        <v>0</v>
      </c>
      <c r="AL397" s="11">
        <v>0</v>
      </c>
      <c r="AM397" s="11">
        <v>0</v>
      </c>
      <c r="AN397" s="72">
        <v>0</v>
      </c>
      <c r="AO397" s="72">
        <v>0</v>
      </c>
      <c r="AP397" s="72">
        <v>0</v>
      </c>
      <c r="AQ397" s="72">
        <v>0</v>
      </c>
      <c r="AR397" s="72">
        <v>0</v>
      </c>
      <c r="AS397" s="72">
        <v>0</v>
      </c>
      <c r="AT397" s="72">
        <v>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  <c r="DQ397" s="72"/>
      <c r="DR397" s="72">
        <v>0</v>
      </c>
      <c r="DS397" s="77"/>
    </row>
    <row r="398" spans="1:123" x14ac:dyDescent="0.35">
      <c r="A398" s="7"/>
      <c r="B398" s="8" t="s">
        <v>666</v>
      </c>
      <c r="C398" s="9" t="s">
        <v>1160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153</v>
      </c>
      <c r="L398" s="8" t="s">
        <v>667</v>
      </c>
      <c r="M398" s="12"/>
      <c r="N398" s="12">
        <f t="shared" si="10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/>
      <c r="DR398" s="72">
        <v>0</v>
      </c>
      <c r="DS398" s="77"/>
    </row>
    <row r="399" spans="1:123" x14ac:dyDescent="0.35">
      <c r="A399" s="7"/>
      <c r="B399" s="8" t="s">
        <v>668</v>
      </c>
      <c r="C399" s="78" t="s">
        <v>1348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4</v>
      </c>
      <c r="J399" s="10">
        <v>1</v>
      </c>
      <c r="K399" s="10" t="s">
        <v>153</v>
      </c>
      <c r="L399" s="8" t="s">
        <v>669</v>
      </c>
      <c r="M399" s="12">
        <v>3000</v>
      </c>
      <c r="N399" s="12">
        <f t="shared" si="10"/>
        <v>12000</v>
      </c>
      <c r="O399" s="11">
        <v>5</v>
      </c>
      <c r="P399" s="11">
        <v>5</v>
      </c>
      <c r="Q399" s="11">
        <v>5</v>
      </c>
      <c r="R399" s="11">
        <v>5</v>
      </c>
      <c r="S399" s="11">
        <v>5</v>
      </c>
      <c r="T399" s="11">
        <v>5</v>
      </c>
      <c r="U399" s="11">
        <v>5</v>
      </c>
      <c r="V399" s="11">
        <v>5</v>
      </c>
      <c r="W399" s="11">
        <v>5</v>
      </c>
      <c r="X399" s="11">
        <v>4</v>
      </c>
      <c r="Y399" s="11">
        <v>4</v>
      </c>
      <c r="Z399" s="11">
        <v>4</v>
      </c>
      <c r="AA399" s="11">
        <v>4</v>
      </c>
      <c r="AB399" s="11">
        <v>4</v>
      </c>
      <c r="AC399" s="11">
        <v>4</v>
      </c>
      <c r="AD399" s="11">
        <v>4</v>
      </c>
      <c r="AE399" s="11">
        <v>4</v>
      </c>
      <c r="AF399" s="11">
        <v>4</v>
      </c>
      <c r="AG399" s="11">
        <v>4</v>
      </c>
      <c r="AH399" s="11">
        <v>4</v>
      </c>
      <c r="AI399" s="11">
        <v>4</v>
      </c>
      <c r="AJ399" s="11">
        <v>4</v>
      </c>
      <c r="AK399" s="11">
        <v>4</v>
      </c>
      <c r="AL399" s="11">
        <v>4</v>
      </c>
      <c r="AM399" s="11">
        <v>4</v>
      </c>
      <c r="AN399" s="72">
        <v>4</v>
      </c>
      <c r="AO399" s="72">
        <v>4</v>
      </c>
      <c r="AP399" s="72">
        <v>4</v>
      </c>
      <c r="AQ399" s="72">
        <v>4</v>
      </c>
      <c r="AR399" s="72">
        <v>4</v>
      </c>
      <c r="AS399" s="72">
        <v>4</v>
      </c>
      <c r="AT399" s="72">
        <v>4</v>
      </c>
      <c r="AU399" s="72">
        <v>4</v>
      </c>
      <c r="AV399" s="72">
        <v>4</v>
      </c>
      <c r="AW399" s="72">
        <v>4</v>
      </c>
      <c r="AX399" s="72">
        <v>4</v>
      </c>
      <c r="AY399" s="72">
        <v>4</v>
      </c>
      <c r="AZ399" s="72">
        <v>4</v>
      </c>
      <c r="BA399" s="72">
        <v>4</v>
      </c>
      <c r="BB399" s="72">
        <v>4</v>
      </c>
      <c r="BC399" s="72">
        <v>4</v>
      </c>
      <c r="BD399" s="72">
        <v>4</v>
      </c>
      <c r="BE399" s="72">
        <v>4</v>
      </c>
      <c r="BF399" s="72">
        <v>4</v>
      </c>
      <c r="BG399" s="72">
        <v>4</v>
      </c>
      <c r="BH399" s="72">
        <v>4</v>
      </c>
      <c r="BI399" s="72">
        <v>4</v>
      </c>
      <c r="BJ399" s="72">
        <v>4</v>
      </c>
      <c r="BK399" s="72">
        <v>4</v>
      </c>
      <c r="BL399" s="72">
        <v>4</v>
      </c>
      <c r="BM399" s="72">
        <v>4</v>
      </c>
      <c r="BN399" s="72">
        <v>4</v>
      </c>
      <c r="BO399" s="72">
        <v>4</v>
      </c>
      <c r="BP399" s="72">
        <v>4</v>
      </c>
      <c r="BQ399" s="72">
        <v>4</v>
      </c>
      <c r="BR399" s="72">
        <v>4</v>
      </c>
      <c r="BS399" s="72">
        <v>4</v>
      </c>
      <c r="BT399" s="72">
        <v>4</v>
      </c>
      <c r="BU399" s="72">
        <v>4</v>
      </c>
      <c r="BV399" s="72">
        <v>4</v>
      </c>
      <c r="BW399" s="72">
        <v>4</v>
      </c>
      <c r="BX399" s="72">
        <v>4</v>
      </c>
      <c r="BY399" s="72">
        <v>4</v>
      </c>
      <c r="BZ399" s="72">
        <v>4</v>
      </c>
      <c r="CA399" s="72">
        <v>4</v>
      </c>
      <c r="CB399" s="72">
        <v>4</v>
      </c>
      <c r="CC399" s="72">
        <v>4</v>
      </c>
      <c r="CD399" s="72">
        <v>4</v>
      </c>
      <c r="CE399" s="72">
        <v>4</v>
      </c>
      <c r="CF399" s="72">
        <v>4</v>
      </c>
      <c r="CG399" s="72">
        <v>4</v>
      </c>
      <c r="CH399" s="72">
        <v>4</v>
      </c>
      <c r="CI399" s="72">
        <v>4</v>
      </c>
      <c r="CJ399" s="72">
        <v>4</v>
      </c>
      <c r="CK399" s="72">
        <v>4</v>
      </c>
      <c r="CL399" s="72">
        <v>4</v>
      </c>
      <c r="CM399" s="72">
        <v>4</v>
      </c>
      <c r="CN399" s="72">
        <v>4</v>
      </c>
      <c r="CO399" s="72">
        <v>4</v>
      </c>
      <c r="CP399" s="72">
        <v>4</v>
      </c>
      <c r="CQ399" s="72">
        <v>4</v>
      </c>
      <c r="CR399" s="72">
        <v>4</v>
      </c>
      <c r="CS399" s="72">
        <v>4</v>
      </c>
      <c r="CT399" s="72">
        <v>4</v>
      </c>
      <c r="CU399" s="72">
        <v>4</v>
      </c>
      <c r="CV399" s="72">
        <v>4</v>
      </c>
      <c r="CW399" s="72">
        <v>4</v>
      </c>
      <c r="CX399" s="72">
        <v>4</v>
      </c>
      <c r="CY399" s="72">
        <v>4</v>
      </c>
      <c r="CZ399" s="72">
        <v>4</v>
      </c>
      <c r="DA399" s="72">
        <v>4</v>
      </c>
      <c r="DB399" s="72">
        <v>4</v>
      </c>
      <c r="DC399" s="72">
        <v>4</v>
      </c>
      <c r="DD399" s="72">
        <v>4</v>
      </c>
      <c r="DE399" s="72">
        <v>4</v>
      </c>
      <c r="DF399" s="72">
        <v>4</v>
      </c>
      <c r="DG399" s="72">
        <v>4</v>
      </c>
      <c r="DH399" s="72">
        <v>4</v>
      </c>
      <c r="DI399" s="72">
        <v>4</v>
      </c>
      <c r="DJ399" s="72">
        <v>4</v>
      </c>
      <c r="DK399" s="72">
        <v>4</v>
      </c>
      <c r="DL399" s="72">
        <v>4</v>
      </c>
      <c r="DM399" s="72">
        <v>4</v>
      </c>
      <c r="DN399" s="72">
        <v>4</v>
      </c>
      <c r="DO399" s="72">
        <v>4</v>
      </c>
      <c r="DP399" s="72">
        <v>4</v>
      </c>
      <c r="DQ399" s="72"/>
      <c r="DR399" s="72">
        <v>4</v>
      </c>
      <c r="DS399" s="137"/>
    </row>
    <row r="400" spans="1:123" x14ac:dyDescent="0.35">
      <c r="A400" s="7"/>
      <c r="B400" s="77" t="s">
        <v>1174</v>
      </c>
      <c r="C400" s="9" t="s">
        <v>1183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/>
      <c r="N400" s="12">
        <f t="shared" si="10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1</v>
      </c>
      <c r="AP400" s="72">
        <v>1</v>
      </c>
      <c r="AQ400" s="72">
        <v>1</v>
      </c>
      <c r="AR400" s="72">
        <v>1</v>
      </c>
      <c r="AS400" s="72">
        <v>1</v>
      </c>
      <c r="AT400" s="72">
        <v>1</v>
      </c>
      <c r="AU400" s="72">
        <v>1</v>
      </c>
      <c r="AV400" s="72">
        <v>1</v>
      </c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1</v>
      </c>
      <c r="BC400" s="72">
        <v>1</v>
      </c>
      <c r="BD400" s="72">
        <v>1</v>
      </c>
      <c r="BE400" s="72">
        <v>1</v>
      </c>
      <c r="BF400" s="72">
        <v>1</v>
      </c>
      <c r="BG400" s="72">
        <v>1</v>
      </c>
      <c r="BH400" s="72">
        <v>1</v>
      </c>
      <c r="BI400" s="72">
        <v>1</v>
      </c>
      <c r="BJ400" s="72">
        <v>1</v>
      </c>
      <c r="BK400" s="72">
        <v>1</v>
      </c>
      <c r="BL400" s="72">
        <v>1</v>
      </c>
      <c r="BM400" s="72">
        <v>1</v>
      </c>
      <c r="BN400" s="72">
        <v>1</v>
      </c>
      <c r="BO400" s="72">
        <v>1</v>
      </c>
      <c r="BP400" s="72">
        <v>1</v>
      </c>
      <c r="BQ400" s="72">
        <v>1</v>
      </c>
      <c r="BR400" s="72">
        <v>1</v>
      </c>
      <c r="BS400" s="72">
        <v>1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/>
      <c r="DR400" s="72">
        <v>0</v>
      </c>
      <c r="DS400" s="77"/>
    </row>
    <row r="401" spans="1:123" x14ac:dyDescent="0.35">
      <c r="A401" s="7"/>
      <c r="B401" s="8" t="s">
        <v>670</v>
      </c>
      <c r="C401" s="9" t="s">
        <v>671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0</v>
      </c>
      <c r="J401" s="10"/>
      <c r="K401" s="10" t="s">
        <v>153</v>
      </c>
      <c r="L401" s="8"/>
      <c r="M401" s="12">
        <v>5138.74</v>
      </c>
      <c r="N401" s="12">
        <f t="shared" si="10"/>
        <v>0</v>
      </c>
      <c r="O401" s="11"/>
      <c r="P401" s="11"/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0</v>
      </c>
      <c r="AK401" s="11">
        <v>0</v>
      </c>
      <c r="AL401" s="11">
        <v>0</v>
      </c>
      <c r="AM401" s="11">
        <v>0</v>
      </c>
      <c r="AN401" s="72">
        <v>0</v>
      </c>
      <c r="AO401" s="72">
        <v>0</v>
      </c>
      <c r="AP401" s="72">
        <v>0</v>
      </c>
      <c r="AQ401" s="72">
        <v>0</v>
      </c>
      <c r="AR401" s="72">
        <v>0</v>
      </c>
      <c r="AS401" s="72">
        <v>0</v>
      </c>
      <c r="AT401" s="72">
        <v>0</v>
      </c>
      <c r="AU401" s="72">
        <v>0</v>
      </c>
      <c r="AV401" s="72">
        <v>0</v>
      </c>
      <c r="AW401" s="72">
        <v>5</v>
      </c>
      <c r="AX401" s="72">
        <v>5</v>
      </c>
      <c r="AY401" s="72">
        <v>5</v>
      </c>
      <c r="AZ401" s="72">
        <v>5</v>
      </c>
      <c r="BA401" s="72">
        <v>5</v>
      </c>
      <c r="BB401" s="72">
        <v>5</v>
      </c>
      <c r="BC401" s="72">
        <v>5</v>
      </c>
      <c r="BD401" s="72">
        <v>5</v>
      </c>
      <c r="BE401" s="72">
        <v>5</v>
      </c>
      <c r="BF401" s="72">
        <v>5</v>
      </c>
      <c r="BG401" s="72">
        <v>5</v>
      </c>
      <c r="BH401" s="72">
        <v>5</v>
      </c>
      <c r="BI401" s="72">
        <v>5</v>
      </c>
      <c r="BJ401" s="72">
        <v>5</v>
      </c>
      <c r="BK401" s="72">
        <v>5</v>
      </c>
      <c r="BL401" s="72">
        <v>5</v>
      </c>
      <c r="BM401" s="72">
        <v>5</v>
      </c>
      <c r="BN401" s="72">
        <v>5</v>
      </c>
      <c r="BO401" s="72">
        <v>5</v>
      </c>
      <c r="BP401" s="72">
        <v>5</v>
      </c>
      <c r="BQ401" s="72">
        <v>3</v>
      </c>
      <c r="BR401" s="72">
        <v>1</v>
      </c>
      <c r="BS401" s="72">
        <v>1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/>
      <c r="DR401" s="72">
        <v>0</v>
      </c>
      <c r="DS401" s="137"/>
    </row>
    <row r="402" spans="1:123" x14ac:dyDescent="0.35">
      <c r="A402" s="7"/>
      <c r="B402" s="77" t="s">
        <v>1175</v>
      </c>
      <c r="C402" s="78" t="s">
        <v>1187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>
        <v>3961.71</v>
      </c>
      <c r="N402" s="12">
        <f t="shared" si="10"/>
        <v>7923.42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2</v>
      </c>
      <c r="AX402" s="72">
        <v>2</v>
      </c>
      <c r="AY402" s="72">
        <v>2</v>
      </c>
      <c r="AZ402" s="72">
        <v>2</v>
      </c>
      <c r="BA402" s="72">
        <v>2</v>
      </c>
      <c r="BB402" s="72">
        <v>2</v>
      </c>
      <c r="BC402" s="72">
        <v>2</v>
      </c>
      <c r="BD402" s="72">
        <v>2</v>
      </c>
      <c r="BE402" s="72">
        <v>2</v>
      </c>
      <c r="BF402" s="72">
        <v>2</v>
      </c>
      <c r="BG402" s="72">
        <v>2</v>
      </c>
      <c r="BH402" s="72">
        <v>2</v>
      </c>
      <c r="BI402" s="72">
        <v>2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  <c r="DO402" s="72">
        <v>2</v>
      </c>
      <c r="DP402" s="72">
        <v>2</v>
      </c>
      <c r="DQ402" s="72"/>
      <c r="DR402" s="72">
        <v>2</v>
      </c>
      <c r="DS402" s="77"/>
    </row>
    <row r="403" spans="1:123" x14ac:dyDescent="0.35">
      <c r="A403" s="7"/>
      <c r="B403" s="8" t="s">
        <v>672</v>
      </c>
      <c r="C403" s="9" t="s">
        <v>673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674</v>
      </c>
      <c r="L403" s="8"/>
      <c r="M403" s="12"/>
      <c r="N403" s="12">
        <f t="shared" si="10"/>
        <v>0</v>
      </c>
      <c r="O403" s="11">
        <v>1</v>
      </c>
      <c r="P403" s="11">
        <v>1</v>
      </c>
      <c r="Q403" s="11">
        <v>1</v>
      </c>
      <c r="R403" s="11">
        <v>1</v>
      </c>
      <c r="S403" s="11">
        <v>1</v>
      </c>
      <c r="T403" s="11">
        <v>1</v>
      </c>
      <c r="U403" s="11">
        <v>1</v>
      </c>
      <c r="V403" s="11">
        <v>1</v>
      </c>
      <c r="W403" s="11">
        <v>1</v>
      </c>
      <c r="X403" s="11">
        <v>1</v>
      </c>
      <c r="Y403" s="11">
        <v>1</v>
      </c>
      <c r="Z403" s="11">
        <v>1</v>
      </c>
      <c r="AA403" s="11">
        <v>1</v>
      </c>
      <c r="AB403" s="11">
        <v>1</v>
      </c>
      <c r="AC403" s="11">
        <v>1</v>
      </c>
      <c r="AD403" s="11">
        <v>1</v>
      </c>
      <c r="AE403" s="11">
        <v>1</v>
      </c>
      <c r="AF403" s="11">
        <v>1</v>
      </c>
      <c r="AG403" s="11">
        <v>1</v>
      </c>
      <c r="AH403" s="11">
        <v>1</v>
      </c>
      <c r="AI403" s="11">
        <v>1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/>
      <c r="DR403" s="72">
        <v>0</v>
      </c>
      <c r="DS403" s="77"/>
    </row>
    <row r="404" spans="1:123" x14ac:dyDescent="0.35">
      <c r="A404" s="7"/>
      <c r="B404" s="8" t="s">
        <v>1338</v>
      </c>
      <c r="C404" s="9" t="s">
        <v>673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/>
      <c r="M404" s="12">
        <v>5125.82</v>
      </c>
      <c r="N404" s="12">
        <f t="shared" si="10"/>
        <v>10251.64</v>
      </c>
      <c r="O404" s="11">
        <v>1</v>
      </c>
      <c r="P404" s="11">
        <v>1</v>
      </c>
      <c r="Q404" s="11">
        <v>1</v>
      </c>
      <c r="R404" s="11">
        <v>1</v>
      </c>
      <c r="S404" s="11">
        <v>1</v>
      </c>
      <c r="T404" s="11">
        <v>1</v>
      </c>
      <c r="U404" s="11">
        <v>1</v>
      </c>
      <c r="V404" s="11">
        <v>1</v>
      </c>
      <c r="W404" s="11">
        <v>1</v>
      </c>
      <c r="X404" s="11">
        <v>1</v>
      </c>
      <c r="Y404" s="11">
        <v>1</v>
      </c>
      <c r="Z404" s="11">
        <v>1</v>
      </c>
      <c r="AA404" s="11">
        <v>1</v>
      </c>
      <c r="AB404" s="11">
        <v>1</v>
      </c>
      <c r="AC404" s="11">
        <v>1</v>
      </c>
      <c r="AD404" s="11">
        <v>1</v>
      </c>
      <c r="AE404" s="11">
        <v>1</v>
      </c>
      <c r="AF404" s="11">
        <v>1</v>
      </c>
      <c r="AG404" s="11">
        <v>1</v>
      </c>
      <c r="AH404" s="11">
        <v>1</v>
      </c>
      <c r="AI404" s="11">
        <v>1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1</v>
      </c>
      <c r="BC404" s="72">
        <v>1</v>
      </c>
      <c r="BD404" s="72">
        <v>1</v>
      </c>
      <c r="BE404" s="72">
        <v>1</v>
      </c>
      <c r="BF404" s="72">
        <v>1</v>
      </c>
      <c r="BG404" s="72">
        <v>1</v>
      </c>
      <c r="BH404" s="72">
        <v>1</v>
      </c>
      <c r="BI404" s="72">
        <v>1</v>
      </c>
      <c r="BJ404" s="72">
        <v>2</v>
      </c>
      <c r="BK404" s="72">
        <v>2</v>
      </c>
      <c r="BL404" s="72">
        <v>2</v>
      </c>
      <c r="BM404" s="72">
        <v>2</v>
      </c>
      <c r="BN404" s="72">
        <v>2</v>
      </c>
      <c r="BO404" s="72">
        <v>2</v>
      </c>
      <c r="BP404" s="72">
        <v>2</v>
      </c>
      <c r="BQ404" s="72">
        <v>2</v>
      </c>
      <c r="BR404" s="72">
        <v>2</v>
      </c>
      <c r="BS404" s="72">
        <v>2</v>
      </c>
      <c r="BT404" s="72">
        <v>2</v>
      </c>
      <c r="BU404" s="72">
        <v>2</v>
      </c>
      <c r="BV404" s="72">
        <v>2</v>
      </c>
      <c r="BW404" s="72">
        <v>2</v>
      </c>
      <c r="BX404" s="72">
        <v>2</v>
      </c>
      <c r="BY404" s="72">
        <v>2</v>
      </c>
      <c r="BZ404" s="72">
        <v>2</v>
      </c>
      <c r="CA404" s="72">
        <v>2</v>
      </c>
      <c r="CB404" s="72">
        <v>2</v>
      </c>
      <c r="CC404" s="72">
        <v>2</v>
      </c>
      <c r="CD404" s="72">
        <v>2</v>
      </c>
      <c r="CE404" s="72">
        <v>2</v>
      </c>
      <c r="CF404" s="72">
        <v>2</v>
      </c>
      <c r="CG404" s="72">
        <v>2</v>
      </c>
      <c r="CH404" s="72">
        <v>2</v>
      </c>
      <c r="CI404" s="72">
        <v>2</v>
      </c>
      <c r="CJ404" s="72">
        <v>2</v>
      </c>
      <c r="CK404" s="72">
        <v>2</v>
      </c>
      <c r="CL404" s="72">
        <v>2</v>
      </c>
      <c r="CM404" s="72">
        <v>2</v>
      </c>
      <c r="CN404" s="72">
        <v>2</v>
      </c>
      <c r="CO404" s="72">
        <v>2</v>
      </c>
      <c r="CP404" s="72">
        <v>2</v>
      </c>
      <c r="CQ404" s="72">
        <v>2</v>
      </c>
      <c r="CR404" s="72">
        <v>2</v>
      </c>
      <c r="CS404" s="72">
        <v>2</v>
      </c>
      <c r="CT404" s="72">
        <v>2</v>
      </c>
      <c r="CU404" s="72">
        <v>2</v>
      </c>
      <c r="CV404" s="72">
        <v>2</v>
      </c>
      <c r="CW404" s="72">
        <v>2</v>
      </c>
      <c r="CX404" s="72">
        <v>2</v>
      </c>
      <c r="CY404" s="72">
        <v>2</v>
      </c>
      <c r="CZ404" s="72">
        <v>2</v>
      </c>
      <c r="DA404" s="72">
        <v>2</v>
      </c>
      <c r="DB404" s="72">
        <v>2</v>
      </c>
      <c r="DC404" s="72">
        <v>2</v>
      </c>
      <c r="DD404" s="72">
        <v>2</v>
      </c>
      <c r="DE404" s="72">
        <v>2</v>
      </c>
      <c r="DF404" s="72">
        <v>2</v>
      </c>
      <c r="DG404" s="72">
        <v>2</v>
      </c>
      <c r="DH404" s="72">
        <v>2</v>
      </c>
      <c r="DI404" s="72">
        <v>2</v>
      </c>
      <c r="DJ404" s="72">
        <v>2</v>
      </c>
      <c r="DK404" s="72">
        <v>2</v>
      </c>
      <c r="DL404" s="72">
        <v>2</v>
      </c>
      <c r="DM404" s="72">
        <v>2</v>
      </c>
      <c r="DN404" s="72">
        <v>2</v>
      </c>
      <c r="DO404" s="72">
        <v>2</v>
      </c>
      <c r="DP404" s="72">
        <v>2</v>
      </c>
      <c r="DQ404" s="72"/>
      <c r="DR404" s="72">
        <v>2</v>
      </c>
      <c r="DS404" s="137"/>
    </row>
    <row r="405" spans="1:123" x14ac:dyDescent="0.35">
      <c r="A405" s="7"/>
      <c r="B405" s="8" t="s">
        <v>675</v>
      </c>
      <c r="C405" s="9" t="s">
        <v>676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10"/>
        <v>0</v>
      </c>
      <c r="O405" s="11"/>
      <c r="P405" s="11"/>
      <c r="Q405" s="11">
        <v>2</v>
      </c>
      <c r="R405" s="11">
        <v>2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/>
      <c r="DR405" s="72">
        <v>0</v>
      </c>
      <c r="DS405" s="77"/>
    </row>
    <row r="406" spans="1:123" x14ac:dyDescent="0.35">
      <c r="A406" s="7"/>
      <c r="B406" s="77" t="s">
        <v>1176</v>
      </c>
      <c r="C406" s="9" t="s">
        <v>1184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/>
      <c r="J406" s="10"/>
      <c r="K406" s="10"/>
      <c r="L406" s="8"/>
      <c r="M406" s="12">
        <v>711.31</v>
      </c>
      <c r="N406" s="12">
        <f t="shared" si="10"/>
        <v>711.31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72"/>
      <c r="AO406" s="72">
        <v>2</v>
      </c>
      <c r="AP406" s="72">
        <v>2</v>
      </c>
      <c r="AQ406" s="72">
        <v>2</v>
      </c>
      <c r="AR406" s="72">
        <v>2</v>
      </c>
      <c r="AS406" s="72">
        <v>2</v>
      </c>
      <c r="AT406" s="72">
        <v>2</v>
      </c>
      <c r="AU406" s="72">
        <v>2</v>
      </c>
      <c r="AV406" s="72">
        <v>2</v>
      </c>
      <c r="AW406" s="72">
        <v>2</v>
      </c>
      <c r="AX406" s="72">
        <v>2</v>
      </c>
      <c r="AY406" s="72">
        <v>2</v>
      </c>
      <c r="AZ406" s="72">
        <v>2</v>
      </c>
      <c r="BA406" s="72">
        <v>2</v>
      </c>
      <c r="BB406" s="72">
        <v>2</v>
      </c>
      <c r="BC406" s="72">
        <v>2</v>
      </c>
      <c r="BD406" s="72">
        <v>2</v>
      </c>
      <c r="BE406" s="72">
        <v>2</v>
      </c>
      <c r="BF406" s="72">
        <v>2</v>
      </c>
      <c r="BG406" s="72">
        <v>2</v>
      </c>
      <c r="BH406" s="72">
        <v>2</v>
      </c>
      <c r="BI406" s="72">
        <v>2</v>
      </c>
      <c r="BJ406" s="72">
        <v>2</v>
      </c>
      <c r="BK406" s="72">
        <v>2</v>
      </c>
      <c r="BL406" s="72">
        <v>2</v>
      </c>
      <c r="BM406" s="72">
        <v>2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1</v>
      </c>
      <c r="BT406" s="72">
        <v>1</v>
      </c>
      <c r="BU406" s="72">
        <v>1</v>
      </c>
      <c r="BV406" s="72">
        <v>1</v>
      </c>
      <c r="BW406" s="72">
        <v>1</v>
      </c>
      <c r="BX406" s="72">
        <v>1</v>
      </c>
      <c r="BY406" s="72">
        <v>1</v>
      </c>
      <c r="BZ406" s="72">
        <v>1</v>
      </c>
      <c r="CA406" s="72">
        <v>1</v>
      </c>
      <c r="CB406" s="72">
        <v>1</v>
      </c>
      <c r="CC406" s="72">
        <v>1</v>
      </c>
      <c r="CD406" s="72">
        <v>1</v>
      </c>
      <c r="CE406" s="72">
        <v>1</v>
      </c>
      <c r="CF406" s="72">
        <v>1</v>
      </c>
      <c r="CG406" s="72">
        <v>1</v>
      </c>
      <c r="CH406" s="72">
        <v>1</v>
      </c>
      <c r="CI406" s="72">
        <v>1</v>
      </c>
      <c r="CJ406" s="72">
        <v>1</v>
      </c>
      <c r="CK406" s="72">
        <v>1</v>
      </c>
      <c r="CL406" s="72">
        <v>1</v>
      </c>
      <c r="CM406" s="72">
        <v>1</v>
      </c>
      <c r="CN406" s="72">
        <v>1</v>
      </c>
      <c r="CO406" s="72">
        <v>1</v>
      </c>
      <c r="CP406" s="72">
        <v>1</v>
      </c>
      <c r="CQ406" s="72">
        <v>1</v>
      </c>
      <c r="CR406" s="72">
        <v>1</v>
      </c>
      <c r="CS406" s="72">
        <v>1</v>
      </c>
      <c r="CT406" s="72">
        <v>1</v>
      </c>
      <c r="CU406" s="72">
        <v>1</v>
      </c>
      <c r="CV406" s="72">
        <v>1</v>
      </c>
      <c r="CW406" s="72">
        <v>1</v>
      </c>
      <c r="CX406" s="72">
        <v>1</v>
      </c>
      <c r="CY406" s="72">
        <v>1</v>
      </c>
      <c r="CZ406" s="72">
        <v>1</v>
      </c>
      <c r="DA406" s="72">
        <v>1</v>
      </c>
      <c r="DB406" s="72">
        <v>1</v>
      </c>
      <c r="DC406" s="72">
        <v>1</v>
      </c>
      <c r="DD406" s="72">
        <v>1</v>
      </c>
      <c r="DE406" s="72">
        <v>1</v>
      </c>
      <c r="DF406" s="72">
        <v>1</v>
      </c>
      <c r="DG406" s="72">
        <v>1</v>
      </c>
      <c r="DH406" s="72">
        <v>1</v>
      </c>
      <c r="DI406" s="72">
        <v>1</v>
      </c>
      <c r="DJ406" s="72">
        <v>1</v>
      </c>
      <c r="DK406" s="72">
        <v>1</v>
      </c>
      <c r="DL406" s="72">
        <v>1</v>
      </c>
      <c r="DM406" s="72">
        <v>1</v>
      </c>
      <c r="DN406" s="72">
        <v>1</v>
      </c>
      <c r="DO406" s="72">
        <v>1</v>
      </c>
      <c r="DP406" s="72">
        <v>1</v>
      </c>
      <c r="DQ406" s="72"/>
      <c r="DR406" s="72">
        <v>1</v>
      </c>
      <c r="DS406" s="137"/>
    </row>
    <row r="407" spans="1:123" x14ac:dyDescent="0.35">
      <c r="A407" s="7"/>
      <c r="B407" s="77" t="s">
        <v>1270</v>
      </c>
      <c r="C407" s="78" t="s">
        <v>1279</v>
      </c>
      <c r="D407" s="10" t="s">
        <v>594</v>
      </c>
      <c r="E407" s="8" t="s">
        <v>1203</v>
      </c>
      <c r="F407" s="10"/>
      <c r="G407" s="10"/>
      <c r="H407" s="10" t="s">
        <v>41</v>
      </c>
      <c r="I407" s="11"/>
      <c r="J407" s="10"/>
      <c r="K407" s="10"/>
      <c r="L407" s="8"/>
      <c r="M407" s="12">
        <v>1692.44</v>
      </c>
      <c r="N407" s="12">
        <f t="shared" si="10"/>
        <v>5077.32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>
        <v>5</v>
      </c>
      <c r="AX407" s="72">
        <v>5</v>
      </c>
      <c r="AY407" s="72">
        <v>5</v>
      </c>
      <c r="AZ407" s="72">
        <v>5</v>
      </c>
      <c r="BA407" s="72">
        <v>5</v>
      </c>
      <c r="BB407" s="72">
        <v>5</v>
      </c>
      <c r="BC407" s="72">
        <v>5</v>
      </c>
      <c r="BD407" s="72">
        <v>5</v>
      </c>
      <c r="BE407" s="72">
        <v>5</v>
      </c>
      <c r="BF407" s="72">
        <v>5</v>
      </c>
      <c r="BG407" s="72">
        <v>5</v>
      </c>
      <c r="BH407" s="72">
        <v>5</v>
      </c>
      <c r="BI407" s="72">
        <v>5</v>
      </c>
      <c r="BJ407" s="72">
        <v>5</v>
      </c>
      <c r="BK407" s="72">
        <v>5</v>
      </c>
      <c r="BL407" s="72">
        <v>5</v>
      </c>
      <c r="BM407" s="72">
        <v>5</v>
      </c>
      <c r="BN407" s="72">
        <v>5</v>
      </c>
      <c r="BO407" s="72">
        <v>5</v>
      </c>
      <c r="BP407" s="72">
        <v>5</v>
      </c>
      <c r="BQ407" s="72">
        <v>5</v>
      </c>
      <c r="BR407" s="72">
        <v>3</v>
      </c>
      <c r="BS407" s="72">
        <v>3</v>
      </c>
      <c r="BT407" s="72">
        <v>3</v>
      </c>
      <c r="BU407" s="72">
        <v>3</v>
      </c>
      <c r="BV407" s="72">
        <v>3</v>
      </c>
      <c r="BW407" s="72">
        <v>3</v>
      </c>
      <c r="BX407" s="72">
        <v>3</v>
      </c>
      <c r="BY407" s="72">
        <v>3</v>
      </c>
      <c r="BZ407" s="72">
        <v>3</v>
      </c>
      <c r="CA407" s="72">
        <v>3</v>
      </c>
      <c r="CB407" s="72">
        <v>3</v>
      </c>
      <c r="CC407" s="72">
        <v>3</v>
      </c>
      <c r="CD407" s="72">
        <v>3</v>
      </c>
      <c r="CE407" s="72">
        <v>3</v>
      </c>
      <c r="CF407" s="72">
        <v>3</v>
      </c>
      <c r="CG407" s="72">
        <v>3</v>
      </c>
      <c r="CH407" s="72">
        <v>3</v>
      </c>
      <c r="CI407" s="72">
        <v>3</v>
      </c>
      <c r="CJ407" s="72">
        <v>3</v>
      </c>
      <c r="CK407" s="72">
        <v>3</v>
      </c>
      <c r="CL407" s="72">
        <v>3</v>
      </c>
      <c r="CM407" s="72">
        <v>3</v>
      </c>
      <c r="CN407" s="72">
        <v>3</v>
      </c>
      <c r="CO407" s="72">
        <v>3</v>
      </c>
      <c r="CP407" s="72">
        <v>3</v>
      </c>
      <c r="CQ407" s="72">
        <v>3</v>
      </c>
      <c r="CR407" s="72">
        <v>3</v>
      </c>
      <c r="CS407" s="72">
        <v>3</v>
      </c>
      <c r="CT407" s="72">
        <v>3</v>
      </c>
      <c r="CU407" s="72">
        <v>3</v>
      </c>
      <c r="CV407" s="72">
        <v>3</v>
      </c>
      <c r="CW407" s="72">
        <v>3</v>
      </c>
      <c r="CX407" s="72">
        <v>3</v>
      </c>
      <c r="CY407" s="72">
        <v>3</v>
      </c>
      <c r="CZ407" s="72">
        <v>3</v>
      </c>
      <c r="DA407" s="72">
        <v>3</v>
      </c>
      <c r="DB407" s="72">
        <v>3</v>
      </c>
      <c r="DC407" s="72">
        <v>3</v>
      </c>
      <c r="DD407" s="72">
        <v>3</v>
      </c>
      <c r="DE407" s="72">
        <v>3</v>
      </c>
      <c r="DF407" s="72">
        <v>3</v>
      </c>
      <c r="DG407" s="72">
        <v>3</v>
      </c>
      <c r="DH407" s="72">
        <v>3</v>
      </c>
      <c r="DI407" s="72">
        <v>3</v>
      </c>
      <c r="DJ407" s="72">
        <v>3</v>
      </c>
      <c r="DK407" s="72">
        <v>3</v>
      </c>
      <c r="DL407" s="72">
        <v>3</v>
      </c>
      <c r="DM407" s="72">
        <v>3</v>
      </c>
      <c r="DN407" s="72">
        <v>3</v>
      </c>
      <c r="DO407" s="72">
        <v>3</v>
      </c>
      <c r="DP407" s="72">
        <v>3</v>
      </c>
      <c r="DQ407" s="72"/>
      <c r="DR407" s="72">
        <v>3</v>
      </c>
      <c r="DS407" s="77"/>
    </row>
    <row r="408" spans="1:123" x14ac:dyDescent="0.35">
      <c r="A408" s="7"/>
      <c r="B408" s="8" t="s">
        <v>677</v>
      </c>
      <c r="C408" s="9" t="s">
        <v>678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>
        <v>0</v>
      </c>
      <c r="K408" s="10" t="s">
        <v>153</v>
      </c>
      <c r="L408" s="8" t="s">
        <v>658</v>
      </c>
      <c r="M408" s="12"/>
      <c r="N408" s="12">
        <f t="shared" si="10"/>
        <v>0</v>
      </c>
      <c r="O408" s="11">
        <v>3</v>
      </c>
      <c r="P408" s="11">
        <v>3</v>
      </c>
      <c r="Q408" s="11">
        <v>3</v>
      </c>
      <c r="R408" s="11">
        <v>3</v>
      </c>
      <c r="S408" s="11">
        <v>3</v>
      </c>
      <c r="T408" s="11">
        <v>3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/>
      <c r="DR408" s="72">
        <v>0</v>
      </c>
      <c r="DS408" s="77"/>
    </row>
    <row r="409" spans="1:123" x14ac:dyDescent="0.35">
      <c r="A409" s="7"/>
      <c r="B409" s="77" t="s">
        <v>1177</v>
      </c>
      <c r="C409" s="9" t="s">
        <v>1185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>
        <v>1030.18</v>
      </c>
      <c r="N409" s="12">
        <f t="shared" si="10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2</v>
      </c>
      <c r="AX409" s="72">
        <v>2</v>
      </c>
      <c r="AY409" s="72">
        <v>2</v>
      </c>
      <c r="AZ409" s="72">
        <v>2</v>
      </c>
      <c r="BA409" s="72">
        <v>2</v>
      </c>
      <c r="BB409" s="72">
        <v>2</v>
      </c>
      <c r="BC409" s="72">
        <v>2</v>
      </c>
      <c r="BD409" s="72">
        <v>2</v>
      </c>
      <c r="BE409" s="72">
        <v>2</v>
      </c>
      <c r="BF409" s="72">
        <v>2</v>
      </c>
      <c r="BG409" s="72">
        <v>2</v>
      </c>
      <c r="BH409" s="72">
        <v>2</v>
      </c>
      <c r="BI409" s="72">
        <v>2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0</v>
      </c>
      <c r="DN409" s="72">
        <v>0</v>
      </c>
      <c r="DO409" s="72">
        <v>0</v>
      </c>
      <c r="DP409" s="72">
        <v>0</v>
      </c>
      <c r="DQ409" s="72"/>
      <c r="DR409" s="72">
        <v>0</v>
      </c>
      <c r="DS409" s="137"/>
    </row>
    <row r="410" spans="1:123" x14ac:dyDescent="0.35">
      <c r="A410" s="7"/>
      <c r="B410" s="8" t="s">
        <v>679</v>
      </c>
      <c r="C410" s="9" t="s">
        <v>680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0</v>
      </c>
      <c r="K410" s="10" t="s">
        <v>153</v>
      </c>
      <c r="L410" s="8"/>
      <c r="M410" s="12">
        <v>1843.48</v>
      </c>
      <c r="N410" s="12">
        <f t="shared" si="10"/>
        <v>0</v>
      </c>
      <c r="O410" s="11">
        <v>10</v>
      </c>
      <c r="P410" s="11">
        <v>10</v>
      </c>
      <c r="Q410" s="11">
        <v>10</v>
      </c>
      <c r="R410" s="11">
        <v>10</v>
      </c>
      <c r="S410" s="11">
        <v>10</v>
      </c>
      <c r="T410" s="11">
        <v>10</v>
      </c>
      <c r="U410" s="11">
        <v>4</v>
      </c>
      <c r="V410" s="11">
        <v>4</v>
      </c>
      <c r="W410" s="11">
        <v>4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6</v>
      </c>
      <c r="AP410" s="72">
        <v>6</v>
      </c>
      <c r="AQ410" s="72">
        <v>6</v>
      </c>
      <c r="AR410" s="72">
        <v>6</v>
      </c>
      <c r="AS410" s="72">
        <v>6</v>
      </c>
      <c r="AT410" s="72">
        <v>6</v>
      </c>
      <c r="AU410" s="72">
        <v>6</v>
      </c>
      <c r="AV410" s="72">
        <v>6</v>
      </c>
      <c r="AW410" s="72">
        <v>6</v>
      </c>
      <c r="AX410" s="72">
        <v>6</v>
      </c>
      <c r="AY410" s="72">
        <v>6</v>
      </c>
      <c r="AZ410" s="72">
        <v>6</v>
      </c>
      <c r="BA410" s="72">
        <v>6</v>
      </c>
      <c r="BB410" s="72">
        <v>6</v>
      </c>
      <c r="BC410" s="72">
        <v>6</v>
      </c>
      <c r="BD410" s="72">
        <v>6</v>
      </c>
      <c r="BE410" s="72">
        <v>6</v>
      </c>
      <c r="BF410" s="72">
        <v>6</v>
      </c>
      <c r="BG410" s="72">
        <v>6</v>
      </c>
      <c r="BH410" s="72">
        <v>6</v>
      </c>
      <c r="BI410" s="72">
        <v>6</v>
      </c>
      <c r="BJ410" s="72">
        <v>6</v>
      </c>
      <c r="BK410" s="72">
        <v>6</v>
      </c>
      <c r="BL410" s="72">
        <v>6</v>
      </c>
      <c r="BM410" s="72">
        <v>6</v>
      </c>
      <c r="BN410" s="72">
        <v>6</v>
      </c>
      <c r="BO410" s="72">
        <v>6</v>
      </c>
      <c r="BP410" s="72">
        <v>6</v>
      </c>
      <c r="BQ410" s="72">
        <v>6</v>
      </c>
      <c r="BR410" s="72">
        <v>6</v>
      </c>
      <c r="BS410" s="72">
        <v>6</v>
      </c>
      <c r="BT410" s="72">
        <v>6</v>
      </c>
      <c r="BU410" s="72">
        <v>6</v>
      </c>
      <c r="BV410" s="72">
        <v>6</v>
      </c>
      <c r="BW410" s="72">
        <v>6</v>
      </c>
      <c r="BX410" s="72">
        <v>6</v>
      </c>
      <c r="BY410" s="72">
        <v>6</v>
      </c>
      <c r="BZ410" s="72">
        <v>6</v>
      </c>
      <c r="CA410" s="72">
        <v>6</v>
      </c>
      <c r="CB410" s="72">
        <v>6</v>
      </c>
      <c r="CC410" s="72">
        <v>6</v>
      </c>
      <c r="CD410" s="72">
        <v>6</v>
      </c>
      <c r="CE410" s="72">
        <v>6</v>
      </c>
      <c r="CF410" s="72">
        <v>6</v>
      </c>
      <c r="CG410" s="72">
        <v>6</v>
      </c>
      <c r="CH410" s="72">
        <v>6</v>
      </c>
      <c r="CI410" s="72">
        <v>6</v>
      </c>
      <c r="CJ410" s="72">
        <v>6</v>
      </c>
      <c r="CK410" s="72">
        <v>6</v>
      </c>
      <c r="CL410" s="72">
        <v>6</v>
      </c>
      <c r="CM410" s="72">
        <v>6</v>
      </c>
      <c r="CN410" s="72">
        <v>6</v>
      </c>
      <c r="CO410" s="72">
        <v>6</v>
      </c>
      <c r="CP410" s="72">
        <v>6</v>
      </c>
      <c r="CQ410" s="72">
        <v>6</v>
      </c>
      <c r="CR410" s="72">
        <v>6</v>
      </c>
      <c r="CS410" s="72">
        <v>6</v>
      </c>
      <c r="CT410" s="72">
        <v>6</v>
      </c>
      <c r="CU410" s="72">
        <v>6</v>
      </c>
      <c r="CV410" s="72">
        <v>6</v>
      </c>
      <c r="CW410" s="72">
        <v>6</v>
      </c>
      <c r="CX410" s="72">
        <v>6</v>
      </c>
      <c r="CY410" s="72">
        <v>6</v>
      </c>
      <c r="CZ410" s="72">
        <v>6</v>
      </c>
      <c r="DA410" s="72">
        <v>6</v>
      </c>
      <c r="DB410" s="72">
        <v>6</v>
      </c>
      <c r="DC410" s="72">
        <v>6</v>
      </c>
      <c r="DD410" s="72">
        <v>6</v>
      </c>
      <c r="DE410" s="72">
        <v>6</v>
      </c>
      <c r="DF410" s="72">
        <v>6</v>
      </c>
      <c r="DG410" s="72">
        <v>6</v>
      </c>
      <c r="DH410" s="72">
        <v>6</v>
      </c>
      <c r="DI410" s="72">
        <v>6</v>
      </c>
      <c r="DJ410" s="72">
        <v>6</v>
      </c>
      <c r="DK410" s="72">
        <v>6</v>
      </c>
      <c r="DL410" s="72">
        <v>6</v>
      </c>
      <c r="DM410" s="72">
        <v>0</v>
      </c>
      <c r="DN410" s="72">
        <v>0</v>
      </c>
      <c r="DO410" s="72">
        <v>0</v>
      </c>
      <c r="DP410" s="72">
        <v>0</v>
      </c>
      <c r="DQ410" s="72"/>
      <c r="DR410" s="72">
        <v>0</v>
      </c>
      <c r="DS410" s="77"/>
    </row>
    <row r="411" spans="1:123" x14ac:dyDescent="0.35">
      <c r="A411" s="7"/>
      <c r="B411" s="77" t="s">
        <v>1271</v>
      </c>
      <c r="C411" s="78" t="s">
        <v>1186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10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/>
      <c r="DR411" s="72">
        <v>0</v>
      </c>
      <c r="DS411" s="77"/>
    </row>
    <row r="412" spans="1:123" x14ac:dyDescent="0.35">
      <c r="A412" s="7"/>
      <c r="B412" s="8" t="s">
        <v>681</v>
      </c>
      <c r="C412" s="9" t="s">
        <v>682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42</v>
      </c>
      <c r="J412" s="10">
        <v>1</v>
      </c>
      <c r="K412" s="10" t="s">
        <v>153</v>
      </c>
      <c r="L412" s="8" t="s">
        <v>683</v>
      </c>
      <c r="M412" s="12">
        <v>1833</v>
      </c>
      <c r="N412" s="12">
        <f t="shared" si="10"/>
        <v>10998</v>
      </c>
      <c r="O412" s="11">
        <v>6</v>
      </c>
      <c r="P412" s="11">
        <v>6</v>
      </c>
      <c r="Q412" s="11">
        <v>18</v>
      </c>
      <c r="R412" s="11">
        <v>43</v>
      </c>
      <c r="S412" s="11">
        <v>43</v>
      </c>
      <c r="T412" s="11">
        <v>43</v>
      </c>
      <c r="U412" s="11">
        <v>43</v>
      </c>
      <c r="V412" s="11">
        <v>43</v>
      </c>
      <c r="W412" s="11">
        <v>43</v>
      </c>
      <c r="X412" s="11">
        <v>43</v>
      </c>
      <c r="Y412" s="11">
        <v>42</v>
      </c>
      <c r="Z412" s="11">
        <v>42</v>
      </c>
      <c r="AA412" s="11">
        <v>42</v>
      </c>
      <c r="AB412" s="11">
        <v>42</v>
      </c>
      <c r="AC412" s="11">
        <v>42</v>
      </c>
      <c r="AD412" s="11">
        <v>42</v>
      </c>
      <c r="AE412" s="11">
        <v>42</v>
      </c>
      <c r="AF412" s="11">
        <v>42</v>
      </c>
      <c r="AG412" s="11">
        <v>42</v>
      </c>
      <c r="AH412" s="11">
        <v>42</v>
      </c>
      <c r="AI412" s="11">
        <v>42</v>
      </c>
      <c r="AJ412" s="11">
        <v>42</v>
      </c>
      <c r="AK412" s="11">
        <v>42</v>
      </c>
      <c r="AL412" s="11">
        <v>42</v>
      </c>
      <c r="AM412" s="11">
        <v>42</v>
      </c>
      <c r="AN412" s="72">
        <v>42</v>
      </c>
      <c r="AO412" s="72">
        <v>42</v>
      </c>
      <c r="AP412" s="72">
        <v>42</v>
      </c>
      <c r="AQ412" s="72">
        <v>42</v>
      </c>
      <c r="AR412" s="72">
        <v>42</v>
      </c>
      <c r="AS412" s="72">
        <v>42</v>
      </c>
      <c r="AT412" s="72">
        <v>42</v>
      </c>
      <c r="AU412" s="72">
        <v>42</v>
      </c>
      <c r="AV412" s="72">
        <v>42</v>
      </c>
      <c r="AW412" s="72">
        <v>42</v>
      </c>
      <c r="AX412" s="72">
        <v>42</v>
      </c>
      <c r="AY412" s="72">
        <v>42</v>
      </c>
      <c r="AZ412" s="72">
        <v>42</v>
      </c>
      <c r="BA412" s="72">
        <v>42</v>
      </c>
      <c r="BB412" s="72">
        <v>42</v>
      </c>
      <c r="BC412" s="72">
        <v>42</v>
      </c>
      <c r="BD412" s="72">
        <v>42</v>
      </c>
      <c r="BE412" s="72">
        <v>42</v>
      </c>
      <c r="BF412" s="72">
        <v>42</v>
      </c>
      <c r="BG412" s="72">
        <v>42</v>
      </c>
      <c r="BH412" s="72">
        <v>42</v>
      </c>
      <c r="BI412" s="72">
        <v>42</v>
      </c>
      <c r="BJ412" s="72">
        <v>42</v>
      </c>
      <c r="BK412" s="72">
        <v>40</v>
      </c>
      <c r="BL412" s="72">
        <v>40</v>
      </c>
      <c r="BM412" s="72">
        <v>40</v>
      </c>
      <c r="BN412" s="72">
        <v>40</v>
      </c>
      <c r="BO412" s="72">
        <v>40</v>
      </c>
      <c r="BP412" s="72">
        <v>40</v>
      </c>
      <c r="BQ412" s="72">
        <v>40</v>
      </c>
      <c r="BR412" s="72">
        <v>38</v>
      </c>
      <c r="BS412" s="72">
        <v>38</v>
      </c>
      <c r="BT412" s="72">
        <v>38</v>
      </c>
      <c r="BU412" s="72">
        <v>38</v>
      </c>
      <c r="BV412" s="72">
        <v>38</v>
      </c>
      <c r="BW412" s="72">
        <v>38</v>
      </c>
      <c r="BX412" s="72">
        <v>38</v>
      </c>
      <c r="BY412" s="72">
        <v>38</v>
      </c>
      <c r="BZ412" s="72">
        <v>38</v>
      </c>
      <c r="CA412" s="72">
        <v>38</v>
      </c>
      <c r="CB412" s="72">
        <v>38</v>
      </c>
      <c r="CC412" s="72">
        <v>38</v>
      </c>
      <c r="CD412" s="72">
        <v>38</v>
      </c>
      <c r="CE412" s="72">
        <v>38</v>
      </c>
      <c r="CF412" s="72">
        <v>38</v>
      </c>
      <c r="CG412" s="72">
        <v>38</v>
      </c>
      <c r="CH412" s="72">
        <v>38</v>
      </c>
      <c r="CI412" s="72">
        <v>38</v>
      </c>
      <c r="CJ412" s="72">
        <v>37</v>
      </c>
      <c r="CK412" s="72">
        <v>37</v>
      </c>
      <c r="CL412" s="72">
        <v>37</v>
      </c>
      <c r="CM412" s="72">
        <v>37</v>
      </c>
      <c r="CN412" s="72">
        <v>37</v>
      </c>
      <c r="CO412" s="72">
        <v>37</v>
      </c>
      <c r="CP412" s="72">
        <v>37</v>
      </c>
      <c r="CQ412" s="72">
        <v>37</v>
      </c>
      <c r="CR412" s="72">
        <v>36</v>
      </c>
      <c r="CS412" s="72">
        <v>36</v>
      </c>
      <c r="CT412" s="72">
        <v>36</v>
      </c>
      <c r="CU412" s="72">
        <v>13</v>
      </c>
      <c r="CV412" s="72">
        <v>13</v>
      </c>
      <c r="CW412" s="72">
        <v>13</v>
      </c>
      <c r="CX412" s="72">
        <v>13</v>
      </c>
      <c r="CY412" s="72">
        <v>13</v>
      </c>
      <c r="CZ412" s="72">
        <v>13</v>
      </c>
      <c r="DA412" s="72">
        <v>13</v>
      </c>
      <c r="DB412" s="72">
        <v>13</v>
      </c>
      <c r="DC412" s="72">
        <v>13</v>
      </c>
      <c r="DD412" s="72">
        <v>13</v>
      </c>
      <c r="DE412" s="72">
        <v>14</v>
      </c>
      <c r="DF412" s="72">
        <v>14</v>
      </c>
      <c r="DG412" s="72">
        <v>14</v>
      </c>
      <c r="DH412" s="72">
        <v>12</v>
      </c>
      <c r="DI412" s="72">
        <v>12</v>
      </c>
      <c r="DJ412" s="72">
        <v>12</v>
      </c>
      <c r="DK412" s="72">
        <v>10</v>
      </c>
      <c r="DL412" s="72">
        <v>8</v>
      </c>
      <c r="DM412" s="72">
        <v>6</v>
      </c>
      <c r="DN412" s="72">
        <v>6</v>
      </c>
      <c r="DO412" s="72">
        <v>6</v>
      </c>
      <c r="DP412" s="72">
        <v>6</v>
      </c>
      <c r="DQ412" s="72"/>
      <c r="DR412" s="72">
        <v>6</v>
      </c>
      <c r="DS412" s="137"/>
    </row>
    <row r="413" spans="1:123" x14ac:dyDescent="0.35">
      <c r="A413" s="7"/>
      <c r="B413" s="8" t="s">
        <v>684</v>
      </c>
      <c r="C413" s="9" t="s">
        <v>685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5</v>
      </c>
      <c r="J413" s="10"/>
      <c r="K413" s="10" t="s">
        <v>153</v>
      </c>
      <c r="L413" s="8"/>
      <c r="M413" s="12">
        <v>2782.61</v>
      </c>
      <c r="N413" s="12">
        <f t="shared" si="10"/>
        <v>19478.27</v>
      </c>
      <c r="O413" s="11">
        <v>5</v>
      </c>
      <c r="P413" s="11">
        <v>5</v>
      </c>
      <c r="Q413" s="11">
        <v>5</v>
      </c>
      <c r="R413" s="11">
        <v>5</v>
      </c>
      <c r="S413" s="11">
        <v>5</v>
      </c>
      <c r="T413" s="11">
        <v>5</v>
      </c>
      <c r="U413" s="11">
        <v>5</v>
      </c>
      <c r="V413" s="11">
        <v>5</v>
      </c>
      <c r="W413" s="11">
        <v>5</v>
      </c>
      <c r="X413" s="11">
        <v>5</v>
      </c>
      <c r="Y413" s="11">
        <v>5</v>
      </c>
      <c r="Z413" s="11">
        <v>5</v>
      </c>
      <c r="AA413" s="11">
        <v>5</v>
      </c>
      <c r="AB413" s="11">
        <v>5</v>
      </c>
      <c r="AC413" s="11">
        <v>5</v>
      </c>
      <c r="AD413" s="11">
        <v>5</v>
      </c>
      <c r="AE413" s="11">
        <v>5</v>
      </c>
      <c r="AF413" s="11">
        <v>5</v>
      </c>
      <c r="AG413" s="11">
        <v>5</v>
      </c>
      <c r="AH413" s="11">
        <v>5</v>
      </c>
      <c r="AI413" s="11">
        <v>5</v>
      </c>
      <c r="AJ413" s="11">
        <v>5</v>
      </c>
      <c r="AK413" s="11">
        <v>5</v>
      </c>
      <c r="AL413" s="11">
        <v>5</v>
      </c>
      <c r="AM413" s="11">
        <v>5</v>
      </c>
      <c r="AN413" s="72">
        <v>5</v>
      </c>
      <c r="AO413" s="72">
        <v>7</v>
      </c>
      <c r="AP413" s="72">
        <v>7</v>
      </c>
      <c r="AQ413" s="72">
        <v>7</v>
      </c>
      <c r="AR413" s="72">
        <v>7</v>
      </c>
      <c r="AS413" s="72">
        <v>7</v>
      </c>
      <c r="AT413" s="72">
        <v>7</v>
      </c>
      <c r="AU413" s="72">
        <v>7</v>
      </c>
      <c r="AV413" s="72">
        <v>7</v>
      </c>
      <c r="AW413" s="72">
        <v>7</v>
      </c>
      <c r="AX413" s="72">
        <v>7</v>
      </c>
      <c r="AY413" s="72">
        <v>7</v>
      </c>
      <c r="AZ413" s="72">
        <v>7</v>
      </c>
      <c r="BA413" s="72">
        <v>7</v>
      </c>
      <c r="BB413" s="72">
        <v>7</v>
      </c>
      <c r="BC413" s="72">
        <v>7</v>
      </c>
      <c r="BD413" s="72">
        <v>7</v>
      </c>
      <c r="BE413" s="72">
        <v>7</v>
      </c>
      <c r="BF413" s="72">
        <v>7</v>
      </c>
      <c r="BG413" s="72">
        <v>7</v>
      </c>
      <c r="BH413" s="72">
        <v>7</v>
      </c>
      <c r="BI413" s="72">
        <v>7</v>
      </c>
      <c r="BJ413" s="72">
        <v>7</v>
      </c>
      <c r="BK413" s="72">
        <v>7</v>
      </c>
      <c r="BL413" s="72">
        <v>7</v>
      </c>
      <c r="BM413" s="72">
        <v>7</v>
      </c>
      <c r="BN413" s="72">
        <v>7</v>
      </c>
      <c r="BO413" s="72">
        <v>7</v>
      </c>
      <c r="BP413" s="72">
        <v>7</v>
      </c>
      <c r="BQ413" s="72">
        <v>7</v>
      </c>
      <c r="BR413" s="72">
        <v>7</v>
      </c>
      <c r="BS413" s="72">
        <v>7</v>
      </c>
      <c r="BT413" s="72">
        <v>7</v>
      </c>
      <c r="BU413" s="72">
        <v>7</v>
      </c>
      <c r="BV413" s="72">
        <v>7</v>
      </c>
      <c r="BW413" s="72">
        <v>7</v>
      </c>
      <c r="BX413" s="72">
        <v>7</v>
      </c>
      <c r="BY413" s="72">
        <v>7</v>
      </c>
      <c r="BZ413" s="72">
        <v>7</v>
      </c>
      <c r="CA413" s="72">
        <v>7</v>
      </c>
      <c r="CB413" s="72">
        <v>7</v>
      </c>
      <c r="CC413" s="72">
        <v>7</v>
      </c>
      <c r="CD413" s="72">
        <v>7</v>
      </c>
      <c r="CE413" s="72">
        <v>7</v>
      </c>
      <c r="CF413" s="72">
        <v>7</v>
      </c>
      <c r="CG413" s="72">
        <v>7</v>
      </c>
      <c r="CH413" s="72">
        <v>7</v>
      </c>
      <c r="CI413" s="72">
        <v>7</v>
      </c>
      <c r="CJ413" s="72">
        <v>7</v>
      </c>
      <c r="CK413" s="72">
        <v>7</v>
      </c>
      <c r="CL413" s="72">
        <v>7</v>
      </c>
      <c r="CM413" s="72">
        <v>7</v>
      </c>
      <c r="CN413" s="72">
        <v>7</v>
      </c>
      <c r="CO413" s="72">
        <v>7</v>
      </c>
      <c r="CP413" s="72">
        <v>7</v>
      </c>
      <c r="CQ413" s="72">
        <v>7</v>
      </c>
      <c r="CR413" s="72">
        <v>7</v>
      </c>
      <c r="CS413" s="72">
        <v>7</v>
      </c>
      <c r="CT413" s="72">
        <v>7</v>
      </c>
      <c r="CU413" s="72">
        <v>7</v>
      </c>
      <c r="CV413" s="72">
        <v>7</v>
      </c>
      <c r="CW413" s="72">
        <v>7</v>
      </c>
      <c r="CX413" s="72">
        <v>7</v>
      </c>
      <c r="CY413" s="72">
        <v>7</v>
      </c>
      <c r="CZ413" s="72">
        <v>7</v>
      </c>
      <c r="DA413" s="72">
        <v>7</v>
      </c>
      <c r="DB413" s="72">
        <v>7</v>
      </c>
      <c r="DC413" s="72">
        <v>7</v>
      </c>
      <c r="DD413" s="72">
        <v>7</v>
      </c>
      <c r="DE413" s="72">
        <v>7</v>
      </c>
      <c r="DF413" s="72">
        <v>7</v>
      </c>
      <c r="DG413" s="72">
        <v>7</v>
      </c>
      <c r="DH413" s="72">
        <v>7</v>
      </c>
      <c r="DI413" s="72">
        <v>7</v>
      </c>
      <c r="DJ413" s="72">
        <v>7</v>
      </c>
      <c r="DK413" s="72">
        <v>7</v>
      </c>
      <c r="DL413" s="72">
        <v>7</v>
      </c>
      <c r="DM413" s="72">
        <v>7</v>
      </c>
      <c r="DN413" s="72">
        <v>7</v>
      </c>
      <c r="DO413" s="72">
        <v>7</v>
      </c>
      <c r="DP413" s="72">
        <v>7</v>
      </c>
      <c r="DQ413" s="72"/>
      <c r="DR413" s="72">
        <v>7</v>
      </c>
      <c r="DS413" s="77"/>
    </row>
    <row r="414" spans="1:123" x14ac:dyDescent="0.35">
      <c r="A414" s="7"/>
      <c r="B414" s="8" t="s">
        <v>686</v>
      </c>
      <c r="C414" s="9" t="s">
        <v>687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0</v>
      </c>
      <c r="J414" s="10"/>
      <c r="K414" s="10" t="s">
        <v>153</v>
      </c>
      <c r="L414" s="8"/>
      <c r="M414" s="12"/>
      <c r="N414" s="12">
        <f t="shared" si="10"/>
        <v>0</v>
      </c>
      <c r="O414" s="11"/>
      <c r="P414" s="11"/>
      <c r="Q414" s="11">
        <v>2</v>
      </c>
      <c r="R414" s="11">
        <v>2</v>
      </c>
      <c r="S414" s="11">
        <v>2</v>
      </c>
      <c r="T414" s="11">
        <v>2</v>
      </c>
      <c r="U414" s="11">
        <v>2</v>
      </c>
      <c r="V414" s="11">
        <v>2</v>
      </c>
      <c r="W414" s="11">
        <v>2</v>
      </c>
      <c r="X414" s="11">
        <v>2</v>
      </c>
      <c r="Y414" s="11">
        <v>2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  <c r="DQ414" s="72"/>
      <c r="DR414" s="72">
        <v>0</v>
      </c>
      <c r="DS414" s="77"/>
    </row>
    <row r="415" spans="1:123" x14ac:dyDescent="0.35">
      <c r="A415" s="7"/>
      <c r="B415" s="8" t="s">
        <v>688</v>
      </c>
      <c r="C415" s="9" t="s">
        <v>689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0</v>
      </c>
      <c r="J415" s="10"/>
      <c r="K415" s="10" t="s">
        <v>42</v>
      </c>
      <c r="L415" s="8"/>
      <c r="M415" s="12"/>
      <c r="N415" s="12">
        <f t="shared" si="10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  <c r="DQ415" s="72"/>
      <c r="DR415" s="72">
        <v>0</v>
      </c>
      <c r="DS415" s="77"/>
    </row>
    <row r="416" spans="1:123" x14ac:dyDescent="0.35">
      <c r="A416" s="7"/>
      <c r="B416" s="8" t="s">
        <v>690</v>
      </c>
      <c r="C416" s="7" t="s">
        <v>691</v>
      </c>
      <c r="D416" s="10" t="s">
        <v>594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60</v>
      </c>
      <c r="J416" s="10">
        <v>0</v>
      </c>
      <c r="K416" s="10" t="s">
        <v>692</v>
      </c>
      <c r="L416" s="8"/>
      <c r="M416" s="12">
        <v>12.78</v>
      </c>
      <c r="N416" s="12">
        <f t="shared" si="10"/>
        <v>63.9</v>
      </c>
      <c r="O416" s="11">
        <v>86</v>
      </c>
      <c r="P416" s="11">
        <v>86</v>
      </c>
      <c r="Q416" s="11">
        <v>119</v>
      </c>
      <c r="R416" s="11">
        <v>144</v>
      </c>
      <c r="S416" s="11">
        <v>144</v>
      </c>
      <c r="T416" s="11">
        <v>144</v>
      </c>
      <c r="U416" s="11">
        <v>100</v>
      </c>
      <c r="V416" s="11">
        <v>100</v>
      </c>
      <c r="W416" s="11">
        <v>100</v>
      </c>
      <c r="X416" s="11">
        <v>100</v>
      </c>
      <c r="Y416" s="11">
        <v>100</v>
      </c>
      <c r="Z416" s="11">
        <v>90</v>
      </c>
      <c r="AA416" s="11">
        <v>90</v>
      </c>
      <c r="AB416" s="11">
        <v>75</v>
      </c>
      <c r="AC416" s="11">
        <v>75</v>
      </c>
      <c r="AD416" s="11">
        <v>75</v>
      </c>
      <c r="AE416" s="11">
        <v>70</v>
      </c>
      <c r="AF416" s="11">
        <v>70</v>
      </c>
      <c r="AG416" s="11">
        <v>70</v>
      </c>
      <c r="AH416" s="11">
        <v>70</v>
      </c>
      <c r="AI416" s="11">
        <v>60</v>
      </c>
      <c r="AJ416" s="11">
        <v>60</v>
      </c>
      <c r="AK416" s="11">
        <v>60</v>
      </c>
      <c r="AL416" s="11">
        <v>58</v>
      </c>
      <c r="AM416" s="11">
        <v>54</v>
      </c>
      <c r="AN416" s="72">
        <v>46</v>
      </c>
      <c r="AO416" s="72">
        <v>47</v>
      </c>
      <c r="AP416" s="72">
        <v>47</v>
      </c>
      <c r="AQ416" s="72">
        <v>47</v>
      </c>
      <c r="AR416" s="72">
        <v>47</v>
      </c>
      <c r="AS416" s="72">
        <v>47</v>
      </c>
      <c r="AT416" s="72">
        <v>47</v>
      </c>
      <c r="AU416" s="72">
        <v>47</v>
      </c>
      <c r="AV416" s="72">
        <v>47</v>
      </c>
      <c r="AW416" s="72">
        <v>47</v>
      </c>
      <c r="AX416" s="72">
        <v>47</v>
      </c>
      <c r="AY416" s="72">
        <v>47</v>
      </c>
      <c r="AZ416" s="72">
        <v>47</v>
      </c>
      <c r="BA416" s="72">
        <v>47</v>
      </c>
      <c r="BB416" s="72">
        <v>44</v>
      </c>
      <c r="BC416" s="72">
        <v>44</v>
      </c>
      <c r="BD416" s="72">
        <v>44</v>
      </c>
      <c r="BE416" s="72">
        <v>44</v>
      </c>
      <c r="BF416" s="72">
        <v>44</v>
      </c>
      <c r="BG416" s="72">
        <v>44</v>
      </c>
      <c r="BH416" s="72">
        <v>44</v>
      </c>
      <c r="BI416" s="72">
        <v>44</v>
      </c>
      <c r="BJ416" s="72">
        <v>44</v>
      </c>
      <c r="BK416" s="72">
        <v>28</v>
      </c>
      <c r="BL416" s="72">
        <v>28</v>
      </c>
      <c r="BM416" s="72">
        <v>28</v>
      </c>
      <c r="BN416" s="72">
        <v>1</v>
      </c>
      <c r="BO416" s="72">
        <v>1</v>
      </c>
      <c r="BP416" s="72">
        <v>1</v>
      </c>
      <c r="BQ416" s="72">
        <v>1</v>
      </c>
      <c r="BR416" s="72">
        <v>0</v>
      </c>
      <c r="BS416" s="72">
        <v>0</v>
      </c>
      <c r="BT416" s="72">
        <v>0</v>
      </c>
      <c r="BU416" s="72">
        <v>0</v>
      </c>
      <c r="BV416" s="72">
        <v>2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50</v>
      </c>
      <c r="CX416" s="72">
        <v>50</v>
      </c>
      <c r="CY416" s="72">
        <v>27</v>
      </c>
      <c r="CZ416" s="72">
        <v>27</v>
      </c>
      <c r="DA416" s="72">
        <v>27</v>
      </c>
      <c r="DB416" s="72">
        <v>27</v>
      </c>
      <c r="DC416" s="72">
        <v>27</v>
      </c>
      <c r="DD416" s="72">
        <v>27</v>
      </c>
      <c r="DE416" s="72">
        <v>27</v>
      </c>
      <c r="DF416" s="72">
        <v>27</v>
      </c>
      <c r="DG416" s="72">
        <v>27</v>
      </c>
      <c r="DH416" s="72">
        <v>23</v>
      </c>
      <c r="DI416" s="72">
        <v>23</v>
      </c>
      <c r="DJ416" s="72">
        <v>23</v>
      </c>
      <c r="DK416" s="72">
        <v>21</v>
      </c>
      <c r="DL416" s="72">
        <v>17</v>
      </c>
      <c r="DM416" s="72">
        <v>5</v>
      </c>
      <c r="DN416" s="72">
        <v>5</v>
      </c>
      <c r="DO416" s="72">
        <v>5</v>
      </c>
      <c r="DP416" s="72">
        <v>5</v>
      </c>
      <c r="DQ416" s="72"/>
      <c r="DR416" s="72">
        <v>5</v>
      </c>
      <c r="DS416" s="137"/>
    </row>
    <row r="417" spans="1:123" x14ac:dyDescent="0.35">
      <c r="A417" s="7"/>
      <c r="B417" s="8" t="s">
        <v>693</v>
      </c>
      <c r="C417" s="9" t="s">
        <v>694</v>
      </c>
      <c r="D417" s="10" t="s">
        <v>594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/>
      <c r="L417" s="8"/>
      <c r="M417" s="12">
        <v>458.22</v>
      </c>
      <c r="N417" s="12">
        <f t="shared" si="10"/>
        <v>916.44</v>
      </c>
      <c r="O417" s="11">
        <v>2</v>
      </c>
      <c r="P417" s="11">
        <v>2</v>
      </c>
      <c r="Q417" s="11">
        <v>2</v>
      </c>
      <c r="R417" s="11">
        <v>2</v>
      </c>
      <c r="S417" s="11">
        <v>2</v>
      </c>
      <c r="T417" s="11">
        <v>2</v>
      </c>
      <c r="U417" s="11">
        <v>2</v>
      </c>
      <c r="V417" s="11">
        <v>2</v>
      </c>
      <c r="W417" s="11">
        <v>2</v>
      </c>
      <c r="X417" s="11">
        <v>2</v>
      </c>
      <c r="Y417" s="11">
        <v>2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2</v>
      </c>
      <c r="DN417" s="72">
        <v>2</v>
      </c>
      <c r="DO417" s="72">
        <v>2</v>
      </c>
      <c r="DP417" s="72">
        <v>2</v>
      </c>
      <c r="DQ417" s="72"/>
      <c r="DR417" s="72">
        <v>2</v>
      </c>
      <c r="DS417" s="77"/>
    </row>
    <row r="418" spans="1:123" x14ac:dyDescent="0.35">
      <c r="A418" s="7"/>
      <c r="B418" s="8" t="s">
        <v>695</v>
      </c>
      <c r="C418" s="9" t="s">
        <v>696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236</v>
      </c>
      <c r="N418" s="12">
        <f t="shared" si="10"/>
        <v>236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  <c r="DP418" s="72">
        <v>1</v>
      </c>
      <c r="DQ418" s="72"/>
      <c r="DR418" s="72">
        <v>1</v>
      </c>
      <c r="DS418" s="77"/>
    </row>
    <row r="419" spans="1:123" x14ac:dyDescent="0.35">
      <c r="A419" s="7"/>
      <c r="B419" s="77" t="s">
        <v>1247</v>
      </c>
      <c r="C419" s="9" t="s">
        <v>1252</v>
      </c>
      <c r="D419" s="10" t="s">
        <v>697</v>
      </c>
      <c r="E419" s="8" t="s">
        <v>1206</v>
      </c>
      <c r="F419" s="10"/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0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>
        <v>9</v>
      </c>
      <c r="AV419" s="72">
        <v>9</v>
      </c>
      <c r="AW419" s="72">
        <v>9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  <c r="DQ419" s="72"/>
      <c r="DR419" s="72">
        <v>0</v>
      </c>
      <c r="DS419" s="77"/>
    </row>
    <row r="420" spans="1:123" x14ac:dyDescent="0.35">
      <c r="A420" s="7"/>
      <c r="B420" s="77" t="s">
        <v>1248</v>
      </c>
      <c r="C420" s="9" t="s">
        <v>1253</v>
      </c>
      <c r="D420" s="10" t="s">
        <v>697</v>
      </c>
      <c r="E420" s="8" t="s">
        <v>1205</v>
      </c>
      <c r="F420" s="10"/>
      <c r="G420" s="10" t="s">
        <v>40</v>
      </c>
      <c r="H420" s="10" t="s">
        <v>41</v>
      </c>
      <c r="I420" s="11"/>
      <c r="J420" s="10"/>
      <c r="K420" s="10"/>
      <c r="L420" s="8"/>
      <c r="M420" s="12"/>
      <c r="N420" s="12">
        <f t="shared" si="10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/>
      <c r="AP420" s="72"/>
      <c r="AQ420" s="72"/>
      <c r="AR420" s="72"/>
      <c r="AS420" s="72"/>
      <c r="AT420" s="72"/>
      <c r="AU420" s="72">
        <v>9</v>
      </c>
      <c r="AV420" s="72">
        <v>9</v>
      </c>
      <c r="AW420" s="72">
        <v>9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  <c r="DQ420" s="72"/>
      <c r="DR420" s="72">
        <v>0</v>
      </c>
      <c r="DS420" s="77"/>
    </row>
    <row r="421" spans="1:123" x14ac:dyDescent="0.35">
      <c r="A421" s="7"/>
      <c r="B421" s="14" t="s">
        <v>698</v>
      </c>
      <c r="C421" s="9" t="s">
        <v>699</v>
      </c>
      <c r="D421" s="10" t="s">
        <v>697</v>
      </c>
      <c r="E421" s="8" t="s">
        <v>1206</v>
      </c>
      <c r="F421" s="10">
        <v>1002</v>
      </c>
      <c r="G421" s="10" t="s">
        <v>40</v>
      </c>
      <c r="H421" s="10" t="s">
        <v>41</v>
      </c>
      <c r="I421" s="11">
        <v>6</v>
      </c>
      <c r="J421" s="10"/>
      <c r="K421" s="10" t="s">
        <v>42</v>
      </c>
      <c r="L421" s="8"/>
      <c r="M421" s="12">
        <v>462.33</v>
      </c>
      <c r="N421" s="12">
        <f t="shared" si="10"/>
        <v>2311.65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6</v>
      </c>
      <c r="W421" s="11">
        <v>6</v>
      </c>
      <c r="X421" s="11">
        <v>6</v>
      </c>
      <c r="Y421" s="11">
        <v>6</v>
      </c>
      <c r="Z421" s="11">
        <v>6</v>
      </c>
      <c r="AA421" s="11">
        <v>6</v>
      </c>
      <c r="AB421" s="11">
        <v>6</v>
      </c>
      <c r="AC421" s="11">
        <v>6</v>
      </c>
      <c r="AD421" s="11">
        <v>6</v>
      </c>
      <c r="AE421" s="11">
        <v>6</v>
      </c>
      <c r="AF421" s="11">
        <v>6</v>
      </c>
      <c r="AG421" s="11">
        <v>6</v>
      </c>
      <c r="AH421" s="11">
        <v>6</v>
      </c>
      <c r="AI421" s="11">
        <v>6</v>
      </c>
      <c r="AJ421" s="11">
        <v>6</v>
      </c>
      <c r="AK421" s="11">
        <v>6</v>
      </c>
      <c r="AL421" s="11">
        <v>6</v>
      </c>
      <c r="AM421" s="11">
        <v>6</v>
      </c>
      <c r="AN421" s="72">
        <v>6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5</v>
      </c>
      <c r="AY421" s="72">
        <v>5</v>
      </c>
      <c r="AZ421" s="72">
        <v>5</v>
      </c>
      <c r="BA421" s="72">
        <v>5</v>
      </c>
      <c r="BB421" s="72">
        <v>5</v>
      </c>
      <c r="BC421" s="72">
        <v>5</v>
      </c>
      <c r="BD421" s="72">
        <v>5</v>
      </c>
      <c r="BE421" s="72">
        <v>5</v>
      </c>
      <c r="BF421" s="72">
        <v>5</v>
      </c>
      <c r="BG421" s="72">
        <v>5</v>
      </c>
      <c r="BH421" s="72">
        <v>5</v>
      </c>
      <c r="BI421" s="72">
        <v>5</v>
      </c>
      <c r="BJ421" s="72">
        <v>5</v>
      </c>
      <c r="BK421" s="72">
        <v>5</v>
      </c>
      <c r="BL421" s="72">
        <v>5</v>
      </c>
      <c r="BM421" s="72">
        <v>5</v>
      </c>
      <c r="BN421" s="72">
        <v>5</v>
      </c>
      <c r="BO421" s="72">
        <v>5</v>
      </c>
      <c r="BP421" s="72">
        <v>5</v>
      </c>
      <c r="BQ421" s="72">
        <v>5</v>
      </c>
      <c r="BR421" s="72">
        <v>5</v>
      </c>
      <c r="BS421" s="72">
        <v>5</v>
      </c>
      <c r="BT421" s="72">
        <v>5</v>
      </c>
      <c r="BU421" s="72">
        <v>5</v>
      </c>
      <c r="BV421" s="72">
        <v>5</v>
      </c>
      <c r="BW421" s="72">
        <v>5</v>
      </c>
      <c r="BX421" s="72">
        <v>5</v>
      </c>
      <c r="BY421" s="72">
        <v>5</v>
      </c>
      <c r="BZ421" s="72">
        <v>5</v>
      </c>
      <c r="CA421" s="72">
        <v>5</v>
      </c>
      <c r="CB421" s="72">
        <v>5</v>
      </c>
      <c r="CC421" s="72">
        <v>5</v>
      </c>
      <c r="CD421" s="72">
        <v>5</v>
      </c>
      <c r="CE421" s="72">
        <v>5</v>
      </c>
      <c r="CF421" s="72">
        <v>5</v>
      </c>
      <c r="CG421" s="72">
        <v>5</v>
      </c>
      <c r="CH421" s="72">
        <v>5</v>
      </c>
      <c r="CI421" s="72">
        <v>5</v>
      </c>
      <c r="CJ421" s="72">
        <v>5</v>
      </c>
      <c r="CK421" s="72">
        <v>5</v>
      </c>
      <c r="CL421" s="72">
        <v>5</v>
      </c>
      <c r="CM421" s="72">
        <v>5</v>
      </c>
      <c r="CN421" s="72">
        <v>5</v>
      </c>
      <c r="CO421" s="72">
        <v>5</v>
      </c>
      <c r="CP421" s="72">
        <v>5</v>
      </c>
      <c r="CQ421" s="72">
        <v>5</v>
      </c>
      <c r="CR421" s="72">
        <v>5</v>
      </c>
      <c r="CS421" s="72">
        <v>5</v>
      </c>
      <c r="CT421" s="72">
        <v>5</v>
      </c>
      <c r="CU421" s="72">
        <v>5</v>
      </c>
      <c r="CV421" s="72">
        <v>5</v>
      </c>
      <c r="CW421" s="72">
        <v>5</v>
      </c>
      <c r="CX421" s="72">
        <v>5</v>
      </c>
      <c r="CY421" s="72">
        <v>5</v>
      </c>
      <c r="CZ421" s="72">
        <v>5</v>
      </c>
      <c r="DA421" s="72">
        <v>5</v>
      </c>
      <c r="DB421" s="72">
        <v>5</v>
      </c>
      <c r="DC421" s="72">
        <v>5</v>
      </c>
      <c r="DD421" s="72">
        <v>5</v>
      </c>
      <c r="DE421" s="72">
        <v>5</v>
      </c>
      <c r="DF421" s="72">
        <v>5</v>
      </c>
      <c r="DG421" s="72">
        <v>5</v>
      </c>
      <c r="DH421" s="72">
        <v>5</v>
      </c>
      <c r="DI421" s="72">
        <v>5</v>
      </c>
      <c r="DJ421" s="72">
        <v>5</v>
      </c>
      <c r="DK421" s="72">
        <v>5</v>
      </c>
      <c r="DL421" s="72">
        <v>5</v>
      </c>
      <c r="DM421" s="72">
        <v>5</v>
      </c>
      <c r="DN421" s="72">
        <v>5</v>
      </c>
      <c r="DO421" s="72">
        <v>5</v>
      </c>
      <c r="DP421" s="72">
        <v>5</v>
      </c>
      <c r="DQ421" s="72"/>
      <c r="DR421" s="72">
        <v>5</v>
      </c>
      <c r="DS421" s="137"/>
    </row>
    <row r="422" spans="1:123" x14ac:dyDescent="0.35">
      <c r="A422" s="7"/>
      <c r="B422" s="14" t="s">
        <v>700</v>
      </c>
      <c r="C422" s="9" t="s">
        <v>701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18</v>
      </c>
      <c r="J422" s="10"/>
      <c r="K422" s="10"/>
      <c r="L422" s="8"/>
      <c r="M422" s="12">
        <v>263</v>
      </c>
      <c r="N422" s="12">
        <f t="shared" si="10"/>
        <v>789</v>
      </c>
      <c r="O422" s="11">
        <v>18</v>
      </c>
      <c r="P422" s="11">
        <v>18</v>
      </c>
      <c r="Q422" s="11">
        <v>18</v>
      </c>
      <c r="R422" s="11">
        <v>18</v>
      </c>
      <c r="S422" s="11">
        <v>18</v>
      </c>
      <c r="T422" s="11">
        <v>18</v>
      </c>
      <c r="U422" s="11">
        <v>18</v>
      </c>
      <c r="V422" s="11">
        <v>18</v>
      </c>
      <c r="W422" s="11">
        <v>18</v>
      </c>
      <c r="X422" s="11">
        <v>18</v>
      </c>
      <c r="Y422" s="11">
        <v>18</v>
      </c>
      <c r="Z422" s="11">
        <v>18</v>
      </c>
      <c r="AA422" s="11">
        <v>18</v>
      </c>
      <c r="AB422" s="11">
        <v>18</v>
      </c>
      <c r="AC422" s="11">
        <v>18</v>
      </c>
      <c r="AD422" s="11">
        <v>18</v>
      </c>
      <c r="AE422" s="11">
        <v>18</v>
      </c>
      <c r="AF422" s="11">
        <v>18</v>
      </c>
      <c r="AG422" s="11">
        <v>18</v>
      </c>
      <c r="AH422" s="11">
        <v>18</v>
      </c>
      <c r="AI422" s="11">
        <v>18</v>
      </c>
      <c r="AJ422" s="11">
        <v>18</v>
      </c>
      <c r="AK422" s="11">
        <v>18</v>
      </c>
      <c r="AL422" s="11">
        <v>18</v>
      </c>
      <c r="AM422" s="11">
        <v>18</v>
      </c>
      <c r="AN422" s="72">
        <v>18</v>
      </c>
      <c r="AO422" s="72">
        <v>18</v>
      </c>
      <c r="AP422" s="72">
        <v>10</v>
      </c>
      <c r="AQ422" s="72">
        <v>10</v>
      </c>
      <c r="AR422" s="72">
        <v>10</v>
      </c>
      <c r="AS422" s="72">
        <v>10</v>
      </c>
      <c r="AT422" s="72">
        <v>10</v>
      </c>
      <c r="AU422" s="72">
        <v>10</v>
      </c>
      <c r="AV422" s="72">
        <v>10</v>
      </c>
      <c r="AW422" s="72">
        <v>10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10</v>
      </c>
      <c r="BI422" s="72">
        <v>10</v>
      </c>
      <c r="BJ422" s="72">
        <v>10</v>
      </c>
      <c r="BK422" s="72">
        <v>10</v>
      </c>
      <c r="BL422" s="72">
        <v>10</v>
      </c>
      <c r="BM422" s="72">
        <v>10</v>
      </c>
      <c r="BN422" s="72">
        <v>10</v>
      </c>
      <c r="BO422" s="72">
        <v>9</v>
      </c>
      <c r="BP422" s="72">
        <v>9</v>
      </c>
      <c r="BQ422" s="72">
        <v>6</v>
      </c>
      <c r="BR422" s="72">
        <v>4</v>
      </c>
      <c r="BS422" s="72">
        <v>3</v>
      </c>
      <c r="BT422" s="72">
        <v>3</v>
      </c>
      <c r="BU422" s="72">
        <v>3</v>
      </c>
      <c r="BV422" s="72">
        <v>3</v>
      </c>
      <c r="BW422" s="72">
        <v>3</v>
      </c>
      <c r="BX422" s="72">
        <v>3</v>
      </c>
      <c r="BY422" s="72">
        <v>3</v>
      </c>
      <c r="BZ422" s="72">
        <v>3</v>
      </c>
      <c r="CA422" s="72">
        <v>3</v>
      </c>
      <c r="CB422" s="72">
        <v>3</v>
      </c>
      <c r="CC422" s="72">
        <v>3</v>
      </c>
      <c r="CD422" s="72">
        <v>3</v>
      </c>
      <c r="CE422" s="72">
        <v>3</v>
      </c>
      <c r="CF422" s="72">
        <v>3</v>
      </c>
      <c r="CG422" s="72">
        <v>3</v>
      </c>
      <c r="CH422" s="72">
        <v>3</v>
      </c>
      <c r="CI422" s="72">
        <v>3</v>
      </c>
      <c r="CJ422" s="72">
        <v>3</v>
      </c>
      <c r="CK422" s="72">
        <v>3</v>
      </c>
      <c r="CL422" s="72">
        <v>3</v>
      </c>
      <c r="CM422" s="72">
        <v>3</v>
      </c>
      <c r="CN422" s="72">
        <v>3</v>
      </c>
      <c r="CO422" s="72">
        <v>3</v>
      </c>
      <c r="CP422" s="72">
        <v>3</v>
      </c>
      <c r="CQ422" s="72">
        <v>3</v>
      </c>
      <c r="CR422" s="72">
        <v>3</v>
      </c>
      <c r="CS422" s="72">
        <v>3</v>
      </c>
      <c r="CT422" s="72">
        <v>3</v>
      </c>
      <c r="CU422" s="72">
        <v>3</v>
      </c>
      <c r="CV422" s="72">
        <v>3</v>
      </c>
      <c r="CW422" s="72">
        <v>3</v>
      </c>
      <c r="CX422" s="72">
        <v>3</v>
      </c>
      <c r="CY422" s="72">
        <v>3</v>
      </c>
      <c r="CZ422" s="72">
        <v>3</v>
      </c>
      <c r="DA422" s="72">
        <v>3</v>
      </c>
      <c r="DB422" s="72">
        <v>3</v>
      </c>
      <c r="DC422" s="72">
        <v>3</v>
      </c>
      <c r="DD422" s="72">
        <v>3</v>
      </c>
      <c r="DE422" s="72">
        <v>3</v>
      </c>
      <c r="DF422" s="72">
        <v>3</v>
      </c>
      <c r="DG422" s="72">
        <v>3</v>
      </c>
      <c r="DH422" s="72">
        <v>3</v>
      </c>
      <c r="DI422" s="72">
        <v>3</v>
      </c>
      <c r="DJ422" s="72">
        <v>3</v>
      </c>
      <c r="DK422" s="72">
        <v>3</v>
      </c>
      <c r="DL422" s="72">
        <v>3</v>
      </c>
      <c r="DM422" s="72">
        <v>3</v>
      </c>
      <c r="DN422" s="72">
        <v>3</v>
      </c>
      <c r="DO422" s="72">
        <v>3</v>
      </c>
      <c r="DP422" s="72">
        <v>3</v>
      </c>
      <c r="DQ422" s="72"/>
      <c r="DR422" s="72">
        <v>3</v>
      </c>
      <c r="DS422" s="77"/>
    </row>
    <row r="423" spans="1:123" x14ac:dyDescent="0.35">
      <c r="A423" s="7"/>
      <c r="B423" s="14" t="s">
        <v>1379</v>
      </c>
      <c r="C423" s="9" t="s">
        <v>701</v>
      </c>
      <c r="D423" s="10" t="s">
        <v>697</v>
      </c>
      <c r="E423" s="8" t="s">
        <v>1206</v>
      </c>
      <c r="F423" s="10"/>
      <c r="G423" s="10"/>
      <c r="H423" s="10" t="s">
        <v>41</v>
      </c>
      <c r="I423" s="11"/>
      <c r="J423" s="10"/>
      <c r="K423" s="10"/>
      <c r="L423" s="8"/>
      <c r="M423" s="12">
        <v>263</v>
      </c>
      <c r="N423" s="12">
        <f t="shared" si="10"/>
        <v>263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  <c r="DQ423" s="72"/>
      <c r="DR423" s="72">
        <v>1</v>
      </c>
      <c r="DS423" s="77"/>
    </row>
    <row r="424" spans="1:123" x14ac:dyDescent="0.35">
      <c r="A424" s="7"/>
      <c r="B424" s="8" t="s">
        <v>702</v>
      </c>
      <c r="C424" s="9" t="s">
        <v>703</v>
      </c>
      <c r="D424" s="10" t="s">
        <v>697</v>
      </c>
      <c r="E424" s="8" t="s">
        <v>1206</v>
      </c>
      <c r="F424" s="10">
        <v>1002</v>
      </c>
      <c r="G424" s="10" t="s">
        <v>40</v>
      </c>
      <c r="H424" s="10" t="s">
        <v>41</v>
      </c>
      <c r="I424" s="11">
        <v>7</v>
      </c>
      <c r="J424" s="10"/>
      <c r="K424" s="10" t="s">
        <v>42</v>
      </c>
      <c r="L424" s="8"/>
      <c r="M424" s="12">
        <v>96.1</v>
      </c>
      <c r="N424" s="12">
        <f t="shared" si="10"/>
        <v>0</v>
      </c>
      <c r="O424" s="11">
        <v>25</v>
      </c>
      <c r="P424" s="11">
        <v>25</v>
      </c>
      <c r="Q424" s="11">
        <v>25</v>
      </c>
      <c r="R424" s="11">
        <v>25</v>
      </c>
      <c r="S424" s="11">
        <v>25</v>
      </c>
      <c r="T424" s="11">
        <v>25</v>
      </c>
      <c r="U424" s="11">
        <v>25</v>
      </c>
      <c r="V424" s="11">
        <v>25</v>
      </c>
      <c r="W424" s="11">
        <v>25</v>
      </c>
      <c r="X424" s="11">
        <v>10</v>
      </c>
      <c r="Y424" s="11">
        <v>10</v>
      </c>
      <c r="Z424" s="11">
        <v>7</v>
      </c>
      <c r="AA424" s="11">
        <v>7</v>
      </c>
      <c r="AB424" s="11">
        <v>7</v>
      </c>
      <c r="AC424" s="11">
        <v>7</v>
      </c>
      <c r="AD424" s="11">
        <v>7</v>
      </c>
      <c r="AE424" s="11">
        <v>7</v>
      </c>
      <c r="AF424" s="11">
        <v>7</v>
      </c>
      <c r="AG424" s="11">
        <v>7</v>
      </c>
      <c r="AH424" s="11">
        <v>7</v>
      </c>
      <c r="AI424" s="11">
        <v>7</v>
      </c>
      <c r="AJ424" s="11">
        <v>7</v>
      </c>
      <c r="AK424" s="11">
        <v>7</v>
      </c>
      <c r="AL424" s="11">
        <v>7</v>
      </c>
      <c r="AM424" s="11">
        <v>7</v>
      </c>
      <c r="AN424" s="72">
        <v>7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6</v>
      </c>
      <c r="BT424" s="72">
        <v>6</v>
      </c>
      <c r="BU424" s="72">
        <v>6</v>
      </c>
      <c r="BV424" s="72">
        <v>6</v>
      </c>
      <c r="BW424" s="72">
        <v>6</v>
      </c>
      <c r="BX424" s="72">
        <v>6</v>
      </c>
      <c r="BY424" s="72">
        <v>6</v>
      </c>
      <c r="BZ424" s="72">
        <v>6</v>
      </c>
      <c r="CA424" s="72">
        <v>6</v>
      </c>
      <c r="CB424" s="72">
        <v>6</v>
      </c>
      <c r="CC424" s="72">
        <v>6</v>
      </c>
      <c r="CD424" s="72">
        <v>6</v>
      </c>
      <c r="CE424" s="72">
        <v>6</v>
      </c>
      <c r="CF424" s="72">
        <v>6</v>
      </c>
      <c r="CG424" s="72">
        <v>6</v>
      </c>
      <c r="CH424" s="72">
        <v>6</v>
      </c>
      <c r="CI424" s="72">
        <v>6</v>
      </c>
      <c r="CJ424" s="72">
        <v>6</v>
      </c>
      <c r="CK424" s="72">
        <v>6</v>
      </c>
      <c r="CL424" s="72">
        <v>6</v>
      </c>
      <c r="CM424" s="72">
        <v>6</v>
      </c>
      <c r="CN424" s="72">
        <v>6</v>
      </c>
      <c r="CO424" s="72">
        <v>6</v>
      </c>
      <c r="CP424" s="72">
        <v>6</v>
      </c>
      <c r="CQ424" s="72">
        <v>6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  <c r="DQ424" s="72"/>
      <c r="DR424" s="72">
        <v>0</v>
      </c>
      <c r="DS424" s="77"/>
    </row>
    <row r="425" spans="1:123" x14ac:dyDescent="0.35">
      <c r="A425" s="7"/>
      <c r="B425" s="8" t="s">
        <v>704</v>
      </c>
      <c r="C425" s="9" t="s">
        <v>705</v>
      </c>
      <c r="D425" s="10" t="s">
        <v>697</v>
      </c>
      <c r="E425" s="8" t="s">
        <v>1206</v>
      </c>
      <c r="F425" s="10">
        <v>1002</v>
      </c>
      <c r="G425" s="10" t="s">
        <v>40</v>
      </c>
      <c r="H425" s="10" t="s">
        <v>41</v>
      </c>
      <c r="I425" s="11">
        <v>190</v>
      </c>
      <c r="J425" s="10"/>
      <c r="K425" s="10" t="s">
        <v>42</v>
      </c>
      <c r="L425" s="8"/>
      <c r="M425" s="12">
        <v>96</v>
      </c>
      <c r="N425" s="12">
        <f t="shared" si="10"/>
        <v>96</v>
      </c>
      <c r="O425" s="11">
        <v>188</v>
      </c>
      <c r="P425" s="11">
        <v>188</v>
      </c>
      <c r="Q425" s="11">
        <v>188</v>
      </c>
      <c r="R425" s="11">
        <v>188</v>
      </c>
      <c r="S425" s="11">
        <v>188</v>
      </c>
      <c r="T425" s="11">
        <v>188</v>
      </c>
      <c r="U425" s="11">
        <v>188</v>
      </c>
      <c r="V425" s="11">
        <v>188</v>
      </c>
      <c r="W425" s="11">
        <v>188</v>
      </c>
      <c r="X425" s="11">
        <v>188</v>
      </c>
      <c r="Y425" s="11">
        <v>188</v>
      </c>
      <c r="Z425" s="11">
        <v>188</v>
      </c>
      <c r="AA425" s="11">
        <v>188</v>
      </c>
      <c r="AB425" s="11">
        <v>188</v>
      </c>
      <c r="AC425" s="11">
        <v>190</v>
      </c>
      <c r="AD425" s="11">
        <v>190</v>
      </c>
      <c r="AE425" s="11">
        <v>190</v>
      </c>
      <c r="AF425" s="11">
        <v>190</v>
      </c>
      <c r="AG425" s="11">
        <v>190</v>
      </c>
      <c r="AH425" s="11">
        <v>190</v>
      </c>
      <c r="AI425" s="11">
        <v>190</v>
      </c>
      <c r="AJ425" s="11">
        <v>190</v>
      </c>
      <c r="AK425" s="11">
        <v>190</v>
      </c>
      <c r="AL425" s="11">
        <v>190</v>
      </c>
      <c r="AM425" s="11">
        <v>190</v>
      </c>
      <c r="AN425" s="72">
        <v>190</v>
      </c>
      <c r="AO425" s="72">
        <v>190</v>
      </c>
      <c r="AP425" s="72">
        <v>189</v>
      </c>
      <c r="AQ425" s="72">
        <v>189</v>
      </c>
      <c r="AR425" s="72">
        <v>189</v>
      </c>
      <c r="AS425" s="72">
        <v>189</v>
      </c>
      <c r="AT425" s="72">
        <v>189</v>
      </c>
      <c r="AU425" s="72">
        <v>189</v>
      </c>
      <c r="AV425" s="72">
        <v>189</v>
      </c>
      <c r="AW425" s="72">
        <v>189</v>
      </c>
      <c r="AX425" s="72">
        <v>188</v>
      </c>
      <c r="AY425" s="72">
        <v>188</v>
      </c>
      <c r="AZ425" s="72">
        <v>188</v>
      </c>
      <c r="BA425" s="72">
        <v>188</v>
      </c>
      <c r="BB425" s="72">
        <v>188</v>
      </c>
      <c r="BC425" s="72">
        <v>188</v>
      </c>
      <c r="BD425" s="72">
        <v>188</v>
      </c>
      <c r="BE425" s="72">
        <v>188</v>
      </c>
      <c r="BF425" s="72">
        <v>188</v>
      </c>
      <c r="BG425" s="72">
        <v>188</v>
      </c>
      <c r="BH425" s="72">
        <v>179</v>
      </c>
      <c r="BI425" s="72">
        <v>179</v>
      </c>
      <c r="BJ425" s="72">
        <v>179</v>
      </c>
      <c r="BK425" s="72">
        <v>179</v>
      </c>
      <c r="BL425" s="72">
        <v>179</v>
      </c>
      <c r="BM425" s="72">
        <v>167</v>
      </c>
      <c r="BN425" s="72">
        <v>161</v>
      </c>
      <c r="BO425" s="72">
        <v>110</v>
      </c>
      <c r="BP425" s="72">
        <v>103</v>
      </c>
      <c r="BQ425" s="72">
        <v>97</v>
      </c>
      <c r="BR425" s="72">
        <v>66</v>
      </c>
      <c r="BS425" s="72">
        <v>66</v>
      </c>
      <c r="BT425" s="72">
        <v>66</v>
      </c>
      <c r="BU425" s="72">
        <v>65</v>
      </c>
      <c r="BV425" s="72">
        <v>65</v>
      </c>
      <c r="BW425" s="72">
        <v>65</v>
      </c>
      <c r="BX425" s="72">
        <v>65</v>
      </c>
      <c r="BY425" s="72">
        <v>65</v>
      </c>
      <c r="BZ425" s="72">
        <v>62</v>
      </c>
      <c r="CA425" s="72">
        <v>43</v>
      </c>
      <c r="CB425" s="72">
        <v>43</v>
      </c>
      <c r="CC425" s="72">
        <v>43</v>
      </c>
      <c r="CD425" s="72">
        <v>41</v>
      </c>
      <c r="CE425" s="72">
        <v>41</v>
      </c>
      <c r="CF425" s="72">
        <v>41</v>
      </c>
      <c r="CG425" s="72">
        <v>41</v>
      </c>
      <c r="CH425" s="72">
        <v>35</v>
      </c>
      <c r="CI425" s="72">
        <v>34</v>
      </c>
      <c r="CJ425" s="72">
        <v>27</v>
      </c>
      <c r="CK425" s="72">
        <v>23</v>
      </c>
      <c r="CL425" s="72">
        <v>23</v>
      </c>
      <c r="CM425" s="72">
        <v>20</v>
      </c>
      <c r="CN425" s="72">
        <v>14</v>
      </c>
      <c r="CO425" s="72">
        <v>2</v>
      </c>
      <c r="CP425" s="72">
        <v>1</v>
      </c>
      <c r="CQ425" s="72">
        <v>1</v>
      </c>
      <c r="CR425" s="72">
        <v>1</v>
      </c>
      <c r="CS425" s="72">
        <v>1</v>
      </c>
      <c r="CT425" s="72">
        <v>1</v>
      </c>
      <c r="CU425" s="72">
        <v>1</v>
      </c>
      <c r="CV425" s="72">
        <v>1</v>
      </c>
      <c r="CW425" s="72">
        <v>1</v>
      </c>
      <c r="CX425" s="72">
        <v>1</v>
      </c>
      <c r="CY425" s="72">
        <v>1</v>
      </c>
      <c r="CZ425" s="72">
        <v>1</v>
      </c>
      <c r="DA425" s="72">
        <v>1</v>
      </c>
      <c r="DB425" s="72">
        <v>1</v>
      </c>
      <c r="DC425" s="72">
        <v>1</v>
      </c>
      <c r="DD425" s="72">
        <v>1</v>
      </c>
      <c r="DE425" s="72">
        <v>1</v>
      </c>
      <c r="DF425" s="72">
        <v>1</v>
      </c>
      <c r="DG425" s="72">
        <v>1</v>
      </c>
      <c r="DH425" s="72">
        <v>1</v>
      </c>
      <c r="DI425" s="72">
        <v>1</v>
      </c>
      <c r="DJ425" s="72">
        <v>1</v>
      </c>
      <c r="DK425" s="72">
        <v>1</v>
      </c>
      <c r="DL425" s="72">
        <v>1</v>
      </c>
      <c r="DM425" s="72">
        <v>1</v>
      </c>
      <c r="DN425" s="72">
        <v>1</v>
      </c>
      <c r="DO425" s="72">
        <v>1</v>
      </c>
      <c r="DP425" s="72">
        <v>1</v>
      </c>
      <c r="DQ425" s="72"/>
      <c r="DR425" s="72">
        <v>1</v>
      </c>
      <c r="DS425" s="77"/>
    </row>
    <row r="426" spans="1:123" x14ac:dyDescent="0.35">
      <c r="A426" s="7"/>
      <c r="B426" s="8" t="s">
        <v>706</v>
      </c>
      <c r="C426" s="9" t="s">
        <v>707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2</v>
      </c>
      <c r="J426" s="10"/>
      <c r="K426" s="10" t="s">
        <v>42</v>
      </c>
      <c r="L426" s="8"/>
      <c r="M426" s="12">
        <v>18</v>
      </c>
      <c r="N426" s="12">
        <f t="shared" si="10"/>
        <v>18</v>
      </c>
      <c r="O426" s="11">
        <v>6</v>
      </c>
      <c r="P426" s="11">
        <v>6</v>
      </c>
      <c r="Q426" s="11">
        <v>6</v>
      </c>
      <c r="R426" s="11">
        <v>5</v>
      </c>
      <c r="S426" s="11">
        <v>5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2</v>
      </c>
      <c r="AA426" s="11">
        <v>2</v>
      </c>
      <c r="AB426" s="11">
        <v>2</v>
      </c>
      <c r="AC426" s="11">
        <v>2</v>
      </c>
      <c r="AD426" s="11">
        <v>2</v>
      </c>
      <c r="AE426" s="11">
        <v>2</v>
      </c>
      <c r="AF426" s="11">
        <v>2</v>
      </c>
      <c r="AG426" s="11">
        <v>2</v>
      </c>
      <c r="AH426" s="11">
        <v>2</v>
      </c>
      <c r="AI426" s="11">
        <v>2</v>
      </c>
      <c r="AJ426" s="11">
        <v>2</v>
      </c>
      <c r="AK426" s="11">
        <v>2</v>
      </c>
      <c r="AL426" s="11">
        <v>2</v>
      </c>
      <c r="AM426" s="11">
        <v>2</v>
      </c>
      <c r="AN426" s="72">
        <v>2</v>
      </c>
      <c r="AO426" s="72">
        <v>2</v>
      </c>
      <c r="AP426" s="72">
        <v>2</v>
      </c>
      <c r="AQ426" s="72">
        <v>2</v>
      </c>
      <c r="AR426" s="72">
        <v>2</v>
      </c>
      <c r="AS426" s="72">
        <v>2</v>
      </c>
      <c r="AT426" s="72">
        <v>2</v>
      </c>
      <c r="AU426" s="72">
        <v>2</v>
      </c>
      <c r="AV426" s="72">
        <v>2</v>
      </c>
      <c r="AW426" s="72">
        <v>2</v>
      </c>
      <c r="AX426" s="72">
        <v>2</v>
      </c>
      <c r="AY426" s="72">
        <v>2</v>
      </c>
      <c r="AZ426" s="72">
        <v>2</v>
      </c>
      <c r="BA426" s="72">
        <v>2</v>
      </c>
      <c r="BB426" s="72">
        <v>2</v>
      </c>
      <c r="BC426" s="72">
        <v>2</v>
      </c>
      <c r="BD426" s="72">
        <v>2</v>
      </c>
      <c r="BE426" s="72">
        <v>2</v>
      </c>
      <c r="BF426" s="72">
        <v>2</v>
      </c>
      <c r="BG426" s="72">
        <v>2</v>
      </c>
      <c r="BH426" s="72">
        <v>2</v>
      </c>
      <c r="BI426" s="72">
        <v>2</v>
      </c>
      <c r="BJ426" s="72">
        <v>2</v>
      </c>
      <c r="BK426" s="72">
        <v>2</v>
      </c>
      <c r="BL426" s="72">
        <v>2</v>
      </c>
      <c r="BM426" s="72">
        <v>2</v>
      </c>
      <c r="BN426" s="72">
        <v>2</v>
      </c>
      <c r="BO426" s="72">
        <v>1</v>
      </c>
      <c r="BP426" s="72">
        <v>1</v>
      </c>
      <c r="BQ426" s="72">
        <v>2</v>
      </c>
      <c r="BR426" s="72">
        <v>2</v>
      </c>
      <c r="BS426" s="72">
        <v>2</v>
      </c>
      <c r="BT426" s="72">
        <v>2</v>
      </c>
      <c r="BU426" s="72">
        <v>2</v>
      </c>
      <c r="BV426" s="72">
        <v>2</v>
      </c>
      <c r="BW426" s="72">
        <v>2</v>
      </c>
      <c r="BX426" s="72">
        <v>2</v>
      </c>
      <c r="BY426" s="72">
        <v>2</v>
      </c>
      <c r="BZ426" s="72">
        <v>2</v>
      </c>
      <c r="CA426" s="72">
        <v>2</v>
      </c>
      <c r="CB426" s="72">
        <v>2</v>
      </c>
      <c r="CC426" s="72">
        <v>2</v>
      </c>
      <c r="CD426" s="72">
        <v>2</v>
      </c>
      <c r="CE426" s="72">
        <v>2</v>
      </c>
      <c r="CF426" s="72">
        <v>2</v>
      </c>
      <c r="CG426" s="72">
        <v>2</v>
      </c>
      <c r="CH426" s="72">
        <v>2</v>
      </c>
      <c r="CI426" s="72">
        <v>2</v>
      </c>
      <c r="CJ426" s="72">
        <v>2</v>
      </c>
      <c r="CK426" s="72">
        <v>2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2</v>
      </c>
      <c r="CY426" s="72">
        <v>2</v>
      </c>
      <c r="CZ426" s="72">
        <v>2</v>
      </c>
      <c r="DA426" s="72">
        <v>2</v>
      </c>
      <c r="DB426" s="72">
        <v>2</v>
      </c>
      <c r="DC426" s="72">
        <v>2</v>
      </c>
      <c r="DD426" s="72">
        <v>2</v>
      </c>
      <c r="DE426" s="72">
        <v>2</v>
      </c>
      <c r="DF426" s="72">
        <v>2</v>
      </c>
      <c r="DG426" s="72">
        <v>2</v>
      </c>
      <c r="DH426" s="72">
        <v>2</v>
      </c>
      <c r="DI426" s="72">
        <v>2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  <c r="DQ426" s="72"/>
      <c r="DR426" s="72">
        <v>1</v>
      </c>
      <c r="DS426" s="77"/>
    </row>
    <row r="427" spans="1:123" x14ac:dyDescent="0.35">
      <c r="A427" s="7"/>
      <c r="B427" s="8" t="s">
        <v>708</v>
      </c>
      <c r="C427" s="9" t="s">
        <v>709</v>
      </c>
      <c r="D427" s="10" t="s">
        <v>697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23</v>
      </c>
      <c r="J427" s="10">
        <v>3</v>
      </c>
      <c r="K427" s="10" t="s">
        <v>42</v>
      </c>
      <c r="L427" s="8" t="s">
        <v>710</v>
      </c>
      <c r="M427" s="12">
        <v>30</v>
      </c>
      <c r="N427" s="12">
        <f t="shared" si="10"/>
        <v>120</v>
      </c>
      <c r="O427" s="11">
        <v>24</v>
      </c>
      <c r="P427" s="11">
        <v>24</v>
      </c>
      <c r="Q427" s="11">
        <v>24</v>
      </c>
      <c r="R427" s="11">
        <v>20</v>
      </c>
      <c r="S427" s="11">
        <v>20</v>
      </c>
      <c r="T427" s="11">
        <v>20</v>
      </c>
      <c r="U427" s="11">
        <v>20</v>
      </c>
      <c r="V427" s="11">
        <v>20</v>
      </c>
      <c r="W427" s="11">
        <v>23</v>
      </c>
      <c r="X427" s="11">
        <v>23</v>
      </c>
      <c r="Y427" s="11">
        <v>23</v>
      </c>
      <c r="Z427" s="11">
        <v>23</v>
      </c>
      <c r="AA427" s="11">
        <v>23</v>
      </c>
      <c r="AB427" s="11">
        <v>23</v>
      </c>
      <c r="AC427" s="11">
        <v>23</v>
      </c>
      <c r="AD427" s="11">
        <v>23</v>
      </c>
      <c r="AE427" s="11">
        <v>23</v>
      </c>
      <c r="AF427" s="11">
        <v>21</v>
      </c>
      <c r="AG427" s="11">
        <v>23</v>
      </c>
      <c r="AH427" s="11">
        <v>23</v>
      </c>
      <c r="AI427" s="11">
        <v>23</v>
      </c>
      <c r="AJ427" s="11">
        <v>23</v>
      </c>
      <c r="AK427" s="11">
        <v>23</v>
      </c>
      <c r="AL427" s="11">
        <v>23</v>
      </c>
      <c r="AM427" s="11">
        <v>23</v>
      </c>
      <c r="AN427" s="72">
        <v>19</v>
      </c>
      <c r="AO427" s="72">
        <v>23</v>
      </c>
      <c r="AP427" s="72">
        <v>23</v>
      </c>
      <c r="AQ427" s="72">
        <v>23</v>
      </c>
      <c r="AR427" s="72">
        <v>23</v>
      </c>
      <c r="AS427" s="72">
        <v>23</v>
      </c>
      <c r="AT427" s="72">
        <v>23</v>
      </c>
      <c r="AU427" s="72">
        <v>23</v>
      </c>
      <c r="AV427" s="72">
        <v>23</v>
      </c>
      <c r="AW427" s="72">
        <v>23</v>
      </c>
      <c r="AX427" s="72">
        <v>23</v>
      </c>
      <c r="AY427" s="72">
        <v>23</v>
      </c>
      <c r="AZ427" s="72">
        <v>21</v>
      </c>
      <c r="BA427" s="72">
        <v>21</v>
      </c>
      <c r="BB427" s="72">
        <v>5</v>
      </c>
      <c r="BC427" s="72">
        <v>5</v>
      </c>
      <c r="BD427" s="72">
        <v>5</v>
      </c>
      <c r="BE427" s="72">
        <v>4</v>
      </c>
      <c r="BF427" s="72">
        <v>4</v>
      </c>
      <c r="BG427" s="72">
        <v>4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0</v>
      </c>
      <c r="BN427" s="72">
        <v>2</v>
      </c>
      <c r="BO427" s="72">
        <v>2</v>
      </c>
      <c r="BP427" s="72">
        <v>0</v>
      </c>
      <c r="BQ427" s="72">
        <v>0</v>
      </c>
      <c r="BR427" s="72">
        <v>1</v>
      </c>
      <c r="BS427" s="72">
        <v>1</v>
      </c>
      <c r="BT427" s="72">
        <v>1</v>
      </c>
      <c r="BU427" s="72">
        <v>1</v>
      </c>
      <c r="BV427" s="72">
        <v>1</v>
      </c>
      <c r="BW427" s="72">
        <v>1</v>
      </c>
      <c r="BX427" s="72">
        <v>1</v>
      </c>
      <c r="BY427" s="72">
        <v>1</v>
      </c>
      <c r="BZ427" s="72">
        <v>1</v>
      </c>
      <c r="CA427" s="72">
        <v>1</v>
      </c>
      <c r="CB427" s="72">
        <v>1</v>
      </c>
      <c r="CC427" s="72">
        <v>1</v>
      </c>
      <c r="CD427" s="72">
        <v>1</v>
      </c>
      <c r="CE427" s="72">
        <v>1</v>
      </c>
      <c r="CF427" s="72">
        <v>1</v>
      </c>
      <c r="CG427" s="72">
        <v>1</v>
      </c>
      <c r="CH427" s="72">
        <v>1</v>
      </c>
      <c r="CI427" s="72">
        <v>1</v>
      </c>
      <c r="CJ427" s="72">
        <v>1</v>
      </c>
      <c r="CK427" s="72">
        <v>1</v>
      </c>
      <c r="CL427" s="72">
        <v>1</v>
      </c>
      <c r="CM427" s="72">
        <v>1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  <c r="DJ427" s="72">
        <v>4</v>
      </c>
      <c r="DK427" s="72">
        <v>4</v>
      </c>
      <c r="DL427" s="72">
        <v>4</v>
      </c>
      <c r="DM427" s="72">
        <v>4</v>
      </c>
      <c r="DN427" s="72">
        <v>4</v>
      </c>
      <c r="DO427" s="72">
        <v>4</v>
      </c>
      <c r="DP427" s="72">
        <v>4</v>
      </c>
      <c r="DQ427" s="72"/>
      <c r="DR427" s="72">
        <v>4</v>
      </c>
      <c r="DS427" s="90"/>
    </row>
    <row r="428" spans="1:123" x14ac:dyDescent="0.35">
      <c r="A428" s="7"/>
      <c r="B428" s="8" t="s">
        <v>711</v>
      </c>
      <c r="C428" s="9" t="s">
        <v>712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2">
        <v>149.16999999999999</v>
      </c>
      <c r="N428" s="12">
        <f t="shared" si="10"/>
        <v>0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  <c r="DQ428" s="72"/>
      <c r="DR428" s="72">
        <v>0</v>
      </c>
      <c r="DS428" s="77"/>
    </row>
    <row r="429" spans="1:123" x14ac:dyDescent="0.35">
      <c r="A429" s="7"/>
      <c r="B429" s="8" t="s">
        <v>713</v>
      </c>
      <c r="C429" s="9" t="s">
        <v>714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17</v>
      </c>
      <c r="J429" s="10"/>
      <c r="K429" s="10"/>
      <c r="L429" s="8"/>
      <c r="M429" s="12"/>
      <c r="N429" s="12">
        <f t="shared" si="10"/>
        <v>0</v>
      </c>
      <c r="O429" s="11">
        <v>28</v>
      </c>
      <c r="P429" s="11">
        <v>28</v>
      </c>
      <c r="Q429" s="11">
        <v>28</v>
      </c>
      <c r="R429" s="11">
        <v>28</v>
      </c>
      <c r="S429" s="11">
        <v>28</v>
      </c>
      <c r="T429" s="11">
        <v>28</v>
      </c>
      <c r="U429" s="11">
        <v>28</v>
      </c>
      <c r="V429" s="11">
        <v>28</v>
      </c>
      <c r="W429" s="11">
        <v>28</v>
      </c>
      <c r="X429" s="11">
        <v>28</v>
      </c>
      <c r="Y429" s="11">
        <v>28</v>
      </c>
      <c r="Z429" s="11">
        <v>27</v>
      </c>
      <c r="AA429" s="11">
        <v>27</v>
      </c>
      <c r="AB429" s="11">
        <v>27</v>
      </c>
      <c r="AC429" s="11">
        <v>27</v>
      </c>
      <c r="AD429" s="11">
        <v>27</v>
      </c>
      <c r="AE429" s="11">
        <v>27</v>
      </c>
      <c r="AF429" s="11">
        <v>17</v>
      </c>
      <c r="AG429" s="11">
        <v>17</v>
      </c>
      <c r="AH429" s="11">
        <v>17</v>
      </c>
      <c r="AI429" s="11">
        <v>17</v>
      </c>
      <c r="AJ429" s="11">
        <v>17</v>
      </c>
      <c r="AK429" s="11">
        <v>17</v>
      </c>
      <c r="AL429" s="11">
        <v>17</v>
      </c>
      <c r="AM429" s="11">
        <v>17</v>
      </c>
      <c r="AN429" s="72">
        <v>17</v>
      </c>
      <c r="AO429" s="72">
        <v>17</v>
      </c>
      <c r="AP429" s="72">
        <v>17</v>
      </c>
      <c r="AQ429" s="72">
        <v>17</v>
      </c>
      <c r="AR429" s="72">
        <v>17</v>
      </c>
      <c r="AS429" s="72">
        <v>17</v>
      </c>
      <c r="AT429" s="72">
        <v>17</v>
      </c>
      <c r="AU429" s="72">
        <v>17</v>
      </c>
      <c r="AV429" s="72">
        <v>17</v>
      </c>
      <c r="AW429" s="72">
        <v>17</v>
      </c>
      <c r="AX429" s="72">
        <v>17</v>
      </c>
      <c r="AY429" s="72">
        <v>17</v>
      </c>
      <c r="AZ429" s="72">
        <v>17</v>
      </c>
      <c r="BA429" s="72">
        <v>17</v>
      </c>
      <c r="BB429" s="72">
        <v>17</v>
      </c>
      <c r="BC429" s="72">
        <v>17</v>
      </c>
      <c r="BD429" s="72">
        <v>17</v>
      </c>
      <c r="BE429" s="72">
        <v>17</v>
      </c>
      <c r="BF429" s="72">
        <v>17</v>
      </c>
      <c r="BG429" s="72">
        <v>17</v>
      </c>
      <c r="BH429" s="72">
        <v>17</v>
      </c>
      <c r="BI429" s="72">
        <v>17</v>
      </c>
      <c r="BJ429" s="72">
        <v>17</v>
      </c>
      <c r="BK429" s="72">
        <v>8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3</v>
      </c>
      <c r="BR429" s="72">
        <v>2</v>
      </c>
      <c r="BS429" s="72">
        <v>0</v>
      </c>
      <c r="BT429" s="72">
        <v>1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  <c r="DQ429" s="72"/>
      <c r="DR429" s="72">
        <v>0</v>
      </c>
      <c r="DS429" s="77"/>
    </row>
    <row r="430" spans="1:123" x14ac:dyDescent="0.35">
      <c r="A430" s="7"/>
      <c r="B430" s="8" t="s">
        <v>1386</v>
      </c>
      <c r="C430" s="9" t="s">
        <v>714</v>
      </c>
      <c r="D430" s="10" t="s">
        <v>697</v>
      </c>
      <c r="E430" s="8" t="s">
        <v>1203</v>
      </c>
      <c r="F430" s="10"/>
      <c r="G430" s="10"/>
      <c r="H430" s="10" t="s">
        <v>41</v>
      </c>
      <c r="I430" s="11">
        <v>0</v>
      </c>
      <c r="J430" s="10"/>
      <c r="K430" s="10"/>
      <c r="L430" s="8"/>
      <c r="M430" s="12">
        <v>415</v>
      </c>
      <c r="N430" s="12">
        <f t="shared" si="10"/>
        <v>0</v>
      </c>
      <c r="O430" s="11">
        <v>0</v>
      </c>
      <c r="P430" s="11">
        <v>0</v>
      </c>
      <c r="Q430" s="11">
        <v>0</v>
      </c>
      <c r="R430" s="11">
        <v>0</v>
      </c>
      <c r="S430" s="11">
        <v>0</v>
      </c>
      <c r="T430" s="11">
        <v>0</v>
      </c>
      <c r="U430" s="11">
        <v>0</v>
      </c>
      <c r="V430" s="11">
        <v>0</v>
      </c>
      <c r="W430" s="11">
        <v>0</v>
      </c>
      <c r="X430" s="11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0</v>
      </c>
      <c r="AG430" s="11">
        <v>0</v>
      </c>
      <c r="AH430" s="11">
        <v>0</v>
      </c>
      <c r="AI430" s="11">
        <v>0</v>
      </c>
      <c r="AJ430" s="11">
        <v>0</v>
      </c>
      <c r="AK430" s="11">
        <v>0</v>
      </c>
      <c r="AL430" s="11">
        <v>0</v>
      </c>
      <c r="AM430" s="11">
        <v>0</v>
      </c>
      <c r="AN430" s="72">
        <v>0</v>
      </c>
      <c r="AO430" s="72">
        <v>0</v>
      </c>
      <c r="AP430" s="72">
        <v>0</v>
      </c>
      <c r="AQ430" s="72">
        <v>0</v>
      </c>
      <c r="AR430" s="72">
        <v>0</v>
      </c>
      <c r="AS430" s="72">
        <v>0</v>
      </c>
      <c r="AT430" s="72">
        <v>0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  <c r="DQ430" s="72"/>
      <c r="DR430" s="72">
        <v>0</v>
      </c>
      <c r="DS430" s="134"/>
    </row>
    <row r="431" spans="1:123" x14ac:dyDescent="0.35">
      <c r="A431" s="7"/>
      <c r="B431" s="8" t="s">
        <v>715</v>
      </c>
      <c r="C431" s="9" t="s">
        <v>716</v>
      </c>
      <c r="D431" s="10" t="s">
        <v>697</v>
      </c>
      <c r="E431" s="8" t="s">
        <v>1203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625</v>
      </c>
      <c r="N431" s="12">
        <f t="shared" si="10"/>
        <v>0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5</v>
      </c>
      <c r="W431" s="11">
        <v>5</v>
      </c>
      <c r="X431" s="11">
        <v>3</v>
      </c>
      <c r="Y431" s="11">
        <v>3</v>
      </c>
      <c r="Z431" s="11">
        <v>3</v>
      </c>
      <c r="AA431" s="11">
        <v>3</v>
      </c>
      <c r="AB431" s="11">
        <v>3</v>
      </c>
      <c r="AC431" s="11">
        <v>3</v>
      </c>
      <c r="AD431" s="11">
        <v>3</v>
      </c>
      <c r="AE431" s="11">
        <v>2</v>
      </c>
      <c r="AF431" s="11">
        <v>0</v>
      </c>
      <c r="AG431" s="11">
        <v>0</v>
      </c>
      <c r="AH431" s="11">
        <v>0</v>
      </c>
      <c r="AI431" s="11">
        <v>0</v>
      </c>
      <c r="AJ431" s="11">
        <v>0</v>
      </c>
      <c r="AK431" s="11">
        <v>0</v>
      </c>
      <c r="AL431" s="11">
        <v>0</v>
      </c>
      <c r="AM431" s="11">
        <v>0</v>
      </c>
      <c r="AN431" s="72">
        <v>0</v>
      </c>
      <c r="AO431" s="72">
        <v>0</v>
      </c>
      <c r="AP431" s="72">
        <v>0</v>
      </c>
      <c r="AQ431" s="72">
        <v>0</v>
      </c>
      <c r="AR431" s="72">
        <v>0</v>
      </c>
      <c r="AS431" s="72">
        <v>0</v>
      </c>
      <c r="AT431" s="72">
        <v>0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  <c r="DQ431" s="72"/>
      <c r="DR431" s="72">
        <v>0</v>
      </c>
      <c r="DS431" s="77"/>
    </row>
    <row r="432" spans="1:123" x14ac:dyDescent="0.35">
      <c r="A432" s="7"/>
      <c r="B432" s="77" t="s">
        <v>1309</v>
      </c>
      <c r="C432" s="9" t="s">
        <v>1311</v>
      </c>
      <c r="D432" s="10" t="s">
        <v>697</v>
      </c>
      <c r="E432" s="8" t="s">
        <v>1203</v>
      </c>
      <c r="F432" s="10"/>
      <c r="G432" s="10"/>
      <c r="H432" s="10" t="s">
        <v>41</v>
      </c>
      <c r="I432" s="11"/>
      <c r="J432" s="10"/>
      <c r="K432" s="10"/>
      <c r="L432" s="8"/>
      <c r="M432" s="12"/>
      <c r="N432" s="12">
        <f t="shared" si="10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>
        <v>2</v>
      </c>
      <c r="BF432" s="72">
        <v>2</v>
      </c>
      <c r="BG432" s="72">
        <v>2</v>
      </c>
      <c r="BH432" s="72">
        <v>1</v>
      </c>
      <c r="BI432" s="72">
        <v>1</v>
      </c>
      <c r="BJ432" s="72">
        <v>1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  <c r="DQ432" s="72"/>
      <c r="DR432" s="72">
        <v>0</v>
      </c>
      <c r="DS432" s="77"/>
    </row>
    <row r="433" spans="1:123" x14ac:dyDescent="0.35">
      <c r="A433" s="7"/>
      <c r="B433" s="8" t="s">
        <v>717</v>
      </c>
      <c r="C433" s="9" t="s">
        <v>718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20</v>
      </c>
      <c r="J433" s="10"/>
      <c r="K433" s="10"/>
      <c r="L433" s="8"/>
      <c r="M433" s="12">
        <v>490</v>
      </c>
      <c r="N433" s="12">
        <f t="shared" si="10"/>
        <v>9800</v>
      </c>
      <c r="O433" s="11">
        <v>20</v>
      </c>
      <c r="P433" s="11">
        <v>20</v>
      </c>
      <c r="Q433" s="11">
        <v>20</v>
      </c>
      <c r="R433" s="11">
        <v>20</v>
      </c>
      <c r="S433" s="11">
        <v>20</v>
      </c>
      <c r="T433" s="11">
        <v>20</v>
      </c>
      <c r="U433" s="11">
        <v>20</v>
      </c>
      <c r="V433" s="11">
        <v>20</v>
      </c>
      <c r="W433" s="11">
        <v>20</v>
      </c>
      <c r="X433" s="11">
        <v>20</v>
      </c>
      <c r="Y433" s="11">
        <v>20</v>
      </c>
      <c r="Z433" s="11">
        <v>20</v>
      </c>
      <c r="AA433" s="11">
        <v>20</v>
      </c>
      <c r="AB433" s="11">
        <v>20</v>
      </c>
      <c r="AC433" s="11">
        <v>20</v>
      </c>
      <c r="AD433" s="11">
        <v>20</v>
      </c>
      <c r="AE433" s="11">
        <v>20</v>
      </c>
      <c r="AF433" s="11">
        <v>20</v>
      </c>
      <c r="AG433" s="11">
        <v>20</v>
      </c>
      <c r="AH433" s="11">
        <v>20</v>
      </c>
      <c r="AI433" s="11">
        <v>20</v>
      </c>
      <c r="AJ433" s="11">
        <v>20</v>
      </c>
      <c r="AK433" s="11">
        <v>20</v>
      </c>
      <c r="AL433" s="11">
        <v>20</v>
      </c>
      <c r="AM433" s="11">
        <v>20</v>
      </c>
      <c r="AN433" s="72">
        <v>20</v>
      </c>
      <c r="AO433" s="72">
        <v>20</v>
      </c>
      <c r="AP433" s="72">
        <v>20</v>
      </c>
      <c r="AQ433" s="72">
        <v>20</v>
      </c>
      <c r="AR433" s="72">
        <v>20</v>
      </c>
      <c r="AS433" s="72">
        <v>20</v>
      </c>
      <c r="AT433" s="72">
        <v>20</v>
      </c>
      <c r="AU433" s="72">
        <v>20</v>
      </c>
      <c r="AV433" s="72">
        <v>20</v>
      </c>
      <c r="AW433" s="72">
        <v>20</v>
      </c>
      <c r="AX433" s="72">
        <v>20</v>
      </c>
      <c r="AY433" s="72">
        <v>20</v>
      </c>
      <c r="AZ433" s="72">
        <v>20</v>
      </c>
      <c r="BA433" s="72">
        <v>20</v>
      </c>
      <c r="BB433" s="72">
        <v>20</v>
      </c>
      <c r="BC433" s="72">
        <v>20</v>
      </c>
      <c r="BD433" s="72">
        <v>20</v>
      </c>
      <c r="BE433" s="72">
        <v>20</v>
      </c>
      <c r="BF433" s="72">
        <v>20</v>
      </c>
      <c r="BG433" s="72">
        <v>20</v>
      </c>
      <c r="BH433" s="72">
        <v>20</v>
      </c>
      <c r="BI433" s="72">
        <v>20</v>
      </c>
      <c r="BJ433" s="72">
        <v>20</v>
      </c>
      <c r="BK433" s="72">
        <v>20</v>
      </c>
      <c r="BL433" s="72">
        <v>20</v>
      </c>
      <c r="BM433" s="72">
        <v>20</v>
      </c>
      <c r="BN433" s="72">
        <v>20</v>
      </c>
      <c r="BO433" s="72">
        <v>20</v>
      </c>
      <c r="BP433" s="72">
        <v>20</v>
      </c>
      <c r="BQ433" s="72">
        <v>20</v>
      </c>
      <c r="BR433" s="72">
        <v>20</v>
      </c>
      <c r="BS433" s="72">
        <v>20</v>
      </c>
      <c r="BT433" s="72">
        <v>20</v>
      </c>
      <c r="BU433" s="72">
        <v>20</v>
      </c>
      <c r="BV433" s="72">
        <v>20</v>
      </c>
      <c r="BW433" s="72">
        <v>20</v>
      </c>
      <c r="BX433" s="72">
        <v>20</v>
      </c>
      <c r="BY433" s="72">
        <v>20</v>
      </c>
      <c r="BZ433" s="72">
        <v>20</v>
      </c>
      <c r="CA433" s="72">
        <v>20</v>
      </c>
      <c r="CB433" s="72">
        <v>20</v>
      </c>
      <c r="CC433" s="72">
        <v>20</v>
      </c>
      <c r="CD433" s="72">
        <v>20</v>
      </c>
      <c r="CE433" s="72">
        <v>20</v>
      </c>
      <c r="CF433" s="72">
        <v>20</v>
      </c>
      <c r="CG433" s="72">
        <v>20</v>
      </c>
      <c r="CH433" s="72">
        <v>20</v>
      </c>
      <c r="CI433" s="72">
        <v>20</v>
      </c>
      <c r="CJ433" s="72">
        <v>20</v>
      </c>
      <c r="CK433" s="72">
        <v>20</v>
      </c>
      <c r="CL433" s="72">
        <v>20</v>
      </c>
      <c r="CM433" s="72">
        <v>20</v>
      </c>
      <c r="CN433" s="72">
        <v>20</v>
      </c>
      <c r="CO433" s="72">
        <v>20</v>
      </c>
      <c r="CP433" s="72">
        <v>20</v>
      </c>
      <c r="CQ433" s="72">
        <v>20</v>
      </c>
      <c r="CR433" s="72">
        <v>20</v>
      </c>
      <c r="CS433" s="72">
        <v>20</v>
      </c>
      <c r="CT433" s="72">
        <v>20</v>
      </c>
      <c r="CU433" s="72">
        <v>20</v>
      </c>
      <c r="CV433" s="72">
        <v>20</v>
      </c>
      <c r="CW433" s="72">
        <v>20</v>
      </c>
      <c r="CX433" s="72">
        <v>20</v>
      </c>
      <c r="CY433" s="72">
        <v>20</v>
      </c>
      <c r="CZ433" s="72">
        <v>20</v>
      </c>
      <c r="DA433" s="72">
        <v>20</v>
      </c>
      <c r="DB433" s="72">
        <v>20</v>
      </c>
      <c r="DC433" s="72">
        <v>20</v>
      </c>
      <c r="DD433" s="72">
        <v>20</v>
      </c>
      <c r="DE433" s="72">
        <v>20</v>
      </c>
      <c r="DF433" s="72">
        <v>20</v>
      </c>
      <c r="DG433" s="72">
        <v>20</v>
      </c>
      <c r="DH433" s="72">
        <v>20</v>
      </c>
      <c r="DI433" s="72">
        <v>20</v>
      </c>
      <c r="DJ433" s="72">
        <v>20</v>
      </c>
      <c r="DK433" s="72">
        <v>20</v>
      </c>
      <c r="DL433" s="72">
        <v>20</v>
      </c>
      <c r="DM433" s="72">
        <v>20</v>
      </c>
      <c r="DN433" s="72">
        <v>20</v>
      </c>
      <c r="DO433" s="72">
        <v>20</v>
      </c>
      <c r="DP433" s="72">
        <v>20</v>
      </c>
      <c r="DQ433" s="72"/>
      <c r="DR433" s="72">
        <v>20</v>
      </c>
      <c r="DS433" s="137"/>
    </row>
    <row r="434" spans="1:123" x14ac:dyDescent="0.35">
      <c r="A434" s="7"/>
      <c r="B434" s="8" t="s">
        <v>719</v>
      </c>
      <c r="C434" s="9" t="s">
        <v>720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 t="s">
        <v>721</v>
      </c>
      <c r="M434" s="12">
        <v>184</v>
      </c>
      <c r="N434" s="12">
        <f t="shared" si="10"/>
        <v>0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0</v>
      </c>
      <c r="BH434" s="72">
        <v>0</v>
      </c>
      <c r="BI434" s="72">
        <v>0</v>
      </c>
      <c r="BJ434" s="72">
        <v>0</v>
      </c>
      <c r="BK434" s="72">
        <v>0</v>
      </c>
      <c r="BL434" s="72">
        <v>0</v>
      </c>
      <c r="BM434" s="72">
        <v>0</v>
      </c>
      <c r="BN434" s="72">
        <v>0</v>
      </c>
      <c r="BO434" s="72">
        <v>0</v>
      </c>
      <c r="BP434" s="72">
        <v>0</v>
      </c>
      <c r="BQ434" s="72">
        <v>0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  <c r="DQ434" s="72"/>
      <c r="DR434" s="72">
        <v>0</v>
      </c>
      <c r="DS434" s="77"/>
    </row>
    <row r="435" spans="1:123" x14ac:dyDescent="0.35">
      <c r="A435" s="7"/>
      <c r="B435" s="8" t="s">
        <v>722</v>
      </c>
      <c r="C435" s="9" t="s">
        <v>723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8</v>
      </c>
      <c r="J435" s="10"/>
      <c r="K435" s="10" t="s">
        <v>42</v>
      </c>
      <c r="L435" s="8"/>
      <c r="M435" s="12">
        <v>227</v>
      </c>
      <c r="N435" s="12">
        <f t="shared" si="10"/>
        <v>1135</v>
      </c>
      <c r="O435" s="11">
        <v>8</v>
      </c>
      <c r="P435" s="11">
        <v>8</v>
      </c>
      <c r="Q435" s="11">
        <v>8</v>
      </c>
      <c r="R435" s="11">
        <v>8</v>
      </c>
      <c r="S435" s="11">
        <v>8</v>
      </c>
      <c r="T435" s="11">
        <v>8</v>
      </c>
      <c r="U435" s="11">
        <v>8</v>
      </c>
      <c r="V435" s="11">
        <v>8</v>
      </c>
      <c r="W435" s="11">
        <v>8</v>
      </c>
      <c r="X435" s="11">
        <v>8</v>
      </c>
      <c r="Y435" s="11">
        <v>8</v>
      </c>
      <c r="Z435" s="11">
        <v>8</v>
      </c>
      <c r="AA435" s="11">
        <v>8</v>
      </c>
      <c r="AB435" s="11">
        <v>8</v>
      </c>
      <c r="AC435" s="11">
        <v>8</v>
      </c>
      <c r="AD435" s="11">
        <v>8</v>
      </c>
      <c r="AE435" s="11">
        <v>8</v>
      </c>
      <c r="AF435" s="11">
        <v>8</v>
      </c>
      <c r="AG435" s="11">
        <v>8</v>
      </c>
      <c r="AH435" s="11">
        <v>8</v>
      </c>
      <c r="AI435" s="11">
        <v>8</v>
      </c>
      <c r="AJ435" s="11">
        <v>8</v>
      </c>
      <c r="AK435" s="11">
        <v>8</v>
      </c>
      <c r="AL435" s="11">
        <v>8</v>
      </c>
      <c r="AM435" s="11">
        <v>8</v>
      </c>
      <c r="AN435" s="72">
        <v>8</v>
      </c>
      <c r="AO435" s="72">
        <v>8</v>
      </c>
      <c r="AP435" s="72">
        <v>8</v>
      </c>
      <c r="AQ435" s="72">
        <v>8</v>
      </c>
      <c r="AR435" s="72">
        <v>8</v>
      </c>
      <c r="AS435" s="72">
        <v>8</v>
      </c>
      <c r="AT435" s="72">
        <v>7</v>
      </c>
      <c r="AU435" s="72">
        <v>7</v>
      </c>
      <c r="AV435" s="72">
        <v>7</v>
      </c>
      <c r="AW435" s="72">
        <v>7</v>
      </c>
      <c r="AX435" s="72">
        <v>5</v>
      </c>
      <c r="AY435" s="72">
        <v>5</v>
      </c>
      <c r="AZ435" s="72">
        <v>5</v>
      </c>
      <c r="BA435" s="72">
        <v>5</v>
      </c>
      <c r="BB435" s="72">
        <v>5</v>
      </c>
      <c r="BC435" s="72">
        <v>5</v>
      </c>
      <c r="BD435" s="72">
        <v>5</v>
      </c>
      <c r="BE435" s="72">
        <v>5</v>
      </c>
      <c r="BF435" s="72">
        <v>5</v>
      </c>
      <c r="BG435" s="72">
        <v>5</v>
      </c>
      <c r="BH435" s="72">
        <v>5</v>
      </c>
      <c r="BI435" s="72">
        <v>5</v>
      </c>
      <c r="BJ435" s="72">
        <v>5</v>
      </c>
      <c r="BK435" s="72">
        <v>5</v>
      </c>
      <c r="BL435" s="72">
        <v>5</v>
      </c>
      <c r="BM435" s="72">
        <v>5</v>
      </c>
      <c r="BN435" s="72">
        <v>5</v>
      </c>
      <c r="BO435" s="72">
        <v>5</v>
      </c>
      <c r="BP435" s="72">
        <v>5</v>
      </c>
      <c r="BQ435" s="72">
        <v>5</v>
      </c>
      <c r="BR435" s="72">
        <v>5</v>
      </c>
      <c r="BS435" s="72">
        <v>5</v>
      </c>
      <c r="BT435" s="72">
        <v>5</v>
      </c>
      <c r="BU435" s="72">
        <v>5</v>
      </c>
      <c r="BV435" s="72">
        <v>5</v>
      </c>
      <c r="BW435" s="72">
        <v>5</v>
      </c>
      <c r="BX435" s="72">
        <v>5</v>
      </c>
      <c r="BY435" s="72">
        <v>5</v>
      </c>
      <c r="BZ435" s="72">
        <v>5</v>
      </c>
      <c r="CA435" s="72">
        <v>5</v>
      </c>
      <c r="CB435" s="72">
        <v>5</v>
      </c>
      <c r="CC435" s="72">
        <v>5</v>
      </c>
      <c r="CD435" s="72">
        <v>5</v>
      </c>
      <c r="CE435" s="72">
        <v>5</v>
      </c>
      <c r="CF435" s="72">
        <v>5</v>
      </c>
      <c r="CG435" s="72">
        <v>5</v>
      </c>
      <c r="CH435" s="72">
        <v>5</v>
      </c>
      <c r="CI435" s="72">
        <v>5</v>
      </c>
      <c r="CJ435" s="72">
        <v>5</v>
      </c>
      <c r="CK435" s="72">
        <v>5</v>
      </c>
      <c r="CL435" s="72">
        <v>5</v>
      </c>
      <c r="CM435" s="72">
        <v>5</v>
      </c>
      <c r="CN435" s="72">
        <v>5</v>
      </c>
      <c r="CO435" s="72">
        <v>5</v>
      </c>
      <c r="CP435" s="72">
        <v>5</v>
      </c>
      <c r="CQ435" s="72">
        <v>5</v>
      </c>
      <c r="CR435" s="72">
        <v>5</v>
      </c>
      <c r="CS435" s="72">
        <v>5</v>
      </c>
      <c r="CT435" s="72">
        <v>5</v>
      </c>
      <c r="CU435" s="72">
        <v>5</v>
      </c>
      <c r="CV435" s="72">
        <v>5</v>
      </c>
      <c r="CW435" s="72">
        <v>5</v>
      </c>
      <c r="CX435" s="72">
        <v>5</v>
      </c>
      <c r="CY435" s="72">
        <v>5</v>
      </c>
      <c r="CZ435" s="72">
        <v>5</v>
      </c>
      <c r="DA435" s="72">
        <v>5</v>
      </c>
      <c r="DB435" s="72">
        <v>5</v>
      </c>
      <c r="DC435" s="72">
        <v>5</v>
      </c>
      <c r="DD435" s="72">
        <v>5</v>
      </c>
      <c r="DE435" s="72">
        <v>5</v>
      </c>
      <c r="DF435" s="72">
        <v>5</v>
      </c>
      <c r="DG435" s="72">
        <v>5</v>
      </c>
      <c r="DH435" s="72">
        <v>5</v>
      </c>
      <c r="DI435" s="72">
        <v>5</v>
      </c>
      <c r="DJ435" s="72">
        <v>5</v>
      </c>
      <c r="DK435" s="72">
        <v>5</v>
      </c>
      <c r="DL435" s="72">
        <v>5</v>
      </c>
      <c r="DM435" s="72">
        <v>5</v>
      </c>
      <c r="DN435" s="72">
        <v>5</v>
      </c>
      <c r="DO435" s="72">
        <v>5</v>
      </c>
      <c r="DP435" s="72">
        <v>5</v>
      </c>
      <c r="DQ435" s="72"/>
      <c r="DR435" s="72">
        <v>5</v>
      </c>
      <c r="DS435" s="77"/>
    </row>
    <row r="436" spans="1:123" x14ac:dyDescent="0.35">
      <c r="A436" s="7"/>
      <c r="B436" s="8" t="s">
        <v>724</v>
      </c>
      <c r="C436" s="9" t="s">
        <v>725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3</v>
      </c>
      <c r="J436" s="10"/>
      <c r="K436" s="10"/>
      <c r="L436" s="8"/>
      <c r="M436" s="12">
        <v>400</v>
      </c>
      <c r="N436" s="12">
        <f t="shared" si="10"/>
        <v>1200</v>
      </c>
      <c r="O436" s="11">
        <v>3</v>
      </c>
      <c r="P436" s="11">
        <v>3</v>
      </c>
      <c r="Q436" s="11">
        <v>3</v>
      </c>
      <c r="R436" s="11">
        <v>3</v>
      </c>
      <c r="S436" s="11">
        <v>3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3</v>
      </c>
      <c r="AF436" s="11">
        <v>3</v>
      </c>
      <c r="AG436" s="11">
        <v>3</v>
      </c>
      <c r="AH436" s="11">
        <v>3</v>
      </c>
      <c r="AI436" s="11">
        <v>3</v>
      </c>
      <c r="AJ436" s="11">
        <v>3</v>
      </c>
      <c r="AK436" s="11">
        <v>3</v>
      </c>
      <c r="AL436" s="11">
        <v>3</v>
      </c>
      <c r="AM436" s="11">
        <v>3</v>
      </c>
      <c r="AN436" s="72">
        <v>3</v>
      </c>
      <c r="AO436" s="72">
        <v>3</v>
      </c>
      <c r="AP436" s="72">
        <v>3</v>
      </c>
      <c r="AQ436" s="72">
        <v>3</v>
      </c>
      <c r="AR436" s="72">
        <v>3</v>
      </c>
      <c r="AS436" s="72">
        <v>3</v>
      </c>
      <c r="AT436" s="72">
        <v>3</v>
      </c>
      <c r="AU436" s="72">
        <v>3</v>
      </c>
      <c r="AV436" s="72">
        <v>3</v>
      </c>
      <c r="AW436" s="72">
        <v>3</v>
      </c>
      <c r="AX436" s="72">
        <v>3</v>
      </c>
      <c r="AY436" s="72">
        <v>3</v>
      </c>
      <c r="AZ436" s="72">
        <v>3</v>
      </c>
      <c r="BA436" s="72">
        <v>3</v>
      </c>
      <c r="BB436" s="72">
        <v>3</v>
      </c>
      <c r="BC436" s="72">
        <v>3</v>
      </c>
      <c r="BD436" s="72">
        <v>3</v>
      </c>
      <c r="BE436" s="72">
        <v>3</v>
      </c>
      <c r="BF436" s="72">
        <v>3</v>
      </c>
      <c r="BG436" s="72">
        <v>3</v>
      </c>
      <c r="BH436" s="72">
        <v>3</v>
      </c>
      <c r="BI436" s="72">
        <v>3</v>
      </c>
      <c r="BJ436" s="72">
        <v>3</v>
      </c>
      <c r="BK436" s="72">
        <v>3</v>
      </c>
      <c r="BL436" s="72">
        <v>3</v>
      </c>
      <c r="BM436" s="72">
        <v>3</v>
      </c>
      <c r="BN436" s="72">
        <v>3</v>
      </c>
      <c r="BO436" s="72">
        <v>3</v>
      </c>
      <c r="BP436" s="72">
        <v>3</v>
      </c>
      <c r="BQ436" s="72">
        <v>3</v>
      </c>
      <c r="BR436" s="72">
        <v>3</v>
      </c>
      <c r="BS436" s="72">
        <v>3</v>
      </c>
      <c r="BT436" s="72">
        <v>3</v>
      </c>
      <c r="BU436" s="72">
        <v>3</v>
      </c>
      <c r="BV436" s="72">
        <v>3</v>
      </c>
      <c r="BW436" s="72">
        <v>3</v>
      </c>
      <c r="BX436" s="72">
        <v>3</v>
      </c>
      <c r="BY436" s="72">
        <v>3</v>
      </c>
      <c r="BZ436" s="72">
        <v>3</v>
      </c>
      <c r="CA436" s="72">
        <v>3</v>
      </c>
      <c r="CB436" s="72">
        <v>3</v>
      </c>
      <c r="CC436" s="72">
        <v>3</v>
      </c>
      <c r="CD436" s="72">
        <v>3</v>
      </c>
      <c r="CE436" s="72">
        <v>3</v>
      </c>
      <c r="CF436" s="72">
        <v>3</v>
      </c>
      <c r="CG436" s="72">
        <v>3</v>
      </c>
      <c r="CH436" s="72">
        <v>3</v>
      </c>
      <c r="CI436" s="72">
        <v>3</v>
      </c>
      <c r="CJ436" s="72">
        <v>3</v>
      </c>
      <c r="CK436" s="72">
        <v>3</v>
      </c>
      <c r="CL436" s="72">
        <v>3</v>
      </c>
      <c r="CM436" s="72">
        <v>3</v>
      </c>
      <c r="CN436" s="72">
        <v>3</v>
      </c>
      <c r="CO436" s="72">
        <v>3</v>
      </c>
      <c r="CP436" s="72">
        <v>3</v>
      </c>
      <c r="CQ436" s="72">
        <v>3</v>
      </c>
      <c r="CR436" s="72">
        <v>3</v>
      </c>
      <c r="CS436" s="72">
        <v>3</v>
      </c>
      <c r="CT436" s="72">
        <v>3</v>
      </c>
      <c r="CU436" s="72">
        <v>3</v>
      </c>
      <c r="CV436" s="72">
        <v>3</v>
      </c>
      <c r="CW436" s="72">
        <v>3</v>
      </c>
      <c r="CX436" s="72">
        <v>3</v>
      </c>
      <c r="CY436" s="72">
        <v>3</v>
      </c>
      <c r="CZ436" s="72">
        <v>3</v>
      </c>
      <c r="DA436" s="72">
        <v>3</v>
      </c>
      <c r="DB436" s="72">
        <v>3</v>
      </c>
      <c r="DC436" s="72">
        <v>3</v>
      </c>
      <c r="DD436" s="72">
        <v>3</v>
      </c>
      <c r="DE436" s="72">
        <v>3</v>
      </c>
      <c r="DF436" s="72">
        <v>3</v>
      </c>
      <c r="DG436" s="72">
        <v>3</v>
      </c>
      <c r="DH436" s="72">
        <v>3</v>
      </c>
      <c r="DI436" s="72">
        <v>3</v>
      </c>
      <c r="DJ436" s="72">
        <v>3</v>
      </c>
      <c r="DK436" s="72">
        <v>3</v>
      </c>
      <c r="DL436" s="72">
        <v>3</v>
      </c>
      <c r="DM436" s="72">
        <v>3</v>
      </c>
      <c r="DN436" s="72">
        <v>3</v>
      </c>
      <c r="DO436" s="72">
        <v>3</v>
      </c>
      <c r="DP436" s="72">
        <v>3</v>
      </c>
      <c r="DQ436" s="72"/>
      <c r="DR436" s="72">
        <v>3</v>
      </c>
      <c r="DS436" s="77"/>
    </row>
    <row r="437" spans="1:123" x14ac:dyDescent="0.35">
      <c r="A437" s="7"/>
      <c r="B437" s="8" t="s">
        <v>726</v>
      </c>
      <c r="C437" s="35" t="s">
        <v>727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4</v>
      </c>
      <c r="J437" s="10"/>
      <c r="K437" s="10"/>
      <c r="L437" s="8"/>
      <c r="M437" s="12">
        <v>883</v>
      </c>
      <c r="N437" s="12">
        <f t="shared" si="10"/>
        <v>3532</v>
      </c>
      <c r="O437" s="11">
        <v>5</v>
      </c>
      <c r="P437" s="11">
        <v>4</v>
      </c>
      <c r="Q437" s="11">
        <v>4</v>
      </c>
      <c r="R437" s="11">
        <v>4</v>
      </c>
      <c r="S437" s="11">
        <v>4</v>
      </c>
      <c r="T437" s="11">
        <v>4</v>
      </c>
      <c r="U437" s="11">
        <v>4</v>
      </c>
      <c r="V437" s="11">
        <v>4</v>
      </c>
      <c r="W437" s="11">
        <v>4</v>
      </c>
      <c r="X437" s="11">
        <v>4</v>
      </c>
      <c r="Y437" s="11">
        <v>4</v>
      </c>
      <c r="Z437" s="11">
        <v>4</v>
      </c>
      <c r="AA437" s="11">
        <v>4</v>
      </c>
      <c r="AB437" s="11">
        <v>4</v>
      </c>
      <c r="AC437" s="11">
        <v>4</v>
      </c>
      <c r="AD437" s="11">
        <v>4</v>
      </c>
      <c r="AE437" s="11">
        <v>4</v>
      </c>
      <c r="AF437" s="11">
        <v>4</v>
      </c>
      <c r="AG437" s="11">
        <v>4</v>
      </c>
      <c r="AH437" s="11">
        <v>4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4</v>
      </c>
      <c r="BL437" s="72">
        <v>4</v>
      </c>
      <c r="BM437" s="72">
        <v>4</v>
      </c>
      <c r="BN437" s="72">
        <v>4</v>
      </c>
      <c r="BO437" s="72">
        <v>4</v>
      </c>
      <c r="BP437" s="72">
        <v>4</v>
      </c>
      <c r="BQ437" s="72">
        <v>4</v>
      </c>
      <c r="BR437" s="72">
        <v>4</v>
      </c>
      <c r="BS437" s="72">
        <v>4</v>
      </c>
      <c r="BT437" s="72">
        <v>4</v>
      </c>
      <c r="BU437" s="72">
        <v>4</v>
      </c>
      <c r="BV437" s="72">
        <v>4</v>
      </c>
      <c r="BW437" s="72">
        <v>4</v>
      </c>
      <c r="BX437" s="72">
        <v>4</v>
      </c>
      <c r="BY437" s="72">
        <v>4</v>
      </c>
      <c r="BZ437" s="72">
        <v>4</v>
      </c>
      <c r="CA437" s="72">
        <v>4</v>
      </c>
      <c r="CB437" s="72">
        <v>4</v>
      </c>
      <c r="CC437" s="72">
        <v>4</v>
      </c>
      <c r="CD437" s="72">
        <v>4</v>
      </c>
      <c r="CE437" s="72">
        <v>4</v>
      </c>
      <c r="CF437" s="72">
        <v>4</v>
      </c>
      <c r="CG437" s="72">
        <v>4</v>
      </c>
      <c r="CH437" s="72">
        <v>4</v>
      </c>
      <c r="CI437" s="72">
        <v>4</v>
      </c>
      <c r="CJ437" s="72">
        <v>4</v>
      </c>
      <c r="CK437" s="72">
        <v>4</v>
      </c>
      <c r="CL437" s="72">
        <v>4</v>
      </c>
      <c r="CM437" s="72">
        <v>4</v>
      </c>
      <c r="CN437" s="72">
        <v>4</v>
      </c>
      <c r="CO437" s="72">
        <v>4</v>
      </c>
      <c r="CP437" s="72">
        <v>4</v>
      </c>
      <c r="CQ437" s="72">
        <v>4</v>
      </c>
      <c r="CR437" s="72">
        <v>4</v>
      </c>
      <c r="CS437" s="72">
        <v>4</v>
      </c>
      <c r="CT437" s="72">
        <v>4</v>
      </c>
      <c r="CU437" s="72">
        <v>4</v>
      </c>
      <c r="CV437" s="72">
        <v>4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  <c r="DQ437" s="72"/>
      <c r="DR437" s="72">
        <v>4</v>
      </c>
      <c r="DS437" s="77"/>
    </row>
    <row r="438" spans="1:123" x14ac:dyDescent="0.35">
      <c r="A438" s="7"/>
      <c r="B438" s="14" t="s">
        <v>728</v>
      </c>
      <c r="C438" s="9" t="s">
        <v>729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11</v>
      </c>
      <c r="J438" s="10"/>
      <c r="K438" s="10" t="s">
        <v>42</v>
      </c>
      <c r="L438" s="8"/>
      <c r="M438" s="12">
        <v>805</v>
      </c>
      <c r="N438" s="12">
        <f t="shared" si="10"/>
        <v>7245</v>
      </c>
      <c r="O438" s="11">
        <v>11</v>
      </c>
      <c r="P438" s="11">
        <v>11</v>
      </c>
      <c r="Q438" s="11">
        <v>11</v>
      </c>
      <c r="R438" s="11">
        <v>11</v>
      </c>
      <c r="S438" s="11">
        <v>11</v>
      </c>
      <c r="T438" s="11">
        <v>11</v>
      </c>
      <c r="U438" s="11">
        <v>11</v>
      </c>
      <c r="V438" s="11">
        <v>11</v>
      </c>
      <c r="W438" s="11">
        <v>11</v>
      </c>
      <c r="X438" s="11">
        <v>11</v>
      </c>
      <c r="Y438" s="11">
        <v>11</v>
      </c>
      <c r="Z438" s="11">
        <v>11</v>
      </c>
      <c r="AA438" s="11">
        <v>11</v>
      </c>
      <c r="AB438" s="11">
        <v>11</v>
      </c>
      <c r="AC438" s="11">
        <v>11</v>
      </c>
      <c r="AD438" s="11">
        <v>11</v>
      </c>
      <c r="AE438" s="11">
        <v>11</v>
      </c>
      <c r="AF438" s="11">
        <v>11</v>
      </c>
      <c r="AG438" s="11">
        <v>11</v>
      </c>
      <c r="AH438" s="11">
        <v>11</v>
      </c>
      <c r="AI438" s="11">
        <v>11</v>
      </c>
      <c r="AJ438" s="11">
        <v>11</v>
      </c>
      <c r="AK438" s="11">
        <v>11</v>
      </c>
      <c r="AL438" s="11">
        <v>11</v>
      </c>
      <c r="AM438" s="11">
        <v>11</v>
      </c>
      <c r="AN438" s="72">
        <v>11</v>
      </c>
      <c r="AO438" s="72">
        <v>11</v>
      </c>
      <c r="AP438" s="72">
        <v>11</v>
      </c>
      <c r="AQ438" s="72">
        <v>11</v>
      </c>
      <c r="AR438" s="72">
        <v>11</v>
      </c>
      <c r="AS438" s="72">
        <v>11</v>
      </c>
      <c r="AT438" s="72">
        <v>11</v>
      </c>
      <c r="AU438" s="72">
        <v>11</v>
      </c>
      <c r="AV438" s="72">
        <v>11</v>
      </c>
      <c r="AW438" s="72">
        <v>11</v>
      </c>
      <c r="AX438" s="72">
        <v>10</v>
      </c>
      <c r="AY438" s="72">
        <v>10</v>
      </c>
      <c r="AZ438" s="72">
        <v>10</v>
      </c>
      <c r="BA438" s="72">
        <v>10</v>
      </c>
      <c r="BB438" s="72">
        <v>10</v>
      </c>
      <c r="BC438" s="72">
        <v>10</v>
      </c>
      <c r="BD438" s="72">
        <v>10</v>
      </c>
      <c r="BE438" s="72">
        <v>10</v>
      </c>
      <c r="BF438" s="72">
        <v>10</v>
      </c>
      <c r="BG438" s="72">
        <v>10</v>
      </c>
      <c r="BH438" s="72">
        <v>9</v>
      </c>
      <c r="BI438" s="72">
        <v>9</v>
      </c>
      <c r="BJ438" s="72">
        <v>9</v>
      </c>
      <c r="BK438" s="72">
        <v>9</v>
      </c>
      <c r="BL438" s="72">
        <v>9</v>
      </c>
      <c r="BM438" s="72">
        <v>9</v>
      </c>
      <c r="BN438" s="72">
        <v>9</v>
      </c>
      <c r="BO438" s="72">
        <v>9</v>
      </c>
      <c r="BP438" s="72">
        <v>9</v>
      </c>
      <c r="BQ438" s="72">
        <v>9</v>
      </c>
      <c r="BR438" s="72">
        <v>9</v>
      </c>
      <c r="BS438" s="72">
        <v>9</v>
      </c>
      <c r="BT438" s="72">
        <v>9</v>
      </c>
      <c r="BU438" s="72">
        <v>9</v>
      </c>
      <c r="BV438" s="72">
        <v>9</v>
      </c>
      <c r="BW438" s="72">
        <v>9</v>
      </c>
      <c r="BX438" s="72">
        <v>9</v>
      </c>
      <c r="BY438" s="72">
        <v>9</v>
      </c>
      <c r="BZ438" s="72">
        <v>9</v>
      </c>
      <c r="CA438" s="72">
        <v>9</v>
      </c>
      <c r="CB438" s="72">
        <v>9</v>
      </c>
      <c r="CC438" s="72">
        <v>9</v>
      </c>
      <c r="CD438" s="72">
        <v>9</v>
      </c>
      <c r="CE438" s="72">
        <v>9</v>
      </c>
      <c r="CF438" s="72">
        <v>9</v>
      </c>
      <c r="CG438" s="72">
        <v>9</v>
      </c>
      <c r="CH438" s="72">
        <v>9</v>
      </c>
      <c r="CI438" s="72">
        <v>9</v>
      </c>
      <c r="CJ438" s="72">
        <v>9</v>
      </c>
      <c r="CK438" s="72">
        <v>9</v>
      </c>
      <c r="CL438" s="72">
        <v>9</v>
      </c>
      <c r="CM438" s="72">
        <v>9</v>
      </c>
      <c r="CN438" s="72">
        <v>9</v>
      </c>
      <c r="CO438" s="72">
        <v>9</v>
      </c>
      <c r="CP438" s="72">
        <v>9</v>
      </c>
      <c r="CQ438" s="72">
        <v>9</v>
      </c>
      <c r="CR438" s="72">
        <v>9</v>
      </c>
      <c r="CS438" s="72">
        <v>9</v>
      </c>
      <c r="CT438" s="72">
        <v>9</v>
      </c>
      <c r="CU438" s="72">
        <v>9</v>
      </c>
      <c r="CV438" s="72">
        <v>9</v>
      </c>
      <c r="CW438" s="72">
        <v>9</v>
      </c>
      <c r="CX438" s="72">
        <v>9</v>
      </c>
      <c r="CY438" s="72">
        <v>9</v>
      </c>
      <c r="CZ438" s="72">
        <v>9</v>
      </c>
      <c r="DA438" s="72">
        <v>9</v>
      </c>
      <c r="DB438" s="72">
        <v>9</v>
      </c>
      <c r="DC438" s="72">
        <v>9</v>
      </c>
      <c r="DD438" s="72">
        <v>9</v>
      </c>
      <c r="DE438" s="72">
        <v>9</v>
      </c>
      <c r="DF438" s="72">
        <v>9</v>
      </c>
      <c r="DG438" s="72">
        <v>9</v>
      </c>
      <c r="DH438" s="72">
        <v>9</v>
      </c>
      <c r="DI438" s="72">
        <v>9</v>
      </c>
      <c r="DJ438" s="72">
        <v>9</v>
      </c>
      <c r="DK438" s="72">
        <v>9</v>
      </c>
      <c r="DL438" s="72">
        <v>9</v>
      </c>
      <c r="DM438" s="72">
        <v>9</v>
      </c>
      <c r="DN438" s="72">
        <v>9</v>
      </c>
      <c r="DO438" s="72">
        <v>9</v>
      </c>
      <c r="DP438" s="72">
        <v>9</v>
      </c>
      <c r="DQ438" s="72"/>
      <c r="DR438" s="72">
        <v>9</v>
      </c>
      <c r="DS438" s="77"/>
    </row>
    <row r="439" spans="1:123" x14ac:dyDescent="0.35">
      <c r="A439" s="7"/>
      <c r="B439" s="8" t="s">
        <v>730</v>
      </c>
      <c r="C439" s="9" t="s">
        <v>731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12</v>
      </c>
      <c r="J439" s="10"/>
      <c r="K439" s="10" t="s">
        <v>42</v>
      </c>
      <c r="L439" s="8"/>
      <c r="M439" s="12">
        <v>1108</v>
      </c>
      <c r="N439" s="12">
        <f t="shared" si="10"/>
        <v>12188</v>
      </c>
      <c r="O439" s="11">
        <v>12</v>
      </c>
      <c r="P439" s="11">
        <v>12</v>
      </c>
      <c r="Q439" s="11">
        <v>12</v>
      </c>
      <c r="R439" s="11">
        <v>12</v>
      </c>
      <c r="S439" s="11">
        <v>12</v>
      </c>
      <c r="T439" s="11">
        <v>12</v>
      </c>
      <c r="U439" s="11">
        <v>12</v>
      </c>
      <c r="V439" s="11">
        <v>12</v>
      </c>
      <c r="W439" s="11">
        <v>12</v>
      </c>
      <c r="X439" s="11">
        <v>12</v>
      </c>
      <c r="Y439" s="11">
        <v>12</v>
      </c>
      <c r="Z439" s="11">
        <v>12</v>
      </c>
      <c r="AA439" s="11">
        <v>12</v>
      </c>
      <c r="AB439" s="11">
        <v>12</v>
      </c>
      <c r="AC439" s="11">
        <v>12</v>
      </c>
      <c r="AD439" s="11">
        <v>12</v>
      </c>
      <c r="AE439" s="11">
        <v>12</v>
      </c>
      <c r="AF439" s="11">
        <v>12</v>
      </c>
      <c r="AG439" s="11">
        <v>12</v>
      </c>
      <c r="AH439" s="11">
        <v>12</v>
      </c>
      <c r="AI439" s="11">
        <v>12</v>
      </c>
      <c r="AJ439" s="11">
        <v>12</v>
      </c>
      <c r="AK439" s="11">
        <v>12</v>
      </c>
      <c r="AL439" s="11">
        <v>12</v>
      </c>
      <c r="AM439" s="11">
        <v>12</v>
      </c>
      <c r="AN439" s="72">
        <v>12</v>
      </c>
      <c r="AO439" s="72">
        <v>12</v>
      </c>
      <c r="AP439" s="72">
        <v>12</v>
      </c>
      <c r="AQ439" s="72">
        <v>12</v>
      </c>
      <c r="AR439" s="72">
        <v>12</v>
      </c>
      <c r="AS439" s="72">
        <v>12</v>
      </c>
      <c r="AT439" s="72">
        <v>11</v>
      </c>
      <c r="AU439" s="72">
        <v>11</v>
      </c>
      <c r="AV439" s="72">
        <v>11</v>
      </c>
      <c r="AW439" s="72">
        <v>11</v>
      </c>
      <c r="AX439" s="72">
        <v>11</v>
      </c>
      <c r="AY439" s="72">
        <v>11</v>
      </c>
      <c r="AZ439" s="72">
        <v>11</v>
      </c>
      <c r="BA439" s="72">
        <v>11</v>
      </c>
      <c r="BB439" s="72">
        <v>11</v>
      </c>
      <c r="BC439" s="72">
        <v>11</v>
      </c>
      <c r="BD439" s="72">
        <v>11</v>
      </c>
      <c r="BE439" s="72">
        <v>11</v>
      </c>
      <c r="BF439" s="72">
        <v>11</v>
      </c>
      <c r="BG439" s="72">
        <v>11</v>
      </c>
      <c r="BH439" s="72">
        <v>11</v>
      </c>
      <c r="BI439" s="72">
        <v>11</v>
      </c>
      <c r="BJ439" s="72">
        <v>11</v>
      </c>
      <c r="BK439" s="72">
        <v>11</v>
      </c>
      <c r="BL439" s="72">
        <v>11</v>
      </c>
      <c r="BM439" s="72">
        <v>11</v>
      </c>
      <c r="BN439" s="72">
        <v>11</v>
      </c>
      <c r="BO439" s="72">
        <v>11</v>
      </c>
      <c r="BP439" s="72">
        <v>11</v>
      </c>
      <c r="BQ439" s="72">
        <v>11</v>
      </c>
      <c r="BR439" s="72">
        <v>11</v>
      </c>
      <c r="BS439" s="72">
        <v>11</v>
      </c>
      <c r="BT439" s="72">
        <v>11</v>
      </c>
      <c r="BU439" s="72">
        <v>11</v>
      </c>
      <c r="BV439" s="72">
        <v>11</v>
      </c>
      <c r="BW439" s="72">
        <v>11</v>
      </c>
      <c r="BX439" s="72">
        <v>11</v>
      </c>
      <c r="BY439" s="72">
        <v>11</v>
      </c>
      <c r="BZ439" s="72">
        <v>11</v>
      </c>
      <c r="CA439" s="72">
        <v>11</v>
      </c>
      <c r="CB439" s="72">
        <v>11</v>
      </c>
      <c r="CC439" s="72">
        <v>11</v>
      </c>
      <c r="CD439" s="72">
        <v>11</v>
      </c>
      <c r="CE439" s="72">
        <v>11</v>
      </c>
      <c r="CF439" s="72">
        <v>11</v>
      </c>
      <c r="CG439" s="72">
        <v>11</v>
      </c>
      <c r="CH439" s="72">
        <v>11</v>
      </c>
      <c r="CI439" s="72">
        <v>11</v>
      </c>
      <c r="CJ439" s="72">
        <v>11</v>
      </c>
      <c r="CK439" s="72">
        <v>11</v>
      </c>
      <c r="CL439" s="72">
        <v>11</v>
      </c>
      <c r="CM439" s="72">
        <v>11</v>
      </c>
      <c r="CN439" s="72">
        <v>11</v>
      </c>
      <c r="CO439" s="72">
        <v>11</v>
      </c>
      <c r="CP439" s="72">
        <v>11</v>
      </c>
      <c r="CQ439" s="72">
        <v>11</v>
      </c>
      <c r="CR439" s="72">
        <v>11</v>
      </c>
      <c r="CS439" s="72">
        <v>11</v>
      </c>
      <c r="CT439" s="72">
        <v>11</v>
      </c>
      <c r="CU439" s="72">
        <v>11</v>
      </c>
      <c r="CV439" s="72">
        <v>11</v>
      </c>
      <c r="CW439" s="72">
        <v>11</v>
      </c>
      <c r="CX439" s="72">
        <v>11</v>
      </c>
      <c r="CY439" s="72">
        <v>11</v>
      </c>
      <c r="CZ439" s="72">
        <v>11</v>
      </c>
      <c r="DA439" s="72">
        <v>11</v>
      </c>
      <c r="DB439" s="72">
        <v>11</v>
      </c>
      <c r="DC439" s="72">
        <v>11</v>
      </c>
      <c r="DD439" s="72">
        <v>11</v>
      </c>
      <c r="DE439" s="72">
        <v>11</v>
      </c>
      <c r="DF439" s="72">
        <v>11</v>
      </c>
      <c r="DG439" s="72">
        <v>11</v>
      </c>
      <c r="DH439" s="72">
        <v>11</v>
      </c>
      <c r="DI439" s="72">
        <v>11</v>
      </c>
      <c r="DJ439" s="72">
        <v>11</v>
      </c>
      <c r="DK439" s="72">
        <v>11</v>
      </c>
      <c r="DL439" s="72">
        <v>11</v>
      </c>
      <c r="DM439" s="72">
        <v>11</v>
      </c>
      <c r="DN439" s="72">
        <v>11</v>
      </c>
      <c r="DO439" s="72">
        <v>11</v>
      </c>
      <c r="DP439" s="72">
        <v>11</v>
      </c>
      <c r="DQ439" s="72"/>
      <c r="DR439" s="72">
        <v>11</v>
      </c>
      <c r="DS439" s="77"/>
    </row>
    <row r="440" spans="1:123" x14ac:dyDescent="0.35">
      <c r="A440" s="7"/>
      <c r="B440" s="8" t="s">
        <v>732</v>
      </c>
      <c r="C440" s="9" t="s">
        <v>733</v>
      </c>
      <c r="D440" s="10" t="s">
        <v>697</v>
      </c>
      <c r="E440" s="8" t="s">
        <v>1060</v>
      </c>
      <c r="F440" s="10">
        <v>1002</v>
      </c>
      <c r="G440" s="10" t="s">
        <v>40</v>
      </c>
      <c r="H440" s="10" t="s">
        <v>41</v>
      </c>
      <c r="I440" s="11">
        <v>0</v>
      </c>
      <c r="J440" s="10"/>
      <c r="K440" s="10"/>
      <c r="L440" s="8"/>
      <c r="M440" s="12">
        <v>930</v>
      </c>
      <c r="N440" s="12">
        <f t="shared" si="10"/>
        <v>930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1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1</v>
      </c>
      <c r="DG440" s="72">
        <v>1</v>
      </c>
      <c r="DH440" s="72">
        <v>1</v>
      </c>
      <c r="DI440" s="72">
        <v>1</v>
      </c>
      <c r="DJ440" s="72">
        <v>1</v>
      </c>
      <c r="DK440" s="72">
        <v>1</v>
      </c>
      <c r="DL440" s="72">
        <v>1</v>
      </c>
      <c r="DM440" s="72">
        <v>1</v>
      </c>
      <c r="DN440" s="72">
        <v>1</v>
      </c>
      <c r="DO440" s="72">
        <v>1</v>
      </c>
      <c r="DP440" s="72">
        <v>1</v>
      </c>
      <c r="DQ440" s="72"/>
      <c r="DR440" s="72">
        <v>1</v>
      </c>
      <c r="DS440" s="77"/>
    </row>
    <row r="441" spans="1:123" x14ac:dyDescent="0.35">
      <c r="A441" s="7"/>
      <c r="B441" s="8" t="s">
        <v>734</v>
      </c>
      <c r="C441" s="9" t="s">
        <v>735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16</v>
      </c>
      <c r="J441" s="10"/>
      <c r="K441" s="10"/>
      <c r="L441" s="8"/>
      <c r="M441" s="12">
        <v>98</v>
      </c>
      <c r="N441" s="12">
        <f t="shared" si="10"/>
        <v>1568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16</v>
      </c>
      <c r="V441" s="11">
        <v>16</v>
      </c>
      <c r="W441" s="11">
        <v>16</v>
      </c>
      <c r="X441" s="11">
        <v>16</v>
      </c>
      <c r="Y441" s="11">
        <v>16</v>
      </c>
      <c r="Z441" s="11">
        <v>16</v>
      </c>
      <c r="AA441" s="11">
        <v>16</v>
      </c>
      <c r="AB441" s="11">
        <v>16</v>
      </c>
      <c r="AC441" s="11">
        <v>16</v>
      </c>
      <c r="AD441" s="11">
        <v>16</v>
      </c>
      <c r="AE441" s="11">
        <v>16</v>
      </c>
      <c r="AF441" s="11">
        <v>16</v>
      </c>
      <c r="AG441" s="11">
        <v>16</v>
      </c>
      <c r="AH441" s="11">
        <v>16</v>
      </c>
      <c r="AI441" s="11">
        <v>16</v>
      </c>
      <c r="AJ441" s="11">
        <v>16</v>
      </c>
      <c r="AK441" s="11">
        <v>16</v>
      </c>
      <c r="AL441" s="11">
        <v>16</v>
      </c>
      <c r="AM441" s="11">
        <v>16</v>
      </c>
      <c r="AN441" s="72">
        <v>16</v>
      </c>
      <c r="AO441" s="72">
        <v>16</v>
      </c>
      <c r="AP441" s="72">
        <v>16</v>
      </c>
      <c r="AQ441" s="72">
        <v>16</v>
      </c>
      <c r="AR441" s="72">
        <v>16</v>
      </c>
      <c r="AS441" s="72">
        <v>16</v>
      </c>
      <c r="AT441" s="72">
        <v>16</v>
      </c>
      <c r="AU441" s="72">
        <v>16</v>
      </c>
      <c r="AV441" s="72">
        <v>16</v>
      </c>
      <c r="AW441" s="72">
        <v>16</v>
      </c>
      <c r="AX441" s="72">
        <v>16</v>
      </c>
      <c r="AY441" s="72">
        <v>16</v>
      </c>
      <c r="AZ441" s="72">
        <v>16</v>
      </c>
      <c r="BA441" s="72">
        <v>16</v>
      </c>
      <c r="BB441" s="72">
        <v>16</v>
      </c>
      <c r="BC441" s="72">
        <v>16</v>
      </c>
      <c r="BD441" s="72">
        <v>16</v>
      </c>
      <c r="BE441" s="72">
        <v>16</v>
      </c>
      <c r="BF441" s="72">
        <v>16</v>
      </c>
      <c r="BG441" s="72">
        <v>16</v>
      </c>
      <c r="BH441" s="72">
        <v>16</v>
      </c>
      <c r="BI441" s="72">
        <v>16</v>
      </c>
      <c r="BJ441" s="72">
        <v>16</v>
      </c>
      <c r="BK441" s="72">
        <v>16</v>
      </c>
      <c r="BL441" s="72">
        <v>16</v>
      </c>
      <c r="BM441" s="72">
        <v>16</v>
      </c>
      <c r="BN441" s="72">
        <v>16</v>
      </c>
      <c r="BO441" s="72">
        <v>16</v>
      </c>
      <c r="BP441" s="72">
        <v>16</v>
      </c>
      <c r="BQ441" s="72">
        <v>16</v>
      </c>
      <c r="BR441" s="72">
        <v>16</v>
      </c>
      <c r="BS441" s="72">
        <v>16</v>
      </c>
      <c r="BT441" s="72">
        <v>16</v>
      </c>
      <c r="BU441" s="72">
        <v>16</v>
      </c>
      <c r="BV441" s="72">
        <v>16</v>
      </c>
      <c r="BW441" s="72">
        <v>16</v>
      </c>
      <c r="BX441" s="72">
        <v>16</v>
      </c>
      <c r="BY441" s="72">
        <v>16</v>
      </c>
      <c r="BZ441" s="72">
        <v>16</v>
      </c>
      <c r="CA441" s="72">
        <v>16</v>
      </c>
      <c r="CB441" s="72">
        <v>16</v>
      </c>
      <c r="CC441" s="72">
        <v>16</v>
      </c>
      <c r="CD441" s="72">
        <v>16</v>
      </c>
      <c r="CE441" s="72">
        <v>16</v>
      </c>
      <c r="CF441" s="72">
        <v>16</v>
      </c>
      <c r="CG441" s="72">
        <v>16</v>
      </c>
      <c r="CH441" s="72">
        <v>16</v>
      </c>
      <c r="CI441" s="72">
        <v>16</v>
      </c>
      <c r="CJ441" s="72">
        <v>16</v>
      </c>
      <c r="CK441" s="72">
        <v>16</v>
      </c>
      <c r="CL441" s="72">
        <v>16</v>
      </c>
      <c r="CM441" s="72">
        <v>16</v>
      </c>
      <c r="CN441" s="72">
        <v>16</v>
      </c>
      <c r="CO441" s="72">
        <v>16</v>
      </c>
      <c r="CP441" s="72">
        <v>16</v>
      </c>
      <c r="CQ441" s="72">
        <v>16</v>
      </c>
      <c r="CR441" s="72">
        <v>16</v>
      </c>
      <c r="CS441" s="72">
        <v>16</v>
      </c>
      <c r="CT441" s="72">
        <v>16</v>
      </c>
      <c r="CU441" s="72">
        <v>16</v>
      </c>
      <c r="CV441" s="72">
        <v>16</v>
      </c>
      <c r="CW441" s="72">
        <v>16</v>
      </c>
      <c r="CX441" s="72">
        <v>16</v>
      </c>
      <c r="CY441" s="72">
        <v>16</v>
      </c>
      <c r="CZ441" s="72">
        <v>16</v>
      </c>
      <c r="DA441" s="72">
        <v>16</v>
      </c>
      <c r="DB441" s="72">
        <v>16</v>
      </c>
      <c r="DC441" s="72">
        <v>16</v>
      </c>
      <c r="DD441" s="72">
        <v>16</v>
      </c>
      <c r="DE441" s="72">
        <v>16</v>
      </c>
      <c r="DF441" s="72">
        <v>16</v>
      </c>
      <c r="DG441" s="72">
        <v>16</v>
      </c>
      <c r="DH441" s="72">
        <v>16</v>
      </c>
      <c r="DI441" s="72">
        <v>16</v>
      </c>
      <c r="DJ441" s="72">
        <v>16</v>
      </c>
      <c r="DK441" s="72">
        <v>16</v>
      </c>
      <c r="DL441" s="72">
        <v>16</v>
      </c>
      <c r="DM441" s="72">
        <v>16</v>
      </c>
      <c r="DN441" s="72">
        <v>16</v>
      </c>
      <c r="DO441" s="72">
        <v>16</v>
      </c>
      <c r="DP441" s="72">
        <v>16</v>
      </c>
      <c r="DQ441" s="72"/>
      <c r="DR441" s="72">
        <v>16</v>
      </c>
      <c r="DS441" s="77"/>
    </row>
    <row r="442" spans="1:123" x14ac:dyDescent="0.35">
      <c r="A442" s="7"/>
      <c r="B442" s="8" t="s">
        <v>736</v>
      </c>
      <c r="C442" s="9" t="s">
        <v>737</v>
      </c>
      <c r="D442" s="10" t="s">
        <v>697</v>
      </c>
      <c r="E442" s="8" t="s">
        <v>1207</v>
      </c>
      <c r="F442" s="10">
        <v>1006</v>
      </c>
      <c r="G442" s="10" t="s">
        <v>40</v>
      </c>
      <c r="H442" s="10" t="s">
        <v>41</v>
      </c>
      <c r="I442" s="11">
        <v>54</v>
      </c>
      <c r="J442" s="10"/>
      <c r="K442" s="10" t="s">
        <v>526</v>
      </c>
      <c r="L442" s="8"/>
      <c r="M442" s="12">
        <v>71.38</v>
      </c>
      <c r="N442" s="12">
        <f t="shared" si="10"/>
        <v>3854.5199999999995</v>
      </c>
      <c r="O442" s="11">
        <v>54</v>
      </c>
      <c r="P442" s="11">
        <v>54</v>
      </c>
      <c r="Q442" s="11">
        <v>54</v>
      </c>
      <c r="R442" s="11">
        <v>54</v>
      </c>
      <c r="S442" s="11">
        <v>54</v>
      </c>
      <c r="T442" s="11">
        <v>54</v>
      </c>
      <c r="U442" s="11">
        <v>54</v>
      </c>
      <c r="V442" s="11">
        <v>54</v>
      </c>
      <c r="W442" s="11">
        <v>54</v>
      </c>
      <c r="X442" s="11">
        <v>54</v>
      </c>
      <c r="Y442" s="11">
        <v>54</v>
      </c>
      <c r="Z442" s="11">
        <v>54</v>
      </c>
      <c r="AA442" s="11">
        <v>54</v>
      </c>
      <c r="AB442" s="11">
        <v>54</v>
      </c>
      <c r="AC442" s="11">
        <v>54</v>
      </c>
      <c r="AD442" s="11">
        <v>54</v>
      </c>
      <c r="AE442" s="11">
        <v>54</v>
      </c>
      <c r="AF442" s="11">
        <v>54</v>
      </c>
      <c r="AG442" s="11">
        <v>54</v>
      </c>
      <c r="AH442" s="11">
        <v>54</v>
      </c>
      <c r="AI442" s="11">
        <v>54</v>
      </c>
      <c r="AJ442" s="11">
        <v>54</v>
      </c>
      <c r="AK442" s="11">
        <v>54</v>
      </c>
      <c r="AL442" s="11">
        <v>54</v>
      </c>
      <c r="AM442" s="11">
        <v>54</v>
      </c>
      <c r="AN442" s="72">
        <v>54</v>
      </c>
      <c r="AO442" s="72">
        <v>54</v>
      </c>
      <c r="AP442" s="72">
        <v>54</v>
      </c>
      <c r="AQ442" s="72">
        <v>54</v>
      </c>
      <c r="AR442" s="72">
        <v>54</v>
      </c>
      <c r="AS442" s="72">
        <v>54</v>
      </c>
      <c r="AT442" s="72">
        <v>54</v>
      </c>
      <c r="AU442" s="72">
        <v>54</v>
      </c>
      <c r="AV442" s="72">
        <v>54</v>
      </c>
      <c r="AW442" s="72">
        <v>54</v>
      </c>
      <c r="AX442" s="72">
        <v>54</v>
      </c>
      <c r="AY442" s="72">
        <v>54</v>
      </c>
      <c r="AZ442" s="72">
        <v>54</v>
      </c>
      <c r="BA442" s="72">
        <v>54</v>
      </c>
      <c r="BB442" s="72">
        <v>54</v>
      </c>
      <c r="BC442" s="72">
        <v>54</v>
      </c>
      <c r="BD442" s="72">
        <v>54</v>
      </c>
      <c r="BE442" s="72">
        <v>54</v>
      </c>
      <c r="BF442" s="72">
        <v>54</v>
      </c>
      <c r="BG442" s="72">
        <v>54</v>
      </c>
      <c r="BH442" s="72">
        <v>54</v>
      </c>
      <c r="BI442" s="72">
        <v>54</v>
      </c>
      <c r="BJ442" s="72">
        <v>54</v>
      </c>
      <c r="BK442" s="72">
        <v>54</v>
      </c>
      <c r="BL442" s="72">
        <v>54</v>
      </c>
      <c r="BM442" s="72">
        <v>54</v>
      </c>
      <c r="BN442" s="72">
        <v>54</v>
      </c>
      <c r="BO442" s="72">
        <v>54</v>
      </c>
      <c r="BP442" s="72">
        <v>54</v>
      </c>
      <c r="BQ442" s="72">
        <v>54</v>
      </c>
      <c r="BR442" s="72">
        <v>54</v>
      </c>
      <c r="BS442" s="72">
        <v>54</v>
      </c>
      <c r="BT442" s="72">
        <v>54</v>
      </c>
      <c r="BU442" s="72">
        <v>54</v>
      </c>
      <c r="BV442" s="72">
        <v>54</v>
      </c>
      <c r="BW442" s="72">
        <v>54</v>
      </c>
      <c r="BX442" s="72">
        <v>54</v>
      </c>
      <c r="BY442" s="72">
        <v>54</v>
      </c>
      <c r="BZ442" s="72">
        <v>54</v>
      </c>
      <c r="CA442" s="72">
        <v>54</v>
      </c>
      <c r="CB442" s="72">
        <v>54</v>
      </c>
      <c r="CC442" s="72">
        <v>54</v>
      </c>
      <c r="CD442" s="72">
        <v>54</v>
      </c>
      <c r="CE442" s="72">
        <v>54</v>
      </c>
      <c r="CF442" s="72">
        <v>54</v>
      </c>
      <c r="CG442" s="72">
        <v>54</v>
      </c>
      <c r="CH442" s="72">
        <v>54</v>
      </c>
      <c r="CI442" s="72">
        <v>54</v>
      </c>
      <c r="CJ442" s="72">
        <v>54</v>
      </c>
      <c r="CK442" s="72">
        <v>54</v>
      </c>
      <c r="CL442" s="72">
        <v>54</v>
      </c>
      <c r="CM442" s="72">
        <v>54</v>
      </c>
      <c r="CN442" s="72">
        <v>54</v>
      </c>
      <c r="CO442" s="72">
        <v>54</v>
      </c>
      <c r="CP442" s="72">
        <v>54</v>
      </c>
      <c r="CQ442" s="72">
        <v>54</v>
      </c>
      <c r="CR442" s="72">
        <v>54</v>
      </c>
      <c r="CS442" s="72">
        <v>54</v>
      </c>
      <c r="CT442" s="72">
        <v>54</v>
      </c>
      <c r="CU442" s="72">
        <v>54</v>
      </c>
      <c r="CV442" s="72">
        <v>54</v>
      </c>
      <c r="CW442" s="72">
        <v>54</v>
      </c>
      <c r="CX442" s="72">
        <v>54</v>
      </c>
      <c r="CY442" s="72">
        <v>54</v>
      </c>
      <c r="CZ442" s="72">
        <v>54</v>
      </c>
      <c r="DA442" s="72">
        <v>54</v>
      </c>
      <c r="DB442" s="72">
        <v>54</v>
      </c>
      <c r="DC442" s="72">
        <v>54</v>
      </c>
      <c r="DD442" s="72">
        <v>54</v>
      </c>
      <c r="DE442" s="72">
        <v>54</v>
      </c>
      <c r="DF442" s="72">
        <v>54</v>
      </c>
      <c r="DG442" s="72">
        <v>54</v>
      </c>
      <c r="DH442" s="72">
        <v>54</v>
      </c>
      <c r="DI442" s="72">
        <v>54</v>
      </c>
      <c r="DJ442" s="72">
        <v>54</v>
      </c>
      <c r="DK442" s="72">
        <v>54</v>
      </c>
      <c r="DL442" s="72">
        <v>54</v>
      </c>
      <c r="DM442" s="72">
        <v>54</v>
      </c>
      <c r="DN442" s="72">
        <v>54</v>
      </c>
      <c r="DO442" s="72">
        <v>54</v>
      </c>
      <c r="DP442" s="72">
        <v>54</v>
      </c>
      <c r="DQ442" s="72"/>
      <c r="DR442" s="72">
        <v>54</v>
      </c>
      <c r="DS442" s="77"/>
    </row>
    <row r="443" spans="1:123" x14ac:dyDescent="0.35">
      <c r="A443" s="7"/>
      <c r="B443" s="77" t="s">
        <v>1122</v>
      </c>
      <c r="C443" s="78" t="s">
        <v>1375</v>
      </c>
      <c r="D443" s="10" t="s">
        <v>697</v>
      </c>
      <c r="E443" s="8" t="s">
        <v>1207</v>
      </c>
      <c r="F443" s="10"/>
      <c r="G443" s="10"/>
      <c r="H443" s="10" t="s">
        <v>41</v>
      </c>
      <c r="I443" s="11"/>
      <c r="J443" s="10"/>
      <c r="K443" s="10"/>
      <c r="L443" s="8"/>
      <c r="M443" s="12">
        <v>46</v>
      </c>
      <c r="N443" s="12">
        <f t="shared" si="10"/>
        <v>460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>
        <v>10</v>
      </c>
      <c r="BN443" s="72">
        <v>10</v>
      </c>
      <c r="BO443" s="72">
        <v>10</v>
      </c>
      <c r="BP443" s="72">
        <v>10</v>
      </c>
      <c r="BQ443" s="72">
        <v>10</v>
      </c>
      <c r="BR443" s="72">
        <v>10</v>
      </c>
      <c r="BS443" s="72">
        <v>10</v>
      </c>
      <c r="BT443" s="72">
        <v>10</v>
      </c>
      <c r="BU443" s="72">
        <v>10</v>
      </c>
      <c r="BV443" s="72">
        <v>10</v>
      </c>
      <c r="BW443" s="72">
        <v>10</v>
      </c>
      <c r="BX443" s="72">
        <v>10</v>
      </c>
      <c r="BY443" s="72">
        <v>10</v>
      </c>
      <c r="BZ443" s="72">
        <v>10</v>
      </c>
      <c r="CA443" s="72">
        <v>10</v>
      </c>
      <c r="CB443" s="72">
        <v>10</v>
      </c>
      <c r="CC443" s="72">
        <v>10</v>
      </c>
      <c r="CD443" s="72">
        <v>10</v>
      </c>
      <c r="CE443" s="72">
        <v>10</v>
      </c>
      <c r="CF443" s="72">
        <v>10</v>
      </c>
      <c r="CG443" s="72">
        <v>10</v>
      </c>
      <c r="CH443" s="72">
        <v>10</v>
      </c>
      <c r="CI443" s="72">
        <v>10</v>
      </c>
      <c r="CJ443" s="72">
        <v>10</v>
      </c>
      <c r="CK443" s="72">
        <v>10</v>
      </c>
      <c r="CL443" s="72">
        <v>10</v>
      </c>
      <c r="CM443" s="72">
        <v>10</v>
      </c>
      <c r="CN443" s="72">
        <v>10</v>
      </c>
      <c r="CO443" s="72">
        <v>10</v>
      </c>
      <c r="CP443" s="72">
        <v>10</v>
      </c>
      <c r="CQ443" s="72">
        <v>10</v>
      </c>
      <c r="CR443" s="72">
        <v>10</v>
      </c>
      <c r="CS443" s="72">
        <v>10</v>
      </c>
      <c r="CT443" s="72">
        <v>10</v>
      </c>
      <c r="CU443" s="72">
        <v>10</v>
      </c>
      <c r="CV443" s="72">
        <v>10</v>
      </c>
      <c r="CW443" s="72">
        <v>10</v>
      </c>
      <c r="CX443" s="72">
        <v>10</v>
      </c>
      <c r="CY443" s="72">
        <v>10</v>
      </c>
      <c r="CZ443" s="72">
        <v>10</v>
      </c>
      <c r="DA443" s="72">
        <v>10</v>
      </c>
      <c r="DB443" s="72">
        <v>10</v>
      </c>
      <c r="DC443" s="72">
        <v>10</v>
      </c>
      <c r="DD443" s="72">
        <v>10</v>
      </c>
      <c r="DE443" s="72">
        <v>10</v>
      </c>
      <c r="DF443" s="72">
        <v>10</v>
      </c>
      <c r="DG443" s="72">
        <v>10</v>
      </c>
      <c r="DH443" s="72">
        <v>10</v>
      </c>
      <c r="DI443" s="72">
        <v>10</v>
      </c>
      <c r="DJ443" s="72">
        <v>10</v>
      </c>
      <c r="DK443" s="72">
        <v>10</v>
      </c>
      <c r="DL443" s="72">
        <v>10</v>
      </c>
      <c r="DM443" s="72">
        <v>10</v>
      </c>
      <c r="DN443" s="72">
        <v>10</v>
      </c>
      <c r="DO443" s="72">
        <v>10</v>
      </c>
      <c r="DP443" s="72">
        <v>10</v>
      </c>
      <c r="DQ443" s="72"/>
      <c r="DR443" s="72">
        <v>10</v>
      </c>
      <c r="DS443" s="77"/>
    </row>
    <row r="444" spans="1:123" x14ac:dyDescent="0.35">
      <c r="A444" s="7"/>
      <c r="B444" s="14" t="s">
        <v>738</v>
      </c>
      <c r="C444" s="9" t="s">
        <v>739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/>
      <c r="M444" s="12">
        <v>213.5</v>
      </c>
      <c r="N444" s="12">
        <f t="shared" si="10"/>
        <v>213.5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1</v>
      </c>
      <c r="BZ444" s="72">
        <v>1</v>
      </c>
      <c r="CA444" s="72">
        <v>1</v>
      </c>
      <c r="CB444" s="72">
        <v>1</v>
      </c>
      <c r="CC444" s="72">
        <v>1</v>
      </c>
      <c r="CD444" s="72">
        <v>1</v>
      </c>
      <c r="CE444" s="72">
        <v>1</v>
      </c>
      <c r="CF444" s="72">
        <v>1</v>
      </c>
      <c r="CG444" s="72">
        <v>1</v>
      </c>
      <c r="CH444" s="72">
        <v>1</v>
      </c>
      <c r="CI444" s="72">
        <v>1</v>
      </c>
      <c r="CJ444" s="72">
        <v>1</v>
      </c>
      <c r="CK444" s="72">
        <v>1</v>
      </c>
      <c r="CL444" s="72">
        <v>1</v>
      </c>
      <c r="CM444" s="72">
        <v>1</v>
      </c>
      <c r="CN444" s="72">
        <v>1</v>
      </c>
      <c r="CO444" s="72">
        <v>1</v>
      </c>
      <c r="CP444" s="72">
        <v>1</v>
      </c>
      <c r="CQ444" s="72">
        <v>1</v>
      </c>
      <c r="CR444" s="72">
        <v>1</v>
      </c>
      <c r="CS444" s="72">
        <v>1</v>
      </c>
      <c r="CT444" s="72">
        <v>1</v>
      </c>
      <c r="CU444" s="72">
        <v>1</v>
      </c>
      <c r="CV444" s="72">
        <v>1</v>
      </c>
      <c r="CW444" s="72">
        <v>1</v>
      </c>
      <c r="CX444" s="72">
        <v>1</v>
      </c>
      <c r="CY444" s="72">
        <v>1</v>
      </c>
      <c r="CZ444" s="72">
        <v>1</v>
      </c>
      <c r="DA444" s="72">
        <v>1</v>
      </c>
      <c r="DB444" s="72">
        <v>1</v>
      </c>
      <c r="DC444" s="72">
        <v>1</v>
      </c>
      <c r="DD444" s="72">
        <v>1</v>
      </c>
      <c r="DE444" s="72">
        <v>1</v>
      </c>
      <c r="DF444" s="72">
        <v>1</v>
      </c>
      <c r="DG444" s="72">
        <v>1</v>
      </c>
      <c r="DH444" s="72">
        <v>1</v>
      </c>
      <c r="DI444" s="72">
        <v>1</v>
      </c>
      <c r="DJ444" s="72">
        <v>1</v>
      </c>
      <c r="DK444" s="72">
        <v>1</v>
      </c>
      <c r="DL444" s="72">
        <v>1</v>
      </c>
      <c r="DM444" s="72">
        <v>1</v>
      </c>
      <c r="DN444" s="72">
        <v>1</v>
      </c>
      <c r="DO444" s="72">
        <v>1</v>
      </c>
      <c r="DP444" s="72">
        <v>1</v>
      </c>
      <c r="DQ444" s="72"/>
      <c r="DR444" s="72">
        <v>1</v>
      </c>
      <c r="DS444" s="77"/>
    </row>
    <row r="445" spans="1:123" x14ac:dyDescent="0.35">
      <c r="A445" s="7"/>
      <c r="B445" s="90">
        <v>3310016001</v>
      </c>
      <c r="C445" s="9" t="s">
        <v>1261</v>
      </c>
      <c r="D445" s="10" t="s">
        <v>1259</v>
      </c>
      <c r="E445" s="8" t="s">
        <v>1260</v>
      </c>
      <c r="F445" s="10"/>
      <c r="G445" s="10" t="s">
        <v>40</v>
      </c>
      <c r="H445" s="10" t="s">
        <v>41</v>
      </c>
      <c r="I445" s="11"/>
      <c r="J445" s="10"/>
      <c r="K445" s="10"/>
      <c r="L445" s="8"/>
      <c r="M445" s="12"/>
      <c r="N445" s="12">
        <f t="shared" si="10"/>
        <v>0</v>
      </c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72"/>
      <c r="AO445" s="72"/>
      <c r="AP445" s="72"/>
      <c r="AQ445" s="72"/>
      <c r="AR445" s="72"/>
      <c r="AS445" s="72"/>
      <c r="AT445" s="72"/>
      <c r="AU445" s="72"/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  <c r="DQ445" s="72"/>
      <c r="DR445" s="72">
        <v>0</v>
      </c>
      <c r="DS445" s="77"/>
    </row>
    <row r="446" spans="1:123" x14ac:dyDescent="0.35">
      <c r="A446" s="7"/>
      <c r="B446" s="90" t="s">
        <v>1580</v>
      </c>
      <c r="C446" s="9" t="s">
        <v>1582</v>
      </c>
      <c r="D446" s="10" t="s">
        <v>1583</v>
      </c>
      <c r="E446" s="8" t="s">
        <v>1205</v>
      </c>
      <c r="F446" s="10"/>
      <c r="G446" s="10" t="s">
        <v>40</v>
      </c>
      <c r="H446" s="10" t="s">
        <v>41</v>
      </c>
      <c r="I446" s="11"/>
      <c r="J446" s="10"/>
      <c r="K446" s="10"/>
      <c r="L446" s="8"/>
      <c r="M446" s="12">
        <v>22</v>
      </c>
      <c r="N446" s="12">
        <f t="shared" si="10"/>
        <v>88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  <c r="DA446" s="72"/>
      <c r="DB446" s="72"/>
      <c r="DC446" s="72"/>
      <c r="DD446" s="72"/>
      <c r="DE446" s="72"/>
      <c r="DF446" s="72"/>
      <c r="DG446" s="72"/>
      <c r="DH446" s="72"/>
      <c r="DI446" s="72"/>
      <c r="DJ446" s="72"/>
      <c r="DK446" s="72"/>
      <c r="DL446" s="72"/>
      <c r="DM446" s="72"/>
      <c r="DN446" s="72"/>
      <c r="DO446" s="72"/>
      <c r="DP446" s="72">
        <v>4</v>
      </c>
      <c r="DQ446" s="72">
        <v>4</v>
      </c>
      <c r="DR446" s="72">
        <v>0</v>
      </c>
      <c r="DS446" s="77"/>
    </row>
    <row r="447" spans="1:123" x14ac:dyDescent="0.35">
      <c r="A447" s="7"/>
      <c r="B447" s="8" t="s">
        <v>740</v>
      </c>
      <c r="C447" s="9" t="s">
        <v>741</v>
      </c>
      <c r="D447" s="10" t="s">
        <v>742</v>
      </c>
      <c r="E447" s="8" t="s">
        <v>1205</v>
      </c>
      <c r="F447" s="10">
        <v>1005</v>
      </c>
      <c r="G447" s="10" t="s">
        <v>40</v>
      </c>
      <c r="H447" s="10" t="s">
        <v>41</v>
      </c>
      <c r="I447" s="11">
        <v>2</v>
      </c>
      <c r="J447" s="10"/>
      <c r="K447" s="10" t="s">
        <v>566</v>
      </c>
      <c r="L447" s="8"/>
      <c r="M447" s="12"/>
      <c r="N447" s="12">
        <f t="shared" si="10"/>
        <v>0</v>
      </c>
      <c r="O447" s="11">
        <v>2</v>
      </c>
      <c r="P447" s="11">
        <v>2</v>
      </c>
      <c r="Q447" s="11">
        <v>2</v>
      </c>
      <c r="R447" s="11">
        <v>2</v>
      </c>
      <c r="S447" s="11">
        <v>2</v>
      </c>
      <c r="T447" s="11">
        <v>2</v>
      </c>
      <c r="U447" s="11">
        <v>2</v>
      </c>
      <c r="V447" s="11">
        <v>2</v>
      </c>
      <c r="W447" s="11">
        <v>2</v>
      </c>
      <c r="X447" s="11">
        <v>2</v>
      </c>
      <c r="Y447" s="11">
        <v>2</v>
      </c>
      <c r="Z447" s="11">
        <v>2</v>
      </c>
      <c r="AA447" s="11">
        <v>2</v>
      </c>
      <c r="AB447" s="11">
        <v>2</v>
      </c>
      <c r="AC447" s="11">
        <v>2</v>
      </c>
      <c r="AD447" s="11">
        <v>2</v>
      </c>
      <c r="AE447" s="11">
        <v>2</v>
      </c>
      <c r="AF447" s="11">
        <v>2</v>
      </c>
      <c r="AG447" s="11">
        <v>2</v>
      </c>
      <c r="AH447" s="11">
        <v>2</v>
      </c>
      <c r="AI447" s="11">
        <v>2</v>
      </c>
      <c r="AJ447" s="11">
        <v>2</v>
      </c>
      <c r="AK447" s="11">
        <v>2</v>
      </c>
      <c r="AL447" s="11">
        <v>2</v>
      </c>
      <c r="AM447" s="11">
        <v>2</v>
      </c>
      <c r="AN447" s="72">
        <v>2</v>
      </c>
      <c r="AO447" s="72">
        <v>2</v>
      </c>
      <c r="AP447" s="72">
        <v>2</v>
      </c>
      <c r="AQ447" s="72">
        <v>2</v>
      </c>
      <c r="AR447" s="72">
        <v>2</v>
      </c>
      <c r="AS447" s="72">
        <v>2</v>
      </c>
      <c r="AT447" s="72">
        <v>2</v>
      </c>
      <c r="AU447" s="72">
        <v>2</v>
      </c>
      <c r="AV447" s="72">
        <v>2</v>
      </c>
      <c r="AW447" s="72">
        <v>2</v>
      </c>
      <c r="AX447" s="72">
        <v>2</v>
      </c>
      <c r="AY447" s="72">
        <v>2</v>
      </c>
      <c r="AZ447" s="72">
        <v>2</v>
      </c>
      <c r="BA447" s="72">
        <v>2</v>
      </c>
      <c r="BB447" s="72">
        <v>2</v>
      </c>
      <c r="BC447" s="72">
        <v>2</v>
      </c>
      <c r="BD447" s="72">
        <v>2</v>
      </c>
      <c r="BE447" s="72">
        <v>2</v>
      </c>
      <c r="BF447" s="72">
        <v>2</v>
      </c>
      <c r="BG447" s="72">
        <v>2</v>
      </c>
      <c r="BH447" s="72">
        <v>2</v>
      </c>
      <c r="BI447" s="72">
        <v>2</v>
      </c>
      <c r="BJ447" s="72">
        <v>2</v>
      </c>
      <c r="BK447" s="72">
        <v>2</v>
      </c>
      <c r="BL447" s="72">
        <v>2</v>
      </c>
      <c r="BM447" s="72">
        <v>2</v>
      </c>
      <c r="BN447" s="72">
        <v>2</v>
      </c>
      <c r="BO447" s="72">
        <v>2</v>
      </c>
      <c r="BP447" s="72">
        <v>2</v>
      </c>
      <c r="BQ447" s="72">
        <v>2</v>
      </c>
      <c r="BR447" s="72">
        <v>2</v>
      </c>
      <c r="BS447" s="72">
        <v>2</v>
      </c>
      <c r="BT447" s="72">
        <v>2</v>
      </c>
      <c r="BU447" s="72">
        <v>2</v>
      </c>
      <c r="BV447" s="72">
        <v>2</v>
      </c>
      <c r="BW447" s="72">
        <v>2</v>
      </c>
      <c r="BX447" s="72">
        <v>2</v>
      </c>
      <c r="BY447" s="72">
        <v>2</v>
      </c>
      <c r="BZ447" s="72">
        <v>2</v>
      </c>
      <c r="CA447" s="72">
        <v>2</v>
      </c>
      <c r="CB447" s="72">
        <v>2</v>
      </c>
      <c r="CC447" s="72">
        <v>2</v>
      </c>
      <c r="CD447" s="72">
        <v>2</v>
      </c>
      <c r="CE447" s="72">
        <v>2</v>
      </c>
      <c r="CF447" s="72">
        <v>2</v>
      </c>
      <c r="CG447" s="72">
        <v>2</v>
      </c>
      <c r="CH447" s="72">
        <v>2</v>
      </c>
      <c r="CI447" s="72">
        <v>2</v>
      </c>
      <c r="CJ447" s="72">
        <v>2</v>
      </c>
      <c r="CK447" s="72">
        <v>2</v>
      </c>
      <c r="CL447" s="72">
        <v>2</v>
      </c>
      <c r="CM447" s="72">
        <v>2</v>
      </c>
      <c r="CN447" s="72">
        <v>2</v>
      </c>
      <c r="CO447" s="72">
        <v>2</v>
      </c>
      <c r="CP447" s="72">
        <v>2</v>
      </c>
      <c r="CQ447" s="72">
        <v>2</v>
      </c>
      <c r="CR447" s="72">
        <v>2</v>
      </c>
      <c r="CS447" s="72">
        <v>2</v>
      </c>
      <c r="CT447" s="72">
        <v>2</v>
      </c>
      <c r="CU447" s="72">
        <v>2</v>
      </c>
      <c r="CV447" s="72">
        <v>2</v>
      </c>
      <c r="CW447" s="72">
        <v>2</v>
      </c>
      <c r="CX447" s="72">
        <v>2</v>
      </c>
      <c r="CY447" s="72">
        <v>2</v>
      </c>
      <c r="CZ447" s="72">
        <v>2</v>
      </c>
      <c r="DA447" s="72">
        <v>2</v>
      </c>
      <c r="DB447" s="72">
        <v>2</v>
      </c>
      <c r="DC447" s="72">
        <v>2</v>
      </c>
      <c r="DD447" s="72">
        <v>2</v>
      </c>
      <c r="DE447" s="72">
        <v>2</v>
      </c>
      <c r="DF447" s="72">
        <v>2</v>
      </c>
      <c r="DG447" s="72">
        <v>2</v>
      </c>
      <c r="DH447" s="72">
        <v>2</v>
      </c>
      <c r="DI447" s="72">
        <v>2</v>
      </c>
      <c r="DJ447" s="72">
        <v>2</v>
      </c>
      <c r="DK447" s="72">
        <v>2</v>
      </c>
      <c r="DL447" s="72">
        <v>2</v>
      </c>
      <c r="DM447" s="72">
        <v>2</v>
      </c>
      <c r="DN447" s="72">
        <v>2</v>
      </c>
      <c r="DO447" s="72">
        <v>2</v>
      </c>
      <c r="DP447" s="72">
        <v>2</v>
      </c>
      <c r="DQ447" s="72"/>
      <c r="DR447" s="72">
        <v>2</v>
      </c>
      <c r="DS447" s="77"/>
    </row>
    <row r="448" spans="1:123" x14ac:dyDescent="0.35">
      <c r="A448" s="7"/>
      <c r="B448" s="8" t="s">
        <v>743</v>
      </c>
      <c r="C448" s="9" t="s">
        <v>744</v>
      </c>
      <c r="D448" s="10" t="s">
        <v>745</v>
      </c>
      <c r="E448" s="8" t="s">
        <v>1229</v>
      </c>
      <c r="F448" s="10"/>
      <c r="G448" s="10" t="s">
        <v>40</v>
      </c>
      <c r="H448" s="10" t="s">
        <v>41</v>
      </c>
      <c r="I448" s="11">
        <v>4</v>
      </c>
      <c r="J448" s="10">
        <v>2</v>
      </c>
      <c r="K448" s="10"/>
      <c r="L448" s="8" t="s">
        <v>746</v>
      </c>
      <c r="M448" s="12"/>
      <c r="N448" s="12">
        <f t="shared" si="10"/>
        <v>0</v>
      </c>
      <c r="O448" s="11"/>
      <c r="P448" s="11"/>
      <c r="Q448" s="11"/>
      <c r="R448" s="11"/>
      <c r="S448" s="11"/>
      <c r="T448" s="11"/>
      <c r="U448" s="11">
        <v>0</v>
      </c>
      <c r="V448" s="11"/>
      <c r="W448" s="11">
        <v>0</v>
      </c>
      <c r="X448" s="11"/>
      <c r="Y448" s="11"/>
      <c r="Z448" s="11">
        <v>0</v>
      </c>
      <c r="AA448" s="11"/>
      <c r="AB448" s="11">
        <v>0</v>
      </c>
      <c r="AC448" s="11">
        <v>0</v>
      </c>
      <c r="AD448" s="11">
        <v>0</v>
      </c>
      <c r="AE448" s="11">
        <v>0</v>
      </c>
      <c r="AF448" s="11">
        <v>0</v>
      </c>
      <c r="AG448" s="11">
        <v>0</v>
      </c>
      <c r="AH448" s="11">
        <v>0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0</v>
      </c>
      <c r="BL448" s="72">
        <v>0</v>
      </c>
      <c r="BM448" s="72">
        <v>0</v>
      </c>
      <c r="BN448" s="72">
        <v>0</v>
      </c>
      <c r="BO448" s="72">
        <v>0</v>
      </c>
      <c r="BP448" s="72">
        <v>0</v>
      </c>
      <c r="BQ448" s="72">
        <v>0</v>
      </c>
      <c r="BR448" s="72">
        <v>0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0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0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0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  <c r="DP448" s="72">
        <v>0</v>
      </c>
      <c r="DQ448" s="72"/>
      <c r="DR448" s="72">
        <v>0</v>
      </c>
      <c r="DS448" s="77"/>
    </row>
    <row r="449" spans="1:123" x14ac:dyDescent="0.35">
      <c r="A449" s="7"/>
      <c r="B449" s="8" t="s">
        <v>747</v>
      </c>
      <c r="C449" s="35" t="s">
        <v>1159</v>
      </c>
      <c r="D449" s="10" t="s">
        <v>748</v>
      </c>
      <c r="E449" s="8" t="s">
        <v>1229</v>
      </c>
      <c r="F449" s="10"/>
      <c r="G449" s="10" t="s">
        <v>40</v>
      </c>
      <c r="H449" s="10" t="s">
        <v>41</v>
      </c>
      <c r="I449" s="11">
        <v>2</v>
      </c>
      <c r="J449" s="10"/>
      <c r="K449" s="10" t="s">
        <v>550</v>
      </c>
      <c r="L449" s="8"/>
      <c r="M449" s="12"/>
      <c r="N449" s="12">
        <f t="shared" si="10"/>
        <v>0</v>
      </c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>
        <v>3</v>
      </c>
      <c r="AA449" s="11"/>
      <c r="AB449" s="11"/>
      <c r="AC449" s="11">
        <v>0</v>
      </c>
      <c r="AD449" s="11">
        <v>0</v>
      </c>
      <c r="AE449" s="11">
        <v>0</v>
      </c>
      <c r="AF449" s="11">
        <v>0</v>
      </c>
      <c r="AG449" s="11">
        <v>0</v>
      </c>
      <c r="AH449" s="11">
        <v>0</v>
      </c>
      <c r="AI449" s="11">
        <v>2</v>
      </c>
      <c r="AJ449" s="11">
        <v>2</v>
      </c>
      <c r="AK449" s="11">
        <v>2</v>
      </c>
      <c r="AL449" s="11">
        <v>1</v>
      </c>
      <c r="AM449" s="11">
        <v>1</v>
      </c>
      <c r="AN449" s="72">
        <v>1</v>
      </c>
      <c r="AO449" s="72">
        <v>1</v>
      </c>
      <c r="AP449" s="72">
        <v>1</v>
      </c>
      <c r="AQ449" s="72">
        <v>1</v>
      </c>
      <c r="AR449" s="72">
        <v>1</v>
      </c>
      <c r="AS449" s="72">
        <v>1</v>
      </c>
      <c r="AT449" s="72">
        <v>1</v>
      </c>
      <c r="AU449" s="72">
        <v>1</v>
      </c>
      <c r="AV449" s="72">
        <v>1</v>
      </c>
      <c r="AW449" s="72">
        <v>1</v>
      </c>
      <c r="AX449" s="72">
        <v>1</v>
      </c>
      <c r="AY449" s="72">
        <v>1</v>
      </c>
      <c r="AZ449" s="72">
        <v>1</v>
      </c>
      <c r="BA449" s="72">
        <v>1</v>
      </c>
      <c r="BB449" s="72">
        <v>1</v>
      </c>
      <c r="BC449" s="72">
        <v>1</v>
      </c>
      <c r="BD449" s="72">
        <v>1</v>
      </c>
      <c r="BE449" s="72">
        <v>1</v>
      </c>
      <c r="BF449" s="72">
        <v>1</v>
      </c>
      <c r="BG449" s="72">
        <v>1</v>
      </c>
      <c r="BH449" s="72">
        <v>1</v>
      </c>
      <c r="BI449" s="72">
        <v>1</v>
      </c>
      <c r="BJ449" s="72">
        <v>1</v>
      </c>
      <c r="BK449" s="72">
        <v>1</v>
      </c>
      <c r="BL449" s="72">
        <v>1</v>
      </c>
      <c r="BM449" s="72">
        <v>1</v>
      </c>
      <c r="BN449" s="72">
        <v>1</v>
      </c>
      <c r="BO449" s="72">
        <v>1</v>
      </c>
      <c r="BP449" s="72">
        <v>1</v>
      </c>
      <c r="BQ449" s="72">
        <v>1</v>
      </c>
      <c r="BR449" s="72">
        <v>1</v>
      </c>
      <c r="BS449" s="72">
        <v>0</v>
      </c>
      <c r="BT449" s="72">
        <v>0</v>
      </c>
      <c r="BU449" s="72">
        <v>0</v>
      </c>
      <c r="BV449" s="72">
        <v>0</v>
      </c>
      <c r="BW449" s="72">
        <v>0</v>
      </c>
      <c r="BX449" s="72">
        <v>0</v>
      </c>
      <c r="BY449" s="72">
        <v>0</v>
      </c>
      <c r="BZ449" s="72">
        <v>0</v>
      </c>
      <c r="CA449" s="72">
        <v>0</v>
      </c>
      <c r="CB449" s="72">
        <v>0</v>
      </c>
      <c r="CC449" s="72">
        <v>0</v>
      </c>
      <c r="CD449" s="72">
        <v>0</v>
      </c>
      <c r="CE449" s="72">
        <v>0</v>
      </c>
      <c r="CF449" s="72">
        <v>0</v>
      </c>
      <c r="CG449" s="72">
        <v>0</v>
      </c>
      <c r="CH449" s="72">
        <v>0</v>
      </c>
      <c r="CI449" s="72">
        <v>0</v>
      </c>
      <c r="CJ449" s="72">
        <v>0</v>
      </c>
      <c r="CK449" s="72">
        <v>0</v>
      </c>
      <c r="CL449" s="72">
        <v>0</v>
      </c>
      <c r="CM449" s="72">
        <v>0</v>
      </c>
      <c r="CN449" s="72">
        <v>0</v>
      </c>
      <c r="CO449" s="72">
        <v>0</v>
      </c>
      <c r="CP449" s="72">
        <v>0</v>
      </c>
      <c r="CQ449" s="72">
        <v>0</v>
      </c>
      <c r="CR449" s="72">
        <v>0</v>
      </c>
      <c r="CS449" s="72">
        <v>0</v>
      </c>
      <c r="CT449" s="72">
        <v>0</v>
      </c>
      <c r="CU449" s="72">
        <v>0</v>
      </c>
      <c r="CV449" s="72">
        <v>0</v>
      </c>
      <c r="CW449" s="72">
        <v>0</v>
      </c>
      <c r="CX449" s="72">
        <v>0</v>
      </c>
      <c r="CY449" s="72">
        <v>0</v>
      </c>
      <c r="CZ449" s="72">
        <v>0</v>
      </c>
      <c r="DA449" s="72">
        <v>0</v>
      </c>
      <c r="DB449" s="72">
        <v>0</v>
      </c>
      <c r="DC449" s="72">
        <v>0</v>
      </c>
      <c r="DD449" s="72">
        <v>0</v>
      </c>
      <c r="DE449" s="72">
        <v>0</v>
      </c>
      <c r="DF449" s="72">
        <v>0</v>
      </c>
      <c r="DG449" s="72">
        <v>0</v>
      </c>
      <c r="DH449" s="72">
        <v>0</v>
      </c>
      <c r="DI449" s="72">
        <v>0</v>
      </c>
      <c r="DJ449" s="72">
        <v>0</v>
      </c>
      <c r="DK449" s="72">
        <v>0</v>
      </c>
      <c r="DL449" s="72">
        <v>0</v>
      </c>
      <c r="DM449" s="72">
        <v>0</v>
      </c>
      <c r="DN449" s="72">
        <v>0</v>
      </c>
      <c r="DO449" s="72">
        <v>0</v>
      </c>
      <c r="DP449" s="72">
        <v>0</v>
      </c>
      <c r="DQ449" s="72"/>
      <c r="DR449" s="72">
        <v>0</v>
      </c>
      <c r="DS449" s="77"/>
    </row>
    <row r="450" spans="1:123" x14ac:dyDescent="0.35">
      <c r="DQ450" s="130"/>
      <c r="DR450" s="130"/>
      <c r="DS450" s="141"/>
    </row>
    <row r="451" spans="1:123" x14ac:dyDescent="0.35">
      <c r="DQ451" s="130"/>
      <c r="DR451" s="130"/>
      <c r="DS451" s="141"/>
    </row>
    <row r="452" spans="1:123" x14ac:dyDescent="0.35">
      <c r="DQ452" s="130"/>
      <c r="DR452" s="130"/>
      <c r="DS452" s="142"/>
    </row>
    <row r="453" spans="1:123" x14ac:dyDescent="0.35">
      <c r="DQ453" s="130"/>
      <c r="DR453" s="130"/>
      <c r="DS453" s="141"/>
    </row>
    <row r="454" spans="1:123" x14ac:dyDescent="0.35">
      <c r="DQ454" s="130"/>
      <c r="DR454" s="130"/>
      <c r="DS454" s="142"/>
    </row>
    <row r="455" spans="1:123" x14ac:dyDescent="0.35">
      <c r="DQ455" s="130"/>
      <c r="DR455" s="130"/>
      <c r="DS455" s="142"/>
    </row>
    <row r="456" spans="1:123" x14ac:dyDescent="0.35">
      <c r="DQ456" s="130"/>
      <c r="DR456" s="130"/>
      <c r="DS456" s="141"/>
    </row>
    <row r="457" spans="1:123" x14ac:dyDescent="0.35">
      <c r="DQ457" s="130"/>
      <c r="DR457" s="130"/>
      <c r="DS457" s="141"/>
    </row>
    <row r="458" spans="1:123" x14ac:dyDescent="0.35">
      <c r="DQ458" s="130"/>
      <c r="DR458" s="130"/>
      <c r="DS458" s="141"/>
    </row>
    <row r="459" spans="1:123" x14ac:dyDescent="0.35">
      <c r="DQ459" s="130"/>
      <c r="DR459" s="130"/>
      <c r="DS459" s="141"/>
    </row>
    <row r="460" spans="1:123" x14ac:dyDescent="0.35">
      <c r="DQ460" s="130"/>
      <c r="DR460" s="130"/>
      <c r="DS460" s="141"/>
    </row>
    <row r="461" spans="1:123" x14ac:dyDescent="0.35">
      <c r="DQ461" s="130"/>
      <c r="DR461" s="130"/>
      <c r="DS461" s="142"/>
    </row>
    <row r="462" spans="1:123" x14ac:dyDescent="0.35">
      <c r="DQ462" s="131"/>
      <c r="DR462" s="131"/>
      <c r="DS462" s="142"/>
    </row>
    <row r="463" spans="1:123" x14ac:dyDescent="0.35">
      <c r="DQ463" s="130"/>
      <c r="DR463" s="130"/>
      <c r="DS463" s="141"/>
    </row>
    <row r="464" spans="1:123" x14ac:dyDescent="0.35">
      <c r="DQ464" s="130"/>
      <c r="DR464" s="130"/>
      <c r="DS464" s="142"/>
    </row>
    <row r="465" spans="121:123" x14ac:dyDescent="0.35">
      <c r="DQ465" s="130"/>
      <c r="DR465" s="130"/>
      <c r="DS465" s="142"/>
    </row>
    <row r="466" spans="121:123" x14ac:dyDescent="0.35">
      <c r="DQ466" s="130"/>
      <c r="DR466" s="130"/>
      <c r="DS466" s="141"/>
    </row>
    <row r="467" spans="121:123" x14ac:dyDescent="0.35">
      <c r="DQ467" s="130"/>
      <c r="DR467" s="130"/>
      <c r="DS467" s="142"/>
    </row>
    <row r="468" spans="121:123" x14ac:dyDescent="0.35">
      <c r="DQ468" s="130"/>
      <c r="DR468" s="130"/>
      <c r="DS468" s="141"/>
    </row>
    <row r="469" spans="121:123" x14ac:dyDescent="0.35">
      <c r="DQ469" s="130"/>
      <c r="DR469" s="130"/>
      <c r="DS469" s="141"/>
    </row>
    <row r="470" spans="121:123" x14ac:dyDescent="0.35">
      <c r="DQ470" s="130"/>
      <c r="DR470" s="130"/>
      <c r="DS470" s="141"/>
    </row>
    <row r="471" spans="121:123" x14ac:dyDescent="0.35">
      <c r="DQ471" s="130"/>
      <c r="DR471" s="130"/>
      <c r="DS471" s="141"/>
    </row>
    <row r="472" spans="121:123" x14ac:dyDescent="0.35">
      <c r="DQ472" s="130"/>
      <c r="DR472" s="130"/>
      <c r="DS472" s="141"/>
    </row>
    <row r="473" spans="121:123" x14ac:dyDescent="0.35">
      <c r="DQ473" s="130"/>
      <c r="DR473" s="130"/>
      <c r="DS473" s="141"/>
    </row>
    <row r="474" spans="121:123" x14ac:dyDescent="0.35">
      <c r="DQ474" s="130"/>
      <c r="DR474" s="130"/>
      <c r="DS474" s="141"/>
    </row>
    <row r="475" spans="121:123" x14ac:dyDescent="0.35">
      <c r="DQ475" s="130"/>
      <c r="DR475" s="130"/>
      <c r="DS475" s="141"/>
    </row>
    <row r="476" spans="121:123" x14ac:dyDescent="0.35">
      <c r="DQ476" s="130"/>
      <c r="DR476" s="130"/>
      <c r="DS476" s="141"/>
    </row>
    <row r="477" spans="121:123" x14ac:dyDescent="0.35">
      <c r="DQ477" s="130"/>
      <c r="DR477" s="130"/>
      <c r="DS477" s="141"/>
    </row>
    <row r="478" spans="121:123" x14ac:dyDescent="0.35">
      <c r="DQ478" s="130"/>
      <c r="DR478" s="130"/>
      <c r="DS478" s="141"/>
    </row>
    <row r="479" spans="121:123" x14ac:dyDescent="0.35">
      <c r="DQ479" s="130"/>
      <c r="DR479" s="130"/>
      <c r="DS479" s="141"/>
    </row>
    <row r="480" spans="121:123" x14ac:dyDescent="0.35">
      <c r="DQ480" s="130"/>
      <c r="DR480" s="130"/>
      <c r="DS480" s="141"/>
    </row>
    <row r="481" spans="121:123" x14ac:dyDescent="0.35">
      <c r="DQ481" s="130"/>
      <c r="DR481" s="130"/>
      <c r="DS481" s="141"/>
    </row>
    <row r="482" spans="121:123" x14ac:dyDescent="0.35">
      <c r="DQ482" s="130"/>
      <c r="DR482" s="130"/>
      <c r="DS482" s="142"/>
    </row>
    <row r="483" spans="121:123" x14ac:dyDescent="0.35">
      <c r="DQ483" s="130"/>
      <c r="DR483" s="130"/>
      <c r="DS483" s="141"/>
    </row>
    <row r="484" spans="121:123" x14ac:dyDescent="0.35">
      <c r="DQ484" s="130"/>
      <c r="DR484" s="130"/>
      <c r="DS484" s="141"/>
    </row>
    <row r="485" spans="121:123" x14ac:dyDescent="0.35">
      <c r="DQ485" s="130"/>
      <c r="DR485" s="130"/>
      <c r="DS485" s="142"/>
    </row>
    <row r="486" spans="121:123" x14ac:dyDescent="0.35">
      <c r="DQ486" s="130"/>
      <c r="DR486" s="130"/>
      <c r="DS486" s="142"/>
    </row>
    <row r="487" spans="121:123" x14ac:dyDescent="0.35">
      <c r="DQ487" s="130"/>
      <c r="DR487" s="130"/>
      <c r="DS487" s="141"/>
    </row>
    <row r="488" spans="121:123" x14ac:dyDescent="0.35">
      <c r="DQ488" s="130"/>
      <c r="DR488" s="130"/>
      <c r="DS488" s="141"/>
    </row>
    <row r="489" spans="121:123" x14ac:dyDescent="0.35">
      <c r="DQ489" s="130"/>
      <c r="DR489" s="130"/>
      <c r="DS489" s="141"/>
    </row>
    <row r="490" spans="121:123" x14ac:dyDescent="0.35">
      <c r="DQ490" s="130"/>
      <c r="DR490" s="130"/>
      <c r="DS490" s="141"/>
    </row>
    <row r="491" spans="121:123" x14ac:dyDescent="0.35">
      <c r="DQ491" s="130"/>
      <c r="DR491" s="130"/>
      <c r="DS491" s="142"/>
    </row>
    <row r="492" spans="121:123" x14ac:dyDescent="0.35">
      <c r="DQ492" s="130"/>
      <c r="DR492" s="130"/>
      <c r="DS492" s="141"/>
    </row>
    <row r="493" spans="121:123" x14ac:dyDescent="0.35">
      <c r="DQ493" s="130"/>
      <c r="DR493" s="130"/>
      <c r="DS493" s="141"/>
    </row>
    <row r="494" spans="121:123" x14ac:dyDescent="0.35">
      <c r="DQ494" s="130"/>
      <c r="DR494" s="130"/>
      <c r="DS494" s="141"/>
    </row>
    <row r="495" spans="121:123" x14ac:dyDescent="0.35">
      <c r="DQ495" s="130"/>
      <c r="DR495" s="130"/>
      <c r="DS495" s="141"/>
    </row>
    <row r="496" spans="121:123" x14ac:dyDescent="0.35">
      <c r="DQ496" s="130"/>
      <c r="DR496" s="130"/>
      <c r="DS496" s="141"/>
    </row>
    <row r="497" spans="121:123" x14ac:dyDescent="0.35">
      <c r="DQ497" s="130"/>
      <c r="DR497" s="130"/>
      <c r="DS497" s="141"/>
    </row>
    <row r="498" spans="121:123" x14ac:dyDescent="0.35">
      <c r="DQ498" s="130"/>
      <c r="DR498" s="130"/>
      <c r="DS498" s="142"/>
    </row>
    <row r="499" spans="121:123" x14ac:dyDescent="0.35">
      <c r="DQ499" s="130"/>
      <c r="DR499" s="130"/>
      <c r="DS499" s="141"/>
    </row>
    <row r="500" spans="121:123" x14ac:dyDescent="0.35">
      <c r="DQ500" s="130"/>
      <c r="DR500" s="130"/>
      <c r="DS500" s="141"/>
    </row>
    <row r="501" spans="121:123" x14ac:dyDescent="0.35">
      <c r="DQ501" s="130"/>
      <c r="DR501" s="130"/>
      <c r="DS501" s="141"/>
    </row>
    <row r="502" spans="121:123" x14ac:dyDescent="0.35">
      <c r="DQ502" s="130"/>
      <c r="DR502" s="130"/>
      <c r="DS502" s="141"/>
    </row>
    <row r="503" spans="121:123" x14ac:dyDescent="0.35">
      <c r="DQ503" s="130"/>
      <c r="DR503" s="130"/>
      <c r="DS503" s="141"/>
    </row>
    <row r="504" spans="121:123" x14ac:dyDescent="0.35">
      <c r="DQ504" s="130"/>
      <c r="DR504" s="130"/>
      <c r="DS504" s="141"/>
    </row>
    <row r="505" spans="121:123" x14ac:dyDescent="0.35">
      <c r="DQ505" s="130"/>
      <c r="DR505" s="130"/>
      <c r="DS505" s="141"/>
    </row>
    <row r="506" spans="121:123" x14ac:dyDescent="0.35">
      <c r="DQ506" s="130"/>
      <c r="DR506" s="130"/>
      <c r="DS506" s="141"/>
    </row>
    <row r="507" spans="121:123" x14ac:dyDescent="0.35">
      <c r="DQ507" s="130"/>
      <c r="DR507" s="130"/>
      <c r="DS507" s="141"/>
    </row>
    <row r="508" spans="121:123" x14ac:dyDescent="0.35">
      <c r="DQ508" s="130"/>
      <c r="DR508" s="130"/>
      <c r="DS508" s="141"/>
    </row>
    <row r="509" spans="121:123" x14ac:dyDescent="0.35">
      <c r="DQ509" s="130"/>
      <c r="DR509" s="130"/>
      <c r="DS509" s="142"/>
    </row>
    <row r="510" spans="121:123" x14ac:dyDescent="0.35">
      <c r="DQ510" s="130"/>
      <c r="DR510" s="130"/>
      <c r="DS510" s="141"/>
    </row>
    <row r="511" spans="121:123" x14ac:dyDescent="0.35">
      <c r="DQ511" s="130"/>
      <c r="DR511" s="130"/>
      <c r="DS511" s="142"/>
    </row>
    <row r="512" spans="121:123" x14ac:dyDescent="0.35">
      <c r="DQ512" s="130"/>
      <c r="DR512" s="130"/>
      <c r="DS512" s="141"/>
    </row>
    <row r="513" spans="121:123" x14ac:dyDescent="0.35">
      <c r="DQ513" s="130"/>
      <c r="DR513" s="130"/>
      <c r="DS513" s="141"/>
    </row>
    <row r="514" spans="121:123" x14ac:dyDescent="0.35">
      <c r="DQ514" s="130"/>
      <c r="DR514" s="130"/>
      <c r="DS514" s="141"/>
    </row>
    <row r="515" spans="121:123" x14ac:dyDescent="0.35">
      <c r="DQ515" s="130"/>
      <c r="DR515" s="130"/>
      <c r="DS515" s="141"/>
    </row>
    <row r="516" spans="121:123" x14ac:dyDescent="0.35">
      <c r="DQ516" s="130"/>
      <c r="DR516" s="130"/>
      <c r="DS516" s="141"/>
    </row>
    <row r="517" spans="121:123" x14ac:dyDescent="0.35">
      <c r="DQ517" s="130"/>
      <c r="DR517" s="130"/>
      <c r="DS517" s="141"/>
    </row>
    <row r="518" spans="121:123" x14ac:dyDescent="0.35">
      <c r="DQ518" s="130"/>
      <c r="DR518" s="130"/>
      <c r="DS518" s="141"/>
    </row>
    <row r="519" spans="121:123" x14ac:dyDescent="0.35">
      <c r="DQ519" s="130"/>
      <c r="DR519" s="130"/>
      <c r="DS519" s="141"/>
    </row>
    <row r="520" spans="121:123" x14ac:dyDescent="0.35">
      <c r="DQ520" s="130"/>
      <c r="DR520" s="130"/>
      <c r="DS520" s="141"/>
    </row>
    <row r="521" spans="121:123" x14ac:dyDescent="0.35">
      <c r="DQ521" s="130"/>
      <c r="DR521" s="130"/>
      <c r="DS521" s="141"/>
    </row>
    <row r="522" spans="121:123" x14ac:dyDescent="0.35">
      <c r="DQ522" s="130"/>
      <c r="DR522" s="130"/>
      <c r="DS522" s="141"/>
    </row>
    <row r="523" spans="121:123" x14ac:dyDescent="0.35">
      <c r="DQ523" s="130"/>
      <c r="DR523" s="130"/>
      <c r="DS523" s="141"/>
    </row>
    <row r="524" spans="121:123" x14ac:dyDescent="0.35">
      <c r="DQ524" s="130"/>
      <c r="DR524" s="130"/>
      <c r="DS524" s="141"/>
    </row>
    <row r="525" spans="121:123" x14ac:dyDescent="0.35">
      <c r="DQ525" s="130"/>
      <c r="DR525" s="130"/>
      <c r="DS525" s="141"/>
    </row>
    <row r="526" spans="121:123" x14ac:dyDescent="0.35">
      <c r="DQ526" s="130"/>
      <c r="DR526" s="130"/>
      <c r="DS526" s="141"/>
    </row>
    <row r="527" spans="121:123" x14ac:dyDescent="0.35">
      <c r="DQ527" s="130"/>
      <c r="DR527" s="130"/>
      <c r="DS527" s="141"/>
    </row>
    <row r="528" spans="121:123" x14ac:dyDescent="0.35">
      <c r="DQ528" s="130"/>
      <c r="DR528" s="130"/>
      <c r="DS528" s="142"/>
    </row>
    <row r="529" spans="121:123" x14ac:dyDescent="0.35">
      <c r="DQ529" s="130"/>
      <c r="DR529" s="130"/>
      <c r="DS529" s="141"/>
    </row>
    <row r="530" spans="121:123" x14ac:dyDescent="0.35">
      <c r="DQ530" s="130"/>
      <c r="DR530" s="130"/>
      <c r="DS530" s="141"/>
    </row>
    <row r="531" spans="121:123" x14ac:dyDescent="0.35">
      <c r="DQ531" s="130"/>
      <c r="DR531" s="130"/>
      <c r="DS531" s="141"/>
    </row>
    <row r="532" spans="121:123" x14ac:dyDescent="0.35">
      <c r="DQ532" s="130"/>
      <c r="DR532" s="130"/>
      <c r="DS532" s="141"/>
    </row>
    <row r="533" spans="121:123" x14ac:dyDescent="0.35">
      <c r="DQ533" s="130"/>
      <c r="DR533" s="130"/>
      <c r="DS533" s="141"/>
    </row>
    <row r="534" spans="121:123" x14ac:dyDescent="0.35">
      <c r="DQ534" s="130"/>
      <c r="DR534" s="130"/>
      <c r="DS534" s="141"/>
    </row>
    <row r="535" spans="121:123" x14ac:dyDescent="0.35">
      <c r="DQ535" s="130"/>
      <c r="DR535" s="130"/>
      <c r="DS535" s="141"/>
    </row>
    <row r="536" spans="121:123" x14ac:dyDescent="0.35">
      <c r="DQ536" s="130"/>
      <c r="DR536" s="130"/>
      <c r="DS536" s="141"/>
    </row>
    <row r="537" spans="121:123" x14ac:dyDescent="0.35">
      <c r="DQ537" s="130"/>
      <c r="DR537" s="130"/>
      <c r="DS537" s="141"/>
    </row>
    <row r="538" spans="121:123" x14ac:dyDescent="0.35">
      <c r="DQ538" s="130"/>
      <c r="DR538" s="130"/>
      <c r="DS538" s="141"/>
    </row>
    <row r="539" spans="121:123" x14ac:dyDescent="0.35">
      <c r="DQ539" s="130"/>
      <c r="DR539" s="130"/>
      <c r="DS539" s="141"/>
    </row>
    <row r="540" spans="121:123" x14ac:dyDescent="0.35">
      <c r="DQ540" s="130"/>
      <c r="DR540" s="130"/>
      <c r="DS540" s="141"/>
    </row>
    <row r="541" spans="121:123" x14ac:dyDescent="0.35">
      <c r="DQ541" s="130"/>
      <c r="DR541" s="130"/>
      <c r="DS541" s="141"/>
    </row>
    <row r="542" spans="121:123" x14ac:dyDescent="0.35">
      <c r="DQ542" s="130"/>
      <c r="DR542" s="130"/>
      <c r="DS542" s="141"/>
    </row>
    <row r="543" spans="121:123" x14ac:dyDescent="0.35">
      <c r="DQ543" s="130"/>
      <c r="DR543" s="130"/>
      <c r="DS543" s="141"/>
    </row>
    <row r="544" spans="121:123" x14ac:dyDescent="0.35">
      <c r="DQ544" s="130"/>
      <c r="DR544" s="130"/>
      <c r="DS544" s="141"/>
    </row>
    <row r="545" spans="121:123" x14ac:dyDescent="0.35">
      <c r="DQ545" s="130"/>
      <c r="DR545" s="130"/>
      <c r="DS545" s="141"/>
    </row>
    <row r="546" spans="121:123" x14ac:dyDescent="0.35">
      <c r="DQ546" s="130"/>
      <c r="DR546" s="130"/>
      <c r="DS546" s="142"/>
    </row>
    <row r="547" spans="121:123" x14ac:dyDescent="0.35">
      <c r="DQ547" s="130"/>
      <c r="DR547" s="130"/>
      <c r="DS547" s="141"/>
    </row>
    <row r="548" spans="121:123" x14ac:dyDescent="0.35">
      <c r="DQ548" s="130"/>
      <c r="DR548" s="130"/>
      <c r="DS548" s="141"/>
    </row>
    <row r="549" spans="121:123" x14ac:dyDescent="0.35">
      <c r="DQ549" s="130"/>
      <c r="DR549" s="130"/>
      <c r="DS549" s="141"/>
    </row>
    <row r="550" spans="121:123" x14ac:dyDescent="0.35">
      <c r="DQ550" s="130"/>
      <c r="DR550" s="130"/>
      <c r="DS550" s="141"/>
    </row>
    <row r="551" spans="121:123" x14ac:dyDescent="0.35">
      <c r="DQ551" s="130"/>
      <c r="DR551" s="130"/>
      <c r="DS551" s="142"/>
    </row>
    <row r="552" spans="121:123" x14ac:dyDescent="0.35">
      <c r="DQ552" s="130"/>
      <c r="DR552" s="130"/>
      <c r="DS552" s="141"/>
    </row>
    <row r="553" spans="121:123" x14ac:dyDescent="0.35">
      <c r="DQ553" s="130"/>
      <c r="DR553" s="130"/>
      <c r="DS553" s="141"/>
    </row>
    <row r="554" spans="121:123" x14ac:dyDescent="0.35">
      <c r="DQ554" s="130"/>
      <c r="DR554" s="130"/>
      <c r="DS554" s="142"/>
    </row>
    <row r="555" spans="121:123" x14ac:dyDescent="0.35">
      <c r="DQ555" s="130"/>
      <c r="DR555" s="130"/>
      <c r="DS555" s="142"/>
    </row>
    <row r="556" spans="121:123" x14ac:dyDescent="0.35">
      <c r="DQ556" s="130"/>
      <c r="DR556" s="130"/>
      <c r="DS556" s="142"/>
    </row>
    <row r="557" spans="121:123" x14ac:dyDescent="0.35">
      <c r="DQ557" s="130"/>
      <c r="DR557" s="130"/>
      <c r="DS557" s="141"/>
    </row>
    <row r="558" spans="121:123" x14ac:dyDescent="0.35">
      <c r="DQ558" s="130"/>
      <c r="DR558" s="130"/>
      <c r="DS558" s="141"/>
    </row>
    <row r="559" spans="121:123" x14ac:dyDescent="0.35">
      <c r="DQ559" s="130"/>
      <c r="DR559" s="130"/>
      <c r="DS559" s="141"/>
    </row>
    <row r="560" spans="121:123" x14ac:dyDescent="0.35">
      <c r="DQ560" s="130"/>
      <c r="DR560" s="130"/>
      <c r="DS560" s="142"/>
    </row>
    <row r="561" spans="121:123" x14ac:dyDescent="0.35">
      <c r="DQ561" s="130"/>
      <c r="DR561" s="130"/>
      <c r="DS561" s="142"/>
    </row>
    <row r="562" spans="121:123" x14ac:dyDescent="0.35">
      <c r="DQ562" s="130"/>
      <c r="DR562" s="130"/>
      <c r="DS562" s="142"/>
    </row>
    <row r="563" spans="121:123" x14ac:dyDescent="0.35">
      <c r="DQ563" s="130"/>
      <c r="DR563" s="130"/>
      <c r="DS563" s="142"/>
    </row>
    <row r="564" spans="121:123" x14ac:dyDescent="0.35">
      <c r="DQ564" s="130"/>
      <c r="DR564" s="130"/>
      <c r="DS564" s="142"/>
    </row>
    <row r="565" spans="121:123" x14ac:dyDescent="0.35">
      <c r="DQ565" s="130"/>
      <c r="DR565" s="130"/>
      <c r="DS565" s="142"/>
    </row>
    <row r="566" spans="121:123" x14ac:dyDescent="0.35">
      <c r="DQ566" s="130"/>
      <c r="DR566" s="130"/>
      <c r="DS566" s="142"/>
    </row>
    <row r="567" spans="121:123" x14ac:dyDescent="0.35">
      <c r="DQ567" s="130"/>
      <c r="DR567" s="130"/>
      <c r="DS567" s="142"/>
    </row>
    <row r="568" spans="121:123" x14ac:dyDescent="0.35">
      <c r="DQ568" s="130"/>
      <c r="DR568" s="130"/>
      <c r="DS568" s="142"/>
    </row>
    <row r="569" spans="121:123" x14ac:dyDescent="0.35">
      <c r="DQ569" s="130"/>
      <c r="DR569" s="130"/>
      <c r="DS569" s="142"/>
    </row>
    <row r="570" spans="121:123" x14ac:dyDescent="0.35">
      <c r="DQ570" s="130"/>
      <c r="DR570" s="130"/>
      <c r="DS570" s="141"/>
    </row>
    <row r="571" spans="121:123" x14ac:dyDescent="0.35">
      <c r="DQ571" s="130"/>
      <c r="DR571" s="130"/>
      <c r="DS571" s="142"/>
    </row>
    <row r="572" spans="121:123" x14ac:dyDescent="0.35">
      <c r="DQ572" s="130"/>
      <c r="DR572" s="130"/>
      <c r="DS572" s="142"/>
    </row>
    <row r="573" spans="121:123" x14ac:dyDescent="0.35">
      <c r="DQ573" s="130"/>
      <c r="DR573" s="130"/>
      <c r="DS573" s="141"/>
    </row>
    <row r="574" spans="121:123" x14ac:dyDescent="0.35">
      <c r="DQ574" s="130"/>
      <c r="DR574" s="130"/>
      <c r="DS574" s="141"/>
    </row>
    <row r="575" spans="121:123" x14ac:dyDescent="0.35">
      <c r="DQ575" s="130"/>
      <c r="DR575" s="130"/>
      <c r="DS575" s="141"/>
    </row>
    <row r="576" spans="121:123" x14ac:dyDescent="0.35">
      <c r="DQ576" s="130"/>
      <c r="DR576" s="130"/>
      <c r="DS576" s="142"/>
    </row>
    <row r="577" spans="121:123" x14ac:dyDescent="0.35">
      <c r="DQ577" s="130"/>
      <c r="DR577" s="130"/>
      <c r="DS577" s="142"/>
    </row>
    <row r="578" spans="121:123" x14ac:dyDescent="0.35">
      <c r="DQ578" s="130"/>
      <c r="DR578" s="130"/>
      <c r="DS578" s="141"/>
    </row>
    <row r="579" spans="121:123" x14ac:dyDescent="0.35">
      <c r="DQ579" s="130"/>
      <c r="DR579" s="130"/>
      <c r="DS579" s="141"/>
    </row>
    <row r="580" spans="121:123" x14ac:dyDescent="0.35">
      <c r="DQ580" s="130"/>
      <c r="DR580" s="130"/>
      <c r="DS580" s="141"/>
    </row>
    <row r="581" spans="121:123" x14ac:dyDescent="0.35">
      <c r="DQ581" s="130"/>
      <c r="DR581" s="130"/>
      <c r="DS581" s="141"/>
    </row>
    <row r="582" spans="121:123" x14ac:dyDescent="0.35">
      <c r="DQ582" s="130"/>
      <c r="DR582" s="130"/>
      <c r="DS582" s="141"/>
    </row>
    <row r="583" spans="121:123" x14ac:dyDescent="0.35">
      <c r="DQ583" s="130"/>
      <c r="DR583" s="130"/>
      <c r="DS583" s="141"/>
    </row>
    <row r="584" spans="121:123" x14ac:dyDescent="0.35">
      <c r="DQ584" s="130"/>
      <c r="DR584" s="130"/>
      <c r="DS584" s="141"/>
    </row>
    <row r="585" spans="121:123" x14ac:dyDescent="0.35">
      <c r="DQ585" s="130"/>
      <c r="DR585" s="130"/>
      <c r="DS585" s="141"/>
    </row>
    <row r="586" spans="121:123" x14ac:dyDescent="0.35">
      <c r="DQ586" s="130"/>
      <c r="DR586" s="130"/>
      <c r="DS586" s="141"/>
    </row>
    <row r="587" spans="121:123" x14ac:dyDescent="0.35">
      <c r="DQ587" s="130"/>
      <c r="DR587" s="130"/>
      <c r="DS587" s="142"/>
    </row>
    <row r="588" spans="121:123" x14ac:dyDescent="0.35">
      <c r="DQ588" s="130"/>
      <c r="DR588" s="130"/>
      <c r="DS588" s="141"/>
    </row>
    <row r="589" spans="121:123" x14ac:dyDescent="0.35">
      <c r="DQ589" s="130"/>
      <c r="DR589" s="130"/>
      <c r="DS589" s="141"/>
    </row>
    <row r="590" spans="121:123" x14ac:dyDescent="0.35">
      <c r="DQ590" s="130"/>
      <c r="DR590" s="130"/>
      <c r="DS590" s="141"/>
    </row>
    <row r="591" spans="121:123" x14ac:dyDescent="0.35">
      <c r="DQ591" s="130"/>
      <c r="DR591" s="130"/>
      <c r="DS591" s="142"/>
    </row>
    <row r="592" spans="121:123" x14ac:dyDescent="0.35">
      <c r="DQ592" s="130"/>
      <c r="DR592" s="130"/>
      <c r="DS592" s="141"/>
    </row>
    <row r="593" spans="121:123" x14ac:dyDescent="0.35">
      <c r="DQ593" s="130"/>
      <c r="DR593" s="130"/>
      <c r="DS593" s="142"/>
    </row>
    <row r="594" spans="121:123" x14ac:dyDescent="0.35">
      <c r="DQ594" s="130"/>
      <c r="DR594" s="130"/>
      <c r="DS594" s="141"/>
    </row>
    <row r="595" spans="121:123" x14ac:dyDescent="0.35">
      <c r="DQ595" s="130"/>
      <c r="DR595" s="130"/>
      <c r="DS595" s="141"/>
    </row>
    <row r="596" spans="121:123" x14ac:dyDescent="0.35">
      <c r="DQ596" s="130"/>
      <c r="DR596" s="130"/>
      <c r="DS596" s="141"/>
    </row>
    <row r="597" spans="121:123" x14ac:dyDescent="0.35">
      <c r="DQ597" s="130"/>
      <c r="DR597" s="130"/>
      <c r="DS597" s="142"/>
    </row>
    <row r="598" spans="121:123" x14ac:dyDescent="0.35">
      <c r="DQ598" s="130"/>
      <c r="DR598" s="130"/>
      <c r="DS598" s="141"/>
    </row>
    <row r="599" spans="121:123" x14ac:dyDescent="0.35">
      <c r="DQ599" s="130"/>
      <c r="DR599" s="130"/>
      <c r="DS599" s="141"/>
    </row>
    <row r="600" spans="121:123" x14ac:dyDescent="0.35">
      <c r="DQ600" s="130"/>
      <c r="DR600" s="130"/>
      <c r="DS600" s="141"/>
    </row>
    <row r="601" spans="121:123" x14ac:dyDescent="0.35">
      <c r="DQ601" s="130"/>
      <c r="DR601" s="130"/>
      <c r="DS601" s="141"/>
    </row>
    <row r="602" spans="121:123" x14ac:dyDescent="0.35">
      <c r="DQ602" s="130"/>
      <c r="DR602" s="130"/>
      <c r="DS602" s="141"/>
    </row>
    <row r="603" spans="121:123" x14ac:dyDescent="0.35">
      <c r="DQ603" s="130"/>
      <c r="DR603" s="130"/>
      <c r="DS603" s="141"/>
    </row>
    <row r="604" spans="121:123" x14ac:dyDescent="0.35">
      <c r="DQ604" s="130"/>
      <c r="DR604" s="130"/>
      <c r="DS604" s="141"/>
    </row>
    <row r="605" spans="121:123" x14ac:dyDescent="0.35">
      <c r="DQ605" s="130"/>
      <c r="DR605" s="130"/>
      <c r="DS605" s="141"/>
    </row>
    <row r="606" spans="121:123" x14ac:dyDescent="0.35">
      <c r="DQ606" s="130"/>
      <c r="DR606" s="130"/>
      <c r="DS606" s="141"/>
    </row>
    <row r="607" spans="121:123" x14ac:dyDescent="0.35">
      <c r="DQ607" s="130"/>
      <c r="DR607" s="130"/>
      <c r="DS607" s="141"/>
    </row>
    <row r="608" spans="121:123" x14ac:dyDescent="0.35">
      <c r="DQ608" s="130"/>
      <c r="DR608" s="130"/>
      <c r="DS608" s="141"/>
    </row>
    <row r="609" spans="121:123" x14ac:dyDescent="0.35">
      <c r="DQ609" s="130"/>
      <c r="DR609" s="130"/>
      <c r="DS609" s="141"/>
    </row>
    <row r="610" spans="121:123" x14ac:dyDescent="0.35">
      <c r="DQ610" s="130"/>
      <c r="DR610" s="130"/>
      <c r="DS610" s="141"/>
    </row>
    <row r="611" spans="121:123" x14ac:dyDescent="0.35">
      <c r="DQ611" s="130"/>
      <c r="DR611" s="130"/>
      <c r="DS611" s="141"/>
    </row>
    <row r="612" spans="121:123" x14ac:dyDescent="0.35">
      <c r="DQ612" s="130"/>
      <c r="DR612" s="130"/>
      <c r="DS612" s="142"/>
    </row>
    <row r="613" spans="121:123" x14ac:dyDescent="0.35">
      <c r="DQ613" s="130"/>
      <c r="DR613" s="130"/>
      <c r="DS613" s="141"/>
    </row>
    <row r="614" spans="121:123" x14ac:dyDescent="0.35">
      <c r="DQ614" s="130"/>
      <c r="DR614" s="130"/>
      <c r="DS614" s="141"/>
    </row>
    <row r="615" spans="121:123" x14ac:dyDescent="0.35">
      <c r="DQ615" s="130"/>
      <c r="DR615" s="130"/>
      <c r="DS615" s="141"/>
    </row>
    <row r="616" spans="121:123" x14ac:dyDescent="0.35">
      <c r="DQ616" s="130"/>
      <c r="DR616" s="130"/>
      <c r="DS616" s="141"/>
    </row>
    <row r="617" spans="121:123" x14ac:dyDescent="0.35">
      <c r="DQ617" s="130"/>
      <c r="DR617" s="130"/>
      <c r="DS617" s="141"/>
    </row>
    <row r="618" spans="121:123" x14ac:dyDescent="0.35">
      <c r="DQ618" s="130"/>
      <c r="DR618" s="130"/>
      <c r="DS618" s="142"/>
    </row>
    <row r="619" spans="121:123" x14ac:dyDescent="0.35">
      <c r="DQ619" s="130"/>
      <c r="DR619" s="130"/>
      <c r="DS619" s="142"/>
    </row>
    <row r="620" spans="121:123" x14ac:dyDescent="0.35">
      <c r="DQ620" s="130"/>
      <c r="DR620" s="130"/>
      <c r="DS620" s="142"/>
    </row>
    <row r="621" spans="121:123" x14ac:dyDescent="0.35">
      <c r="DQ621" s="130"/>
      <c r="DR621" s="130"/>
      <c r="DS621" s="142"/>
    </row>
    <row r="622" spans="121:123" x14ac:dyDescent="0.35">
      <c r="DQ622" s="130"/>
      <c r="DR622" s="130"/>
      <c r="DS622" s="141"/>
    </row>
    <row r="623" spans="121:123" x14ac:dyDescent="0.35">
      <c r="DQ623" s="130"/>
      <c r="DR623" s="130"/>
      <c r="DS623" s="142"/>
    </row>
    <row r="624" spans="121:123" x14ac:dyDescent="0.35">
      <c r="DQ624" s="130"/>
      <c r="DR624" s="130"/>
      <c r="DS624" s="142"/>
    </row>
    <row r="625" spans="121:123" x14ac:dyDescent="0.35">
      <c r="DQ625" s="130"/>
      <c r="DR625" s="130"/>
      <c r="DS625" s="142"/>
    </row>
    <row r="626" spans="121:123" x14ac:dyDescent="0.35">
      <c r="DQ626" s="130"/>
      <c r="DR626" s="130"/>
      <c r="DS626" s="142"/>
    </row>
    <row r="627" spans="121:123" x14ac:dyDescent="0.35">
      <c r="DQ627" s="130"/>
      <c r="DR627" s="130"/>
      <c r="DS627" s="142"/>
    </row>
    <row r="628" spans="121:123" x14ac:dyDescent="0.35">
      <c r="DQ628" s="130"/>
      <c r="DR628" s="130"/>
      <c r="DS628" s="142"/>
    </row>
    <row r="629" spans="121:123" x14ac:dyDescent="0.35">
      <c r="DQ629" s="130"/>
      <c r="DR629" s="130"/>
      <c r="DS629" s="142"/>
    </row>
    <row r="630" spans="121:123" x14ac:dyDescent="0.35">
      <c r="DQ630" s="130"/>
      <c r="DR630" s="130"/>
      <c r="DS630" s="142"/>
    </row>
    <row r="631" spans="121:123" x14ac:dyDescent="0.35">
      <c r="DQ631" s="130"/>
      <c r="DR631" s="130"/>
      <c r="DS631" s="142"/>
    </row>
    <row r="632" spans="121:123" x14ac:dyDescent="0.35">
      <c r="DQ632" s="130"/>
      <c r="DR632" s="130"/>
      <c r="DS632" s="142"/>
    </row>
    <row r="633" spans="121:123" x14ac:dyDescent="0.35">
      <c r="DQ633" s="130"/>
      <c r="DR633" s="130"/>
      <c r="DS633" s="142"/>
    </row>
    <row r="634" spans="121:123" x14ac:dyDescent="0.35">
      <c r="DQ634" s="130"/>
      <c r="DR634" s="130"/>
      <c r="DS634" s="142"/>
    </row>
    <row r="635" spans="121:123" x14ac:dyDescent="0.35">
      <c r="DQ635" s="130"/>
      <c r="DR635" s="130"/>
      <c r="DS635" s="142"/>
    </row>
    <row r="636" spans="121:123" x14ac:dyDescent="0.35">
      <c r="DQ636" s="130"/>
      <c r="DR636" s="130"/>
      <c r="DS636" s="141"/>
    </row>
    <row r="637" spans="121:123" x14ac:dyDescent="0.35">
      <c r="DQ637" s="130"/>
      <c r="DR637" s="130"/>
      <c r="DS637" s="142"/>
    </row>
    <row r="638" spans="121:123" x14ac:dyDescent="0.35">
      <c r="DQ638" s="130"/>
      <c r="DR638" s="130"/>
      <c r="DS638" s="141"/>
    </row>
    <row r="639" spans="121:123" x14ac:dyDescent="0.35">
      <c r="DQ639" s="130"/>
      <c r="DR639" s="130"/>
      <c r="DS639" s="141"/>
    </row>
    <row r="640" spans="121:123" x14ac:dyDescent="0.35">
      <c r="DQ640" s="130"/>
      <c r="DR640" s="130"/>
      <c r="DS640" s="141"/>
    </row>
    <row r="641" spans="121:123" x14ac:dyDescent="0.35">
      <c r="DQ641" s="130"/>
      <c r="DR641" s="130"/>
      <c r="DS641" s="142"/>
    </row>
    <row r="642" spans="121:123" x14ac:dyDescent="0.35">
      <c r="DQ642" s="130"/>
      <c r="DR642" s="130"/>
      <c r="DS642" s="141"/>
    </row>
    <row r="643" spans="121:123" x14ac:dyDescent="0.35">
      <c r="DQ643" s="130"/>
      <c r="DR643" s="130"/>
      <c r="DS643" s="142"/>
    </row>
    <row r="644" spans="121:123" x14ac:dyDescent="0.35">
      <c r="DQ644" s="130"/>
      <c r="DR644" s="130"/>
      <c r="DS644" s="142"/>
    </row>
    <row r="645" spans="121:123" x14ac:dyDescent="0.35">
      <c r="DQ645" s="130"/>
      <c r="DR645" s="130"/>
      <c r="DS645" s="142"/>
    </row>
    <row r="646" spans="121:123" x14ac:dyDescent="0.35">
      <c r="DQ646" s="130"/>
      <c r="DR646" s="130"/>
      <c r="DS646" s="142"/>
    </row>
    <row r="647" spans="121:123" x14ac:dyDescent="0.35">
      <c r="DQ647" s="130"/>
      <c r="DR647" s="130"/>
      <c r="DS647" s="142"/>
    </row>
    <row r="648" spans="121:123" x14ac:dyDescent="0.35">
      <c r="DQ648" s="130"/>
      <c r="DR648" s="130"/>
      <c r="DS648" s="142"/>
    </row>
    <row r="649" spans="121:123" x14ac:dyDescent="0.35">
      <c r="DQ649" s="130"/>
      <c r="DR649" s="130"/>
      <c r="DS649" s="142"/>
    </row>
    <row r="650" spans="121:123" x14ac:dyDescent="0.35">
      <c r="DQ650" s="130"/>
      <c r="DR650" s="130"/>
      <c r="DS650" s="142"/>
    </row>
    <row r="651" spans="121:123" x14ac:dyDescent="0.35">
      <c r="DQ651" s="130"/>
      <c r="DR651" s="130"/>
      <c r="DS651" s="142"/>
    </row>
    <row r="652" spans="121:123" x14ac:dyDescent="0.35">
      <c r="DQ652" s="130"/>
      <c r="DR652" s="130"/>
      <c r="DS652" s="142"/>
    </row>
    <row r="653" spans="121:123" x14ac:dyDescent="0.35">
      <c r="DQ653" s="130"/>
      <c r="DR653" s="130"/>
      <c r="DS653" s="141"/>
    </row>
    <row r="654" spans="121:123" x14ac:dyDescent="0.35">
      <c r="DQ654" s="130"/>
      <c r="DR654" s="130"/>
      <c r="DS654" s="141"/>
    </row>
    <row r="655" spans="121:123" x14ac:dyDescent="0.35">
      <c r="DQ655" s="130"/>
      <c r="DR655" s="130"/>
      <c r="DS655" s="142"/>
    </row>
    <row r="656" spans="121:123" x14ac:dyDescent="0.35">
      <c r="DQ656" s="130"/>
      <c r="DR656" s="130"/>
      <c r="DS656" s="142"/>
    </row>
    <row r="657" spans="121:123" x14ac:dyDescent="0.35">
      <c r="DQ657" s="130"/>
      <c r="DR657" s="130"/>
      <c r="DS657" s="142"/>
    </row>
    <row r="658" spans="121:123" x14ac:dyDescent="0.35">
      <c r="DQ658" s="130"/>
      <c r="DR658" s="130"/>
      <c r="DS658" s="141"/>
    </row>
    <row r="659" spans="121:123" x14ac:dyDescent="0.35">
      <c r="DQ659" s="130"/>
      <c r="DR659" s="130"/>
      <c r="DS659" s="141"/>
    </row>
    <row r="660" spans="121:123" x14ac:dyDescent="0.35">
      <c r="DQ660" s="130"/>
      <c r="DR660" s="130"/>
      <c r="DS660" s="142"/>
    </row>
    <row r="661" spans="121:123" x14ac:dyDescent="0.35">
      <c r="DQ661" s="130"/>
      <c r="DR661" s="130"/>
      <c r="DS661" s="142"/>
    </row>
    <row r="662" spans="121:123" x14ac:dyDescent="0.35">
      <c r="DQ662" s="130"/>
      <c r="DR662" s="130"/>
      <c r="DS662" s="142"/>
    </row>
    <row r="663" spans="121:123" x14ac:dyDescent="0.35">
      <c r="DQ663" s="130"/>
      <c r="DR663" s="130"/>
      <c r="DS663" s="141"/>
    </row>
    <row r="664" spans="121:123" x14ac:dyDescent="0.35">
      <c r="DQ664" s="130"/>
      <c r="DR664" s="130"/>
      <c r="DS664" s="141"/>
    </row>
    <row r="665" spans="121:123" x14ac:dyDescent="0.35">
      <c r="DQ665" s="130"/>
      <c r="DR665" s="130"/>
      <c r="DS665" s="141"/>
    </row>
    <row r="666" spans="121:123" x14ac:dyDescent="0.35">
      <c r="DQ666" s="130"/>
      <c r="DR666" s="130"/>
      <c r="DS666" s="141"/>
    </row>
    <row r="667" spans="121:123" x14ac:dyDescent="0.35">
      <c r="DQ667" s="130"/>
      <c r="DR667" s="130"/>
      <c r="DS667" s="141"/>
    </row>
    <row r="668" spans="121:123" x14ac:dyDescent="0.35">
      <c r="DQ668" s="130"/>
      <c r="DR668" s="130"/>
      <c r="DS668" s="142"/>
    </row>
    <row r="669" spans="121:123" x14ac:dyDescent="0.35">
      <c r="DQ669" s="130"/>
      <c r="DR669" s="130"/>
      <c r="DS669" s="142"/>
    </row>
    <row r="670" spans="121:123" x14ac:dyDescent="0.35">
      <c r="DQ670" s="130"/>
      <c r="DR670" s="130"/>
      <c r="DS670" s="142"/>
    </row>
    <row r="671" spans="121:123" x14ac:dyDescent="0.35">
      <c r="DQ671" s="130"/>
      <c r="DR671" s="130"/>
      <c r="DS671" s="141"/>
    </row>
    <row r="672" spans="121:123" x14ac:dyDescent="0.35">
      <c r="DQ672" s="130"/>
      <c r="DR672" s="130"/>
      <c r="DS672" s="141"/>
    </row>
    <row r="673" spans="121:123" x14ac:dyDescent="0.35">
      <c r="DQ673" s="130"/>
      <c r="DR673" s="130"/>
      <c r="DS673" s="142"/>
    </row>
    <row r="674" spans="121:123" x14ac:dyDescent="0.35">
      <c r="DQ674" s="130"/>
      <c r="DR674" s="130"/>
      <c r="DS674" s="141"/>
    </row>
    <row r="675" spans="121:123" x14ac:dyDescent="0.35">
      <c r="DQ675" s="130"/>
      <c r="DR675" s="130"/>
      <c r="DS675" s="141"/>
    </row>
    <row r="676" spans="121:123" x14ac:dyDescent="0.35">
      <c r="DQ676" s="130"/>
      <c r="DR676" s="130"/>
      <c r="DS676" s="141"/>
    </row>
    <row r="677" spans="121:123" x14ac:dyDescent="0.35">
      <c r="DQ677" s="130"/>
      <c r="DR677" s="130"/>
      <c r="DS677" s="143"/>
    </row>
    <row r="678" spans="121:123" x14ac:dyDescent="0.35">
      <c r="DQ678" s="130"/>
      <c r="DR678" s="130"/>
      <c r="DS678" s="142"/>
    </row>
    <row r="679" spans="121:123" x14ac:dyDescent="0.35">
      <c r="DQ679" s="130"/>
      <c r="DR679" s="130"/>
      <c r="DS679" s="142"/>
    </row>
    <row r="680" spans="121:123" x14ac:dyDescent="0.35">
      <c r="DQ680" s="130"/>
      <c r="DR680" s="130"/>
      <c r="DS680" s="142"/>
    </row>
    <row r="681" spans="121:123" x14ac:dyDescent="0.35">
      <c r="DQ681" s="130"/>
      <c r="DR681" s="130"/>
      <c r="DS681" s="141"/>
    </row>
    <row r="682" spans="121:123" x14ac:dyDescent="0.35">
      <c r="DQ682" s="130"/>
      <c r="DR682" s="130"/>
      <c r="DS682" s="141"/>
    </row>
    <row r="683" spans="121:123" x14ac:dyDescent="0.35">
      <c r="DQ683" s="132"/>
      <c r="DR683" s="132"/>
      <c r="DS683" s="142"/>
    </row>
    <row r="684" spans="121:123" x14ac:dyDescent="0.35">
      <c r="DQ684" s="132"/>
      <c r="DR684" s="132"/>
      <c r="DS684" s="142"/>
    </row>
    <row r="685" spans="121:123" x14ac:dyDescent="0.35">
      <c r="DQ685" s="132"/>
      <c r="DR685" s="132"/>
      <c r="DS685" s="142"/>
    </row>
    <row r="686" spans="121:123" x14ac:dyDescent="0.35">
      <c r="DQ686" s="132"/>
      <c r="DR686" s="132"/>
      <c r="DS686" s="142"/>
    </row>
    <row r="687" spans="121:123" x14ac:dyDescent="0.35">
      <c r="DQ687" s="132"/>
      <c r="DR687" s="132"/>
      <c r="DS687" s="142"/>
    </row>
    <row r="688" spans="121:123" x14ac:dyDescent="0.35">
      <c r="DQ688" s="132"/>
      <c r="DR688" s="132"/>
      <c r="DS688" s="142"/>
    </row>
    <row r="689" spans="121:123" x14ac:dyDescent="0.35">
      <c r="DQ689" s="132"/>
      <c r="DR689" s="132"/>
      <c r="DS689" s="142"/>
    </row>
    <row r="690" spans="121:123" x14ac:dyDescent="0.35">
      <c r="DQ690" s="132"/>
      <c r="DR690" s="132"/>
      <c r="DS690" s="142"/>
    </row>
    <row r="691" spans="121:123" x14ac:dyDescent="0.35">
      <c r="DQ691" s="132"/>
      <c r="DR691" s="132"/>
      <c r="DS691" s="142"/>
    </row>
    <row r="692" spans="121:123" x14ac:dyDescent="0.35">
      <c r="DQ692" s="132"/>
      <c r="DR692" s="132"/>
      <c r="DS692" s="142"/>
    </row>
    <row r="693" spans="121:123" x14ac:dyDescent="0.35">
      <c r="DQ693" s="132"/>
      <c r="DR693" s="132"/>
      <c r="DS693" s="142"/>
    </row>
    <row r="694" spans="121:123" x14ac:dyDescent="0.35">
      <c r="DQ694" s="132"/>
      <c r="DR694" s="132"/>
      <c r="DS694" s="142"/>
    </row>
    <row r="695" spans="121:123" x14ac:dyDescent="0.35">
      <c r="DQ695" s="132"/>
      <c r="DR695" s="132"/>
      <c r="DS695" s="142"/>
    </row>
    <row r="696" spans="121:123" x14ac:dyDescent="0.35">
      <c r="DQ696" s="132"/>
      <c r="DR696" s="132"/>
      <c r="DS696" s="142"/>
    </row>
    <row r="697" spans="121:123" x14ac:dyDescent="0.35">
      <c r="DQ697" s="132"/>
      <c r="DR697" s="132"/>
      <c r="DS697" s="142"/>
    </row>
    <row r="698" spans="121:123" x14ac:dyDescent="0.35">
      <c r="DQ698" s="132"/>
      <c r="DR698" s="132"/>
      <c r="DS698" s="142"/>
    </row>
    <row r="699" spans="121:123" x14ac:dyDescent="0.35">
      <c r="DQ699" s="132"/>
      <c r="DR699" s="132"/>
      <c r="DS699" s="142"/>
    </row>
    <row r="700" spans="121:123" x14ac:dyDescent="0.35">
      <c r="DQ700" s="132"/>
      <c r="DR700" s="132"/>
      <c r="DS700" s="142"/>
    </row>
    <row r="701" spans="121:123" x14ac:dyDescent="0.35">
      <c r="DQ701" s="132"/>
      <c r="DR701" s="132"/>
      <c r="DS701" s="142"/>
    </row>
    <row r="702" spans="121:123" x14ac:dyDescent="0.35">
      <c r="DQ702" s="132"/>
      <c r="DR702" s="132"/>
      <c r="DS702" s="142"/>
    </row>
    <row r="703" spans="121:123" x14ac:dyDescent="0.35">
      <c r="DQ703" s="132"/>
      <c r="DR703" s="132"/>
      <c r="DS703" s="142"/>
    </row>
    <row r="704" spans="121:123" x14ac:dyDescent="0.35">
      <c r="DQ704" s="132"/>
      <c r="DR704" s="132"/>
      <c r="DS704" s="142"/>
    </row>
    <row r="705" spans="121:123" x14ac:dyDescent="0.35">
      <c r="DQ705" s="132"/>
      <c r="DR705" s="132"/>
      <c r="DS705" s="142"/>
    </row>
    <row r="706" spans="121:123" x14ac:dyDescent="0.35">
      <c r="DQ706" s="132"/>
      <c r="DR706" s="132"/>
      <c r="DS706" s="142"/>
    </row>
    <row r="707" spans="121:123" x14ac:dyDescent="0.35">
      <c r="DQ707" s="132"/>
      <c r="DR707" s="132"/>
      <c r="DS707" s="142"/>
    </row>
    <row r="708" spans="121:123" x14ac:dyDescent="0.35">
      <c r="DQ708" s="132"/>
      <c r="DR708" s="132"/>
      <c r="DS708" s="142"/>
    </row>
    <row r="709" spans="121:123" x14ac:dyDescent="0.35">
      <c r="DQ709" s="132"/>
      <c r="DR709" s="132"/>
      <c r="DS709" s="142"/>
    </row>
    <row r="710" spans="121:123" x14ac:dyDescent="0.35">
      <c r="DQ710" s="132"/>
      <c r="DR710" s="132"/>
      <c r="DS710" s="142"/>
    </row>
    <row r="711" spans="121:123" x14ac:dyDescent="0.35">
      <c r="DQ711" s="132"/>
      <c r="DR711" s="132"/>
      <c r="DS711" s="142"/>
    </row>
    <row r="712" spans="121:123" x14ac:dyDescent="0.35">
      <c r="DQ712" s="132"/>
      <c r="DR712" s="132"/>
      <c r="DS712" s="142"/>
    </row>
    <row r="713" spans="121:123" x14ac:dyDescent="0.35">
      <c r="DQ713" s="132"/>
      <c r="DR713" s="132"/>
      <c r="DS713" s="142"/>
    </row>
    <row r="714" spans="121:123" x14ac:dyDescent="0.35">
      <c r="DQ714" s="132"/>
      <c r="DR714" s="132"/>
      <c r="DS714" s="142"/>
    </row>
    <row r="715" spans="121:123" x14ac:dyDescent="0.35">
      <c r="DQ715" s="132"/>
      <c r="DR715" s="132"/>
      <c r="DS715" s="142"/>
    </row>
    <row r="716" spans="121:123" x14ac:dyDescent="0.35">
      <c r="DQ716" s="132"/>
      <c r="DR716" s="132"/>
      <c r="DS716" s="142"/>
    </row>
    <row r="717" spans="121:123" x14ac:dyDescent="0.35">
      <c r="DQ717" s="132"/>
      <c r="DR717" s="132"/>
      <c r="DS717" s="142"/>
    </row>
    <row r="718" spans="121:123" x14ac:dyDescent="0.35">
      <c r="DQ718" s="132"/>
      <c r="DR718" s="132"/>
      <c r="DS718" s="142"/>
    </row>
    <row r="719" spans="121:123" x14ac:dyDescent="0.35">
      <c r="DQ719" s="132"/>
      <c r="DR719" s="132"/>
      <c r="DS719" s="142"/>
    </row>
    <row r="720" spans="121:123" x14ac:dyDescent="0.35">
      <c r="DQ720" s="132"/>
      <c r="DR720" s="132"/>
      <c r="DS720" s="142"/>
    </row>
    <row r="721" spans="121:123" x14ac:dyDescent="0.35">
      <c r="DQ721" s="132"/>
      <c r="DR721" s="132"/>
      <c r="DS721" s="142"/>
    </row>
    <row r="722" spans="121:123" x14ac:dyDescent="0.35">
      <c r="DQ722" s="132"/>
      <c r="DR722" s="132"/>
      <c r="DS722" s="142"/>
    </row>
    <row r="723" spans="121:123" x14ac:dyDescent="0.35">
      <c r="DQ723" s="132"/>
      <c r="DR723" s="132"/>
      <c r="DS723" s="142"/>
    </row>
    <row r="724" spans="121:123" x14ac:dyDescent="0.35">
      <c r="DQ724" s="132"/>
      <c r="DR724" s="132"/>
      <c r="DS724" s="142"/>
    </row>
    <row r="725" spans="121:123" x14ac:dyDescent="0.35">
      <c r="DQ725" s="132"/>
      <c r="DR725" s="132"/>
      <c r="DS725" s="142"/>
    </row>
    <row r="726" spans="121:123" x14ac:dyDescent="0.35">
      <c r="DQ726" s="132"/>
      <c r="DR726" s="132"/>
      <c r="DS726" s="142"/>
    </row>
    <row r="727" spans="121:123" x14ac:dyDescent="0.35">
      <c r="DQ727" s="132"/>
      <c r="DR727" s="132"/>
      <c r="DS727" s="142"/>
    </row>
    <row r="728" spans="121:123" x14ac:dyDescent="0.35">
      <c r="DQ728" s="132"/>
      <c r="DR728" s="132"/>
      <c r="DS728" s="142"/>
    </row>
    <row r="729" spans="121:123" x14ac:dyDescent="0.35">
      <c r="DQ729" s="132"/>
      <c r="DR729" s="132"/>
      <c r="DS729" s="142"/>
    </row>
    <row r="730" spans="121:123" x14ac:dyDescent="0.35">
      <c r="DQ730" s="132"/>
      <c r="DR730" s="132"/>
      <c r="DS730" s="142"/>
    </row>
    <row r="731" spans="121:123" x14ac:dyDescent="0.35">
      <c r="DQ731" s="132"/>
      <c r="DR731" s="132"/>
      <c r="DS731" s="142"/>
    </row>
    <row r="732" spans="121:123" x14ac:dyDescent="0.35">
      <c r="DQ732" s="132"/>
      <c r="DR732" s="132"/>
      <c r="DS732" s="142"/>
    </row>
    <row r="733" spans="121:123" x14ac:dyDescent="0.35">
      <c r="DQ733" s="132"/>
      <c r="DR733" s="132"/>
      <c r="DS733" s="142"/>
    </row>
    <row r="734" spans="121:123" x14ac:dyDescent="0.35">
      <c r="DQ734" s="132"/>
      <c r="DR734" s="132"/>
      <c r="DS734" s="142"/>
    </row>
    <row r="735" spans="121:123" x14ac:dyDescent="0.35">
      <c r="DQ735" s="132"/>
      <c r="DR735" s="132"/>
      <c r="DS735" s="142"/>
    </row>
    <row r="736" spans="121:123" x14ac:dyDescent="0.35">
      <c r="DQ736" s="132"/>
      <c r="DR736" s="132"/>
      <c r="DS736" s="142"/>
    </row>
    <row r="737" spans="121:123" x14ac:dyDescent="0.35">
      <c r="DQ737" s="132"/>
      <c r="DR737" s="132"/>
      <c r="DS737" s="142"/>
    </row>
    <row r="738" spans="121:123" x14ac:dyDescent="0.35">
      <c r="DQ738" s="132"/>
      <c r="DR738" s="132"/>
      <c r="DS738" s="142"/>
    </row>
    <row r="739" spans="121:123" x14ac:dyDescent="0.35">
      <c r="DQ739" s="132"/>
      <c r="DR739" s="132"/>
      <c r="DS739" s="142"/>
    </row>
    <row r="740" spans="121:123" x14ac:dyDescent="0.35">
      <c r="DQ740" s="132"/>
      <c r="DR740" s="132"/>
      <c r="DS740" s="142"/>
    </row>
    <row r="741" spans="121:123" x14ac:dyDescent="0.35">
      <c r="DQ741" s="132"/>
      <c r="DR741" s="132"/>
      <c r="DS741" s="142"/>
    </row>
    <row r="742" spans="121:123" x14ac:dyDescent="0.35">
      <c r="DQ742" s="132"/>
      <c r="DR742" s="132"/>
      <c r="DS742" s="142"/>
    </row>
    <row r="743" spans="121:123" x14ac:dyDescent="0.35">
      <c r="DQ743" s="132"/>
      <c r="DR743" s="132"/>
      <c r="DS743" s="142"/>
    </row>
    <row r="744" spans="121:123" x14ac:dyDescent="0.35">
      <c r="DQ744" s="132"/>
      <c r="DR744" s="132"/>
      <c r="DS744" s="142"/>
    </row>
    <row r="745" spans="121:123" x14ac:dyDescent="0.35">
      <c r="DQ745" s="132"/>
      <c r="DR745" s="132"/>
      <c r="DS745" s="142"/>
    </row>
    <row r="746" spans="121:123" x14ac:dyDescent="0.35">
      <c r="DQ746" s="132"/>
      <c r="DR746" s="132"/>
      <c r="DS746" s="142"/>
    </row>
    <row r="747" spans="121:123" x14ac:dyDescent="0.35">
      <c r="DQ747" s="132"/>
      <c r="DR747" s="132"/>
      <c r="DS747" s="142"/>
    </row>
    <row r="748" spans="121:123" x14ac:dyDescent="0.35">
      <c r="DQ748" s="132"/>
      <c r="DR748" s="132"/>
      <c r="DS748" s="142"/>
    </row>
    <row r="749" spans="121:123" x14ac:dyDescent="0.35">
      <c r="DQ749" s="132"/>
      <c r="DR749" s="132"/>
      <c r="DS749" s="142"/>
    </row>
    <row r="750" spans="121:123" x14ac:dyDescent="0.35">
      <c r="DQ750" s="132"/>
      <c r="DR750" s="132"/>
      <c r="DS750" s="142"/>
    </row>
    <row r="751" spans="121:123" x14ac:dyDescent="0.35">
      <c r="DQ751" s="132"/>
      <c r="DR751" s="132"/>
      <c r="DS751" s="142"/>
    </row>
    <row r="752" spans="121:123" x14ac:dyDescent="0.35">
      <c r="DQ752" s="132"/>
      <c r="DR752" s="132"/>
      <c r="DS752" s="142"/>
    </row>
    <row r="753" spans="121:123" x14ac:dyDescent="0.35">
      <c r="DQ753" s="132"/>
      <c r="DR753" s="132"/>
      <c r="DS753" s="142"/>
    </row>
    <row r="754" spans="121:123" x14ac:dyDescent="0.35">
      <c r="DQ754" s="132"/>
      <c r="DR754" s="132"/>
      <c r="DS754" s="142"/>
    </row>
    <row r="755" spans="121:123" x14ac:dyDescent="0.35">
      <c r="DQ755" s="132"/>
      <c r="DR755" s="132"/>
      <c r="DS755" s="142"/>
    </row>
    <row r="756" spans="121:123" x14ac:dyDescent="0.35">
      <c r="DQ756" s="132"/>
      <c r="DR756" s="132"/>
      <c r="DS756" s="142"/>
    </row>
    <row r="757" spans="121:123" x14ac:dyDescent="0.35">
      <c r="DQ757" s="132"/>
      <c r="DR757" s="132"/>
      <c r="DS757" s="142"/>
    </row>
    <row r="758" spans="121:123" x14ac:dyDescent="0.35">
      <c r="DQ758" s="132"/>
      <c r="DR758" s="132"/>
      <c r="DS758" s="142"/>
    </row>
    <row r="759" spans="121:123" x14ac:dyDescent="0.35">
      <c r="DQ759" s="132"/>
      <c r="DR759" s="132"/>
      <c r="DS759" s="142"/>
    </row>
    <row r="760" spans="121:123" x14ac:dyDescent="0.35">
      <c r="DQ760" s="132"/>
      <c r="DR760" s="132"/>
      <c r="DS760" s="142"/>
    </row>
    <row r="761" spans="121:123" x14ac:dyDescent="0.35">
      <c r="DQ761" s="132"/>
      <c r="DR761" s="132"/>
      <c r="DS761" s="142"/>
    </row>
    <row r="762" spans="121:123" x14ac:dyDescent="0.35">
      <c r="DQ762" s="132"/>
      <c r="DR762" s="132"/>
      <c r="DS762" s="142"/>
    </row>
    <row r="763" spans="121:123" x14ac:dyDescent="0.35">
      <c r="DQ763" s="132"/>
      <c r="DR763" s="132"/>
      <c r="DS763" s="142"/>
    </row>
    <row r="764" spans="121:123" x14ac:dyDescent="0.35">
      <c r="DQ764" s="132"/>
      <c r="DR764" s="132"/>
      <c r="DS764" s="142"/>
    </row>
    <row r="765" spans="121:123" x14ac:dyDescent="0.35">
      <c r="DQ765" s="132"/>
      <c r="DR765" s="132"/>
      <c r="DS765" s="142"/>
    </row>
    <row r="766" spans="121:123" x14ac:dyDescent="0.35">
      <c r="DQ766" s="132"/>
      <c r="DR766" s="132"/>
      <c r="DS766" s="142"/>
    </row>
    <row r="767" spans="121:123" x14ac:dyDescent="0.35">
      <c r="DQ767" s="132"/>
      <c r="DR767" s="132"/>
      <c r="DS767" s="142"/>
    </row>
    <row r="768" spans="121:123" x14ac:dyDescent="0.35">
      <c r="DQ768" s="132"/>
      <c r="DR768" s="132"/>
      <c r="DS768" s="142"/>
    </row>
    <row r="769" spans="121:123" x14ac:dyDescent="0.35">
      <c r="DQ769" s="132"/>
      <c r="DR769" s="132"/>
      <c r="DS769" s="142"/>
    </row>
    <row r="770" spans="121:123" x14ac:dyDescent="0.35">
      <c r="DQ770" s="132"/>
      <c r="DR770" s="132"/>
      <c r="DS770" s="142"/>
    </row>
    <row r="771" spans="121:123" x14ac:dyDescent="0.35">
      <c r="DQ771" s="132"/>
      <c r="DR771" s="132"/>
      <c r="DS771" s="142"/>
    </row>
    <row r="772" spans="121:123" x14ac:dyDescent="0.35">
      <c r="DQ772" s="132"/>
      <c r="DR772" s="132"/>
      <c r="DS772" s="142"/>
    </row>
    <row r="773" spans="121:123" x14ac:dyDescent="0.35">
      <c r="DQ773" s="132"/>
      <c r="DR773" s="132"/>
      <c r="DS773" s="142"/>
    </row>
    <row r="774" spans="121:123" x14ac:dyDescent="0.35">
      <c r="DQ774" s="132"/>
      <c r="DR774" s="132"/>
      <c r="DS774" s="142"/>
    </row>
    <row r="775" spans="121:123" x14ac:dyDescent="0.35">
      <c r="DQ775" s="132"/>
      <c r="DR775" s="132"/>
      <c r="DS775" s="142"/>
    </row>
    <row r="776" spans="121:123" x14ac:dyDescent="0.35">
      <c r="DQ776" s="132"/>
      <c r="DR776" s="132"/>
      <c r="DS776" s="142"/>
    </row>
    <row r="777" spans="121:123" x14ac:dyDescent="0.35">
      <c r="DQ777" s="132"/>
      <c r="DR777" s="132"/>
      <c r="DS777" s="142"/>
    </row>
    <row r="778" spans="121:123" x14ac:dyDescent="0.35">
      <c r="DQ778" s="132"/>
      <c r="DR778" s="132"/>
      <c r="DS778" s="142"/>
    </row>
    <row r="779" spans="121:123" x14ac:dyDescent="0.35">
      <c r="DQ779" s="132"/>
      <c r="DR779" s="132"/>
      <c r="DS779" s="142"/>
    </row>
    <row r="780" spans="121:123" x14ac:dyDescent="0.35">
      <c r="DQ780" s="132"/>
      <c r="DR780" s="132"/>
      <c r="DS780" s="142"/>
    </row>
    <row r="781" spans="121:123" x14ac:dyDescent="0.35">
      <c r="DQ781" s="132"/>
      <c r="DR781" s="132"/>
      <c r="DS781" s="142"/>
    </row>
    <row r="782" spans="121:123" x14ac:dyDescent="0.35">
      <c r="DQ782" s="132"/>
      <c r="DR782" s="132"/>
      <c r="DS782" s="142"/>
    </row>
    <row r="783" spans="121:123" x14ac:dyDescent="0.35">
      <c r="DQ783" s="132"/>
      <c r="DR783" s="132"/>
      <c r="DS783" s="142"/>
    </row>
    <row r="784" spans="121:123" x14ac:dyDescent="0.35">
      <c r="DQ784" s="132"/>
      <c r="DR784" s="132"/>
      <c r="DS784" s="142"/>
    </row>
    <row r="785" spans="121:123" x14ac:dyDescent="0.35">
      <c r="DQ785" s="132"/>
      <c r="DR785" s="132"/>
      <c r="DS785" s="142"/>
    </row>
    <row r="786" spans="121:123" x14ac:dyDescent="0.35">
      <c r="DQ786" s="132"/>
      <c r="DR786" s="132"/>
      <c r="DS786" s="142"/>
    </row>
    <row r="787" spans="121:123" x14ac:dyDescent="0.35">
      <c r="DQ787" s="132"/>
      <c r="DR787" s="132"/>
      <c r="DS787" s="142"/>
    </row>
    <row r="788" spans="121:123" x14ac:dyDescent="0.35">
      <c r="DQ788" s="132"/>
      <c r="DR788" s="132"/>
      <c r="DS788" s="142"/>
    </row>
    <row r="789" spans="121:123" x14ac:dyDescent="0.35">
      <c r="DQ789" s="132"/>
      <c r="DR789" s="132"/>
      <c r="DS789" s="142"/>
    </row>
    <row r="790" spans="121:123" x14ac:dyDescent="0.35">
      <c r="DQ790" s="132"/>
      <c r="DR790" s="132"/>
      <c r="DS790" s="142"/>
    </row>
    <row r="791" spans="121:123" x14ac:dyDescent="0.35">
      <c r="DQ791" s="132"/>
      <c r="DR791" s="132"/>
      <c r="DS791" s="142"/>
    </row>
    <row r="792" spans="121:123" x14ac:dyDescent="0.35">
      <c r="DQ792" s="132"/>
      <c r="DR792" s="132"/>
      <c r="DS792" s="142"/>
    </row>
    <row r="793" spans="121:123" x14ac:dyDescent="0.35">
      <c r="DQ793" s="132"/>
      <c r="DR793" s="132"/>
      <c r="DS793" s="142"/>
    </row>
    <row r="794" spans="121:123" x14ac:dyDescent="0.35">
      <c r="DQ794" s="132"/>
      <c r="DR794" s="132"/>
      <c r="DS794" s="142"/>
    </row>
    <row r="795" spans="121:123" x14ac:dyDescent="0.35">
      <c r="DQ795" s="132"/>
      <c r="DR795" s="132"/>
      <c r="DS795" s="142"/>
    </row>
    <row r="796" spans="121:123" x14ac:dyDescent="0.35">
      <c r="DQ796" s="132"/>
      <c r="DR796" s="132"/>
      <c r="DS796" s="142"/>
    </row>
    <row r="797" spans="121:123" x14ac:dyDescent="0.35">
      <c r="DQ797" s="132"/>
      <c r="DR797" s="132"/>
      <c r="DS797" s="142"/>
    </row>
    <row r="798" spans="121:123" x14ac:dyDescent="0.35">
      <c r="DQ798" s="132"/>
      <c r="DR798" s="132"/>
      <c r="DS798" s="142"/>
    </row>
    <row r="799" spans="121:123" x14ac:dyDescent="0.35">
      <c r="DQ799" s="132"/>
      <c r="DR799" s="132"/>
      <c r="DS799" s="142"/>
    </row>
    <row r="800" spans="121:123" x14ac:dyDescent="0.35">
      <c r="DQ800" s="132"/>
      <c r="DR800" s="132"/>
      <c r="DS800" s="142"/>
    </row>
    <row r="801" spans="121:123" x14ac:dyDescent="0.35">
      <c r="DQ801" s="132"/>
      <c r="DR801" s="132"/>
      <c r="DS801" s="142"/>
    </row>
    <row r="802" spans="121:123" x14ac:dyDescent="0.35">
      <c r="DQ802" s="132"/>
      <c r="DR802" s="132"/>
      <c r="DS802" s="142"/>
    </row>
    <row r="803" spans="121:123" x14ac:dyDescent="0.35">
      <c r="DQ803" s="132"/>
      <c r="DR803" s="132"/>
      <c r="DS803" s="142"/>
    </row>
    <row r="804" spans="121:123" x14ac:dyDescent="0.35">
      <c r="DQ804" s="132"/>
      <c r="DR804" s="132"/>
      <c r="DS804" s="142"/>
    </row>
    <row r="805" spans="121:123" x14ac:dyDescent="0.35">
      <c r="DQ805" s="132"/>
      <c r="DR805" s="132"/>
      <c r="DS805" s="142"/>
    </row>
    <row r="806" spans="121:123" x14ac:dyDescent="0.35">
      <c r="DQ806" s="132"/>
      <c r="DR806" s="132"/>
      <c r="DS806" s="142"/>
    </row>
    <row r="807" spans="121:123" x14ac:dyDescent="0.35">
      <c r="DQ807" s="132"/>
      <c r="DR807" s="132"/>
      <c r="DS807" s="142"/>
    </row>
    <row r="808" spans="121:123" x14ac:dyDescent="0.35">
      <c r="DQ808" s="132"/>
      <c r="DR808" s="132"/>
      <c r="DS808" s="142"/>
    </row>
    <row r="809" spans="121:123" x14ac:dyDescent="0.35">
      <c r="DQ809" s="132"/>
      <c r="DR809" s="132"/>
      <c r="DS809" s="142"/>
    </row>
    <row r="810" spans="121:123" x14ac:dyDescent="0.35">
      <c r="DQ810" s="132"/>
      <c r="DR810" s="132"/>
      <c r="DS810" s="142"/>
    </row>
    <row r="811" spans="121:123" x14ac:dyDescent="0.35">
      <c r="DQ811" s="132"/>
      <c r="DR811" s="132"/>
      <c r="DS811" s="142"/>
    </row>
    <row r="812" spans="121:123" x14ac:dyDescent="0.35">
      <c r="DQ812" s="132"/>
      <c r="DR812" s="132"/>
      <c r="DS812" s="142"/>
    </row>
    <row r="813" spans="121:123" x14ac:dyDescent="0.35">
      <c r="DQ813" s="132"/>
      <c r="DR813" s="132"/>
      <c r="DS813" s="142"/>
    </row>
    <row r="814" spans="121:123" x14ac:dyDescent="0.35">
      <c r="DQ814" s="132"/>
      <c r="DR814" s="132"/>
      <c r="DS814" s="142"/>
    </row>
    <row r="815" spans="121:123" x14ac:dyDescent="0.35">
      <c r="DQ815" s="132"/>
      <c r="DR815" s="132"/>
      <c r="DS815" s="142"/>
    </row>
    <row r="816" spans="121:123" x14ac:dyDescent="0.35">
      <c r="DQ816" s="132"/>
      <c r="DR816" s="132"/>
      <c r="DS816" s="142"/>
    </row>
    <row r="817" spans="121:123" x14ac:dyDescent="0.35">
      <c r="DQ817" s="132"/>
      <c r="DR817" s="132"/>
      <c r="DS817" s="142"/>
    </row>
    <row r="818" spans="121:123" x14ac:dyDescent="0.35">
      <c r="DQ818" s="132"/>
      <c r="DR818" s="132"/>
      <c r="DS818" s="142"/>
    </row>
    <row r="819" spans="121:123" x14ac:dyDescent="0.35">
      <c r="DQ819" s="132"/>
      <c r="DR819" s="132"/>
      <c r="DS819" s="142"/>
    </row>
    <row r="820" spans="121:123" x14ac:dyDescent="0.35">
      <c r="DQ820" s="132"/>
      <c r="DR820" s="132"/>
      <c r="DS820" s="142"/>
    </row>
    <row r="821" spans="121:123" x14ac:dyDescent="0.35">
      <c r="DQ821" s="132"/>
      <c r="DR821" s="132"/>
      <c r="DS821" s="142"/>
    </row>
    <row r="822" spans="121:123" x14ac:dyDescent="0.35">
      <c r="DQ822" s="132"/>
      <c r="DR822" s="132"/>
      <c r="DS822" s="142"/>
    </row>
    <row r="823" spans="121:123" x14ac:dyDescent="0.35">
      <c r="DQ823" s="132"/>
      <c r="DR823" s="132"/>
      <c r="DS823" s="142"/>
    </row>
    <row r="824" spans="121:123" x14ac:dyDescent="0.35">
      <c r="DQ824" s="132"/>
      <c r="DR824" s="132"/>
      <c r="DS824" s="142"/>
    </row>
    <row r="825" spans="121:123" x14ac:dyDescent="0.35">
      <c r="DQ825" s="132"/>
      <c r="DR825" s="132"/>
      <c r="DS825" s="142"/>
    </row>
    <row r="826" spans="121:123" x14ac:dyDescent="0.35">
      <c r="DQ826" s="132"/>
      <c r="DR826" s="132"/>
      <c r="DS826" s="142"/>
    </row>
    <row r="827" spans="121:123" x14ac:dyDescent="0.35">
      <c r="DQ827" s="132"/>
      <c r="DR827" s="132"/>
      <c r="DS827" s="142"/>
    </row>
    <row r="828" spans="121:123" x14ac:dyDescent="0.35">
      <c r="DQ828" s="132"/>
      <c r="DR828" s="132"/>
      <c r="DS828" s="142"/>
    </row>
    <row r="829" spans="121:123" x14ac:dyDescent="0.35">
      <c r="DQ829" s="132"/>
      <c r="DR829" s="132"/>
      <c r="DS829" s="142"/>
    </row>
    <row r="830" spans="121:123" x14ac:dyDescent="0.35">
      <c r="DQ830" s="132"/>
      <c r="DR830" s="132"/>
      <c r="DS830" s="142"/>
    </row>
    <row r="831" spans="121:123" x14ac:dyDescent="0.35">
      <c r="DQ831" s="132"/>
      <c r="DR831" s="132"/>
      <c r="DS831" s="142"/>
    </row>
    <row r="832" spans="121:123" x14ac:dyDescent="0.35">
      <c r="DQ832" s="130"/>
      <c r="DR832" s="130"/>
      <c r="DS832" s="142"/>
    </row>
    <row r="833" spans="121:123" x14ac:dyDescent="0.35">
      <c r="DQ833" s="130"/>
      <c r="DR833" s="130"/>
      <c r="DS833" s="142"/>
    </row>
    <row r="834" spans="121:123" x14ac:dyDescent="0.35">
      <c r="DQ834" s="130"/>
      <c r="DR834" s="130"/>
      <c r="DS834" s="141"/>
    </row>
    <row r="835" spans="121:123" x14ac:dyDescent="0.35">
      <c r="DQ835" s="130"/>
      <c r="DR835" s="130"/>
      <c r="DS835" s="141"/>
    </row>
    <row r="836" spans="121:123" x14ac:dyDescent="0.35">
      <c r="DQ836" s="130"/>
      <c r="DR836" s="130"/>
      <c r="DS836" s="141"/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Stok!I316:AP316</xm:f>
              <xm:sqref>A312</xm:sqref>
            </x14:sparkline>
            <x14:sparkline>
              <xm:f>Stok!I317:AP317</xm:f>
              <xm:sqref>A313</xm:sqref>
            </x14:sparkline>
            <x14:sparkline>
              <xm:f>Stok!I317:AP317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Stok!I339:AP339</xm:f>
              <xm:sqref>A333</xm:sqref>
            </x14:sparkline>
            <x14:sparkline>
              <xm:f>Stok!I340:AP340</xm:f>
              <xm:sqref>A334</xm:sqref>
            </x14:sparkline>
            <x14:sparkline>
              <xm:f>Stok!I340:AP340</xm:f>
              <xm:sqref>A335</xm:sqref>
            </x14:sparkline>
            <x14:sparkline>
              <xm:f>Stok!I340:AP340</xm:f>
              <xm:sqref>A336</xm:sqref>
            </x14:sparkline>
            <x14:sparkline>
              <xm:f>Stok!I340:AP340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Stok!I342:AP342</xm:f>
              <xm:sqref>A341</xm:sqref>
            </x14:sparkline>
            <x14:sparkline>
              <xm:f>Stok!I343:AP343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Stok!I348:AP348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Stok!I359:AP359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Stok!I363:AP363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sqref>A391</xm:sqref>
            </x14:sparkline>
            <x14:sparkline>
              <xm:sqref>A392</xm:sqref>
            </x14:sparkline>
            <x14:sparkline>
              <xm:f>Stok!I396:AP396</xm:f>
              <xm:sqref>A393</xm:sqref>
            </x14:sparkline>
            <x14:sparkline>
              <xm:f>Stok!I397:AP397</xm:f>
              <xm:sqref>A394</xm:sqref>
            </x14:sparkline>
            <x14:sparkline>
              <xm:f>Stok!I398:AP398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Stok!I424:AP424</xm:f>
              <xm:sqref>A421</xm:sqref>
            </x14:sparkline>
            <x14:sparkline>
              <xm:f>Stok!I425:AP425</xm:f>
              <xm:sqref>A422</xm:sqref>
            </x14:sparkline>
            <x14:sparkline>
              <xm:f>Stok!I426:AP426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Stok!I431:AP431</xm:f>
              <xm:sqref>A428</xm:sqref>
            </x14:sparkline>
            <x14:sparkline>
              <xm:f>Stok!I433:AP433</xm:f>
              <xm:sqref>A429</xm:sqref>
            </x14:sparkline>
            <x14:sparkline>
              <xm:f>Stok!I434:AP434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Stok!I444:AP444</xm:f>
              <xm:sqref>A441</xm:sqref>
            </x14:sparkline>
            <x14:sparkline>
              <xm:f>Stok!I447:AP447</xm:f>
              <xm:sqref>A442</xm:sqref>
            </x14:sparkline>
            <x14:sparkline>
              <xm:f>Stok!I448:AP448</xm:f>
              <xm:sqref>A443</xm:sqref>
            </x14:sparkline>
            <x14:sparkline>
              <xm:f>Stok!I448:AP448</xm:f>
              <xm:sqref>A444</xm:sqref>
            </x14:sparkline>
            <x14:sparkline>
              <xm:f>Stok!I448:AP448</xm:f>
              <xm:sqref>A445</xm:sqref>
            </x14:sparkline>
            <x14:sparkline>
              <xm:f>Stok!I449:AP449</xm:f>
              <xm:sqref>A446</xm:sqref>
            </x14:sparkline>
            <x14:sparkline>
              <xm:f>Stok!I449:AP449</xm:f>
              <xm:sqref>A447</xm:sqref>
            </x14:sparkline>
            <x14:sparkline>
              <xm:sqref>A448</xm:sqref>
            </x14:sparkline>
            <x14:sparkline>
              <xm:sqref>A449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2026-09-10T14:28:10Z</dcterms:modified>
</cp:coreProperties>
</file>