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7E4A150B-69C7-4CFD-B3E7-E11A2304F2CC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Stok!$A$1:$CJ$454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2" i="2"/>
  <c r="DQ373" i="2" l="1"/>
  <c r="DQ351" i="2"/>
  <c r="DQ142" i="2"/>
  <c r="L7" i="6" l="1"/>
  <c r="X2" i="6" s="1"/>
  <c r="DP351" i="2" l="1"/>
  <c r="DP142" i="2"/>
  <c r="DO351" i="2" l="1"/>
  <c r="DO142" i="2"/>
  <c r="L8" i="6" l="1"/>
  <c r="L9" i="6"/>
  <c r="DN351" i="2"/>
  <c r="DN142" i="2"/>
  <c r="L10" i="6" l="1"/>
  <c r="DM351" i="2" l="1"/>
  <c r="DM142" i="2"/>
  <c r="L11" i="6" l="1"/>
  <c r="DL351" i="2"/>
  <c r="DL142" i="2"/>
  <c r="DK351" i="2"/>
  <c r="DK142" i="2"/>
  <c r="L12" i="6" l="1"/>
  <c r="DJ351" i="2"/>
  <c r="DJ142" i="2"/>
  <c r="L13" i="6" l="1"/>
  <c r="DI351" i="2"/>
  <c r="DI142" i="2"/>
  <c r="L14" i="6" l="1"/>
  <c r="L15" i="6"/>
  <c r="DH351" i="2" l="1"/>
  <c r="DH142" i="2"/>
  <c r="DG351" i="2"/>
  <c r="DG142" i="2"/>
  <c r="L16" i="6" l="1"/>
  <c r="DF351" i="2"/>
  <c r="DF142" i="2"/>
  <c r="L17" i="6" l="1"/>
  <c r="L18" i="6"/>
  <c r="DE351" i="2"/>
  <c r="DE142" i="2"/>
  <c r="L19" i="6" l="1"/>
  <c r="DD351" i="2"/>
  <c r="DD142" i="2"/>
  <c r="L20" i="6"/>
  <c r="DC142" i="2" l="1"/>
  <c r="DB142" i="2"/>
  <c r="L21" i="6" l="1"/>
  <c r="L22" i="6"/>
  <c r="DA142" i="2"/>
  <c r="L23" i="6" l="1"/>
  <c r="CZ142" i="2"/>
  <c r="L24" i="6" l="1"/>
  <c r="L25" i="6"/>
  <c r="L26" i="6" l="1"/>
  <c r="L27" i="6" l="1"/>
  <c r="L28" i="6" l="1"/>
  <c r="L29" i="6" l="1"/>
  <c r="L30" i="6"/>
  <c r="L31" i="6" l="1"/>
  <c r="L32" i="6" l="1"/>
  <c r="L33" i="6"/>
  <c r="L34" i="6" l="1"/>
  <c r="L35" i="6" l="1"/>
  <c r="L36" i="6" l="1"/>
  <c r="L37" i="6"/>
  <c r="L38" i="6" l="1"/>
  <c r="L39" i="6"/>
  <c r="L40" i="6" l="1"/>
  <c r="L41" i="6" l="1"/>
  <c r="L42" i="6"/>
  <c r="L43" i="6" l="1"/>
  <c r="L44" i="6" l="1"/>
  <c r="L45" i="6" l="1"/>
  <c r="L46" i="6" l="1"/>
  <c r="L47" i="6"/>
  <c r="L48" i="6" l="1"/>
  <c r="L49" i="6" l="1"/>
  <c r="L50" i="6" l="1"/>
  <c r="L51" i="6" l="1"/>
  <c r="L52" i="6" l="1"/>
  <c r="L53" i="6" l="1"/>
  <c r="L54" i="6" l="1"/>
  <c r="BU144" i="2"/>
  <c r="L55" i="6" l="1"/>
  <c r="L56" i="6" l="1"/>
  <c r="BS191" i="2" l="1"/>
  <c r="L57" i="6" l="1"/>
  <c r="L58" i="6" l="1"/>
  <c r="L59" i="6" l="1"/>
  <c r="L60" i="6"/>
  <c r="L61" i="6"/>
  <c r="L62" i="6" l="1"/>
  <c r="L63" i="6"/>
  <c r="L64" i="6" l="1"/>
  <c r="L65" i="6"/>
  <c r="L110" i="6" l="1"/>
  <c r="L66" i="6" l="1"/>
  <c r="L67" i="6" l="1"/>
  <c r="L68" i="6" l="1"/>
  <c r="L69" i="6" l="1"/>
  <c r="L70" i="6" l="1"/>
  <c r="L71" i="6"/>
  <c r="L72" i="6" l="1"/>
  <c r="L73" i="6"/>
  <c r="L74" i="6" l="1"/>
  <c r="G2" i="6" l="1"/>
  <c r="L75" i="6" l="1"/>
  <c r="L76" i="6" l="1"/>
  <c r="L77" i="6" l="1"/>
  <c r="L78" i="6" l="1"/>
  <c r="L79" i="6" l="1"/>
  <c r="L113" i="6" l="1"/>
  <c r="L112" i="6"/>
  <c r="L111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1" i="6"/>
  <c r="L80" i="6"/>
  <c r="L82" i="6"/>
  <c r="L83" i="6" l="1"/>
  <c r="L84" i="6" l="1"/>
  <c r="L85" i="6" l="1"/>
  <c r="L37" i="3" l="1"/>
</calcChain>
</file>

<file path=xl/sharedStrings.xml><?xml version="1.0" encoding="utf-8"?>
<sst xmlns="http://schemas.openxmlformats.org/spreadsheetml/2006/main" count="4752" uniqueCount="1595">
  <si>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</si>
  <si>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</si>
  <si>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</si>
  <si>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</si>
  <si>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</si>
  <si>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</si>
  <si>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</si>
  <si>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</si>
  <si>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</si>
  <si>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</si>
  <si>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</si>
  <si>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</si>
  <si>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</si>
  <si>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</si>
  <si>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</si>
  <si>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</si>
  <si>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</si>
  <si>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</si>
  <si>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</si>
  <si>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</si>
  <si>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</si>
  <si>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</si>
  <si>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</si>
  <si>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</si>
  <si>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</si>
  <si>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</si>
  <si>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</si>
  <si>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</si>
  <si>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</si>
  <si>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</si>
  <si>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</si>
  <si>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</si>
  <si>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</si>
  <si>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</si>
  <si>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</si>
  <si>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</si>
  <si>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</si>
  <si>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</si>
  <si>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</si>
  <si>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</si>
  <si>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</si>
  <si>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</si>
  <si>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</si>
  <si>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</si>
  <si>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</si>
  <si>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</si>
  <si>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</si>
  <si>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</si>
  <si>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</si>
  <si>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</si>
  <si>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</si>
  <si>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</si>
  <si>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</si>
  <si>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</si>
  <si>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</si>
  <si>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</si>
  <si>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</si>
  <si>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</si>
  <si>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</si>
  <si>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</si>
  <si>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</si>
  <si>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</si>
  <si>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</si>
  <si>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</si>
  <si>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</si>
  <si>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</si>
  <si>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</si>
  <si>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</si>
  <si>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</si>
  <si>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</si>
  <si>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</si>
  <si>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</si>
  <si>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</si>
  <si>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</si>
  <si>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</si>
  <si>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</si>
  <si>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</si>
  <si>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</si>
  <si>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</si>
  <si>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</si>
  <si>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</si>
  <si>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</si>
  <si>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</si>
  <si>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</si>
  <si>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</si>
  <si>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</si>
  <si>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</si>
  <si>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</si>
  <si>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</si>
  <si>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</si>
  <si>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</si>
  <si>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</si>
  <si>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</si>
  <si>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</si>
  <si>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</si>
  <si>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</si>
  <si>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</si>
  <si>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</si>
  <si>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</si>
  <si>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</si>
  <si>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</si>
  <si>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</si>
  <si>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</si>
  <si>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</si>
  <si>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</si>
  <si>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</si>
  <si>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</si>
  <si>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</si>
  <si>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</si>
  <si>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</si>
  <si>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</si>
  <si>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</si>
  <si>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</si>
  <si>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</si>
  <si>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</si>
  <si>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</si>
  <si>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</si>
  <si>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</si>
  <si>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</si>
  <si>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</si>
  <si>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</si>
  <si>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</si>
  <si>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</si>
  <si>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</si>
  <si>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</si>
  <si>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</si>
  <si>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</si>
  <si>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</si>
  <si>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</si>
  <si>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</si>
  <si>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</si>
  <si>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</si>
  <si>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</si>
  <si>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</si>
  <si>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</si>
  <si>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</si>
  <si>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</si>
  <si>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</si>
  <si>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</si>
  <si>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</si>
  <si>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</si>
  <si>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</si>
  <si>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</si>
  <si>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</si>
  <si>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</si>
  <si>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</si>
  <si>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</si>
  <si>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</si>
  <si>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</si>
  <si>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</si>
  <si>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</si>
  <si>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</si>
  <si>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</si>
  <si>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</si>
  <si>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</si>
  <si>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</si>
  <si>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</si>
  <si>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</si>
  <si>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</si>
  <si>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</si>
  <si>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</si>
  <si>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</si>
  <si>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</si>
  <si>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</si>
  <si>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</si>
  <si>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</si>
  <si>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</si>
  <si>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</si>
  <si>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</si>
  <si>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</si>
  <si>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</si>
  <si>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</si>
  <si>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</si>
  <si>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</si>
  <si>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</si>
  <si>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</si>
  <si>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</si>
  <si>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</si>
  <si>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</si>
  <si>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</si>
  <si>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</si>
  <si>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</si>
  <si>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</si>
  <si>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</si>
  <si>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</si>
  <si>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</si>
  <si>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</si>
  <si>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</si>
  <si>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</si>
  <si>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</si>
  <si>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</si>
  <si>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</si>
  <si>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</si>
  <si>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</si>
  <si>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</si>
  <si>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</si>
  <si>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</si>
  <si>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</si>
  <si>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</si>
  <si>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</si>
  <si>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</si>
  <si>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</si>
  <si>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</si>
  <si>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</si>
  <si>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</si>
  <si>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</si>
  <si>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</si>
  <si>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</si>
  <si>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</si>
  <si>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</si>
  <si>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</si>
  <si>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</si>
  <si>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</si>
  <si>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</si>
  <si>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</si>
  <si>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</si>
  <si>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</si>
  <si>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</si>
  <si>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</si>
  <si>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</si>
  <si>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</si>
  <si>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</si>
  <si>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</si>
  <si>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</si>
  <si>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</si>
  <si>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</si>
  <si>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</si>
  <si>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</si>
  <si>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</si>
  <si>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</si>
  <si>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</si>
  <si>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</si>
  <si>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</si>
  <si>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</si>
  <si>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</si>
  <si>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</si>
  <si>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</si>
  <si>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</si>
  <si>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</si>
  <si>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</si>
  <si>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</si>
  <si>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</si>
  <si>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</si>
  <si>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</si>
  <si>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</si>
  <si>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</si>
  <si>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</si>
  <si>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</si>
  <si>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</si>
  <si>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</si>
  <si>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</si>
  <si>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</si>
  <si>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</si>
  <si>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</si>
  <si>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</si>
  <si>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</si>
  <si>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</si>
  <si>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</si>
  <si>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</si>
  <si>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</si>
  <si>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</si>
  <si>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</si>
  <si>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</si>
  <si>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</si>
  <si>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</si>
  <si>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</si>
  <si>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</si>
  <si>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</si>
  <si>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</si>
  <si>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</si>
  <si>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</si>
  <si>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</si>
  <si>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</si>
  <si>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</si>
  <si>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</si>
  <si>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</si>
  <si>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</si>
  <si>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</si>
  <si>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</si>
  <si>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</si>
  <si>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</si>
  <si>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</si>
  <si>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</si>
  <si>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</si>
  <si>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</si>
  <si>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</si>
  <si>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</si>
  <si>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</si>
  <si>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</si>
  <si>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</si>
  <si>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</si>
  <si>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</si>
  <si>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</si>
  <si>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</si>
  <si>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</si>
  <si>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</si>
  <si>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</si>
  <si>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</si>
  <si>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</si>
  <si>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</si>
  <si>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</si>
  <si>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</si>
  <si>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</si>
  <si>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</si>
  <si>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</si>
  <si>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</si>
  <si>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</si>
  <si>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</si>
  <si>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</si>
  <si>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</si>
  <si>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</si>
  <si>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</si>
  <si>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</si>
  <si>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</si>
  <si>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</si>
  <si>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</si>
  <si>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</si>
  <si>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</si>
  <si>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</si>
  <si>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</si>
  <si>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</si>
  <si>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</si>
  <si>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</si>
  <si>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</si>
  <si>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</si>
  <si>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</si>
  <si>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</si>
  <si>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</si>
  <si>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</si>
  <si>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</si>
  <si>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</si>
  <si>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</si>
  <si>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</si>
  <si>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</si>
  <si>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</si>
  <si>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</si>
  <si>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</si>
  <si>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</si>
  <si>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</si>
  <si>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</si>
  <si>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</si>
  <si>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</si>
  <si>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</si>
  <si>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</si>
  <si>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</si>
  <si>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</si>
  <si>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</si>
  <si>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</si>
  <si>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</si>
  <si>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</si>
  <si>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</si>
  <si>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</si>
  <si>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</si>
  <si>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</si>
  <si>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</si>
  <si>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</si>
  <si>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</si>
  <si>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</si>
  <si>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</si>
  <si>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</si>
  <si>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</si>
  <si>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</si>
  <si>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</si>
  <si>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</si>
  <si>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</si>
  <si>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</si>
  <si>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</si>
  <si>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</si>
  <si>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</si>
  <si>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</si>
  <si>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</si>
  <si>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</si>
  <si>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</si>
  <si>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</si>
  <si>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</si>
  <si>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</si>
  <si>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</si>
  <si>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</si>
  <si>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</si>
  <si>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</si>
  <si>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</si>
  <si>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</si>
  <si>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</si>
  <si>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</si>
  <si>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</si>
  <si>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</si>
  <si>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</si>
  <si>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</si>
  <si>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</si>
  <si>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</si>
  <si>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</si>
  <si>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</si>
  <si>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</si>
  <si>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</si>
  <si>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</si>
  <si>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</si>
  <si>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</si>
  <si>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</si>
  <si>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</si>
  <si>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</si>
  <si>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</si>
  <si>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</si>
  <si>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</si>
  <si>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</si>
  <si>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</si>
  <si>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</si>
  <si>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</si>
  <si>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</si>
  <si>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</si>
  <si>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</si>
  <si>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</si>
  <si>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</si>
  <si>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</si>
  <si>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</si>
  <si>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</si>
  <si>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</si>
  <si>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</si>
  <si>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</si>
  <si>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</si>
  <si>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</si>
  <si>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</si>
  <si>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</si>
  <si>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</si>
  <si>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</si>
  <si>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</si>
  <si>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</si>
  <si>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</si>
  <si>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</si>
  <si>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</si>
  <si>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</si>
  <si>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</si>
  <si>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</si>
  <si>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</si>
  <si>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</si>
  <si>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</si>
  <si>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</si>
  <si>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</si>
  <si>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</si>
  <si>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</si>
  <si>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</si>
  <si>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</si>
  <si>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</si>
  <si>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</si>
  <si>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</si>
  <si>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</si>
  <si>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</si>
  <si>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</si>
  <si>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</si>
  <si>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</si>
  <si>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</si>
  <si>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</si>
  <si>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</si>
  <si>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</si>
  <si>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</si>
  <si>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</si>
  <si>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</si>
  <si>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</si>
  <si>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</si>
  <si>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</si>
  <si>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</si>
  <si>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</si>
  <si>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</si>
  <si>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</si>
  <si>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</si>
  <si>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</si>
  <si>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</si>
  <si>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</si>
  <si>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</si>
  <si>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</si>
  <si>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</si>
  <si>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</si>
  <si>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</si>
  <si>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</si>
  <si>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</si>
  <si>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</si>
  <si>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</si>
  <si>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</si>
  <si>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</si>
  <si>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</si>
  <si>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</si>
  <si>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</si>
  <si>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</si>
  <si>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</si>
  <si>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</si>
  <si>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</si>
  <si>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</si>
  <si>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</si>
  <si>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</si>
  <si>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</si>
  <si>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</si>
  <si>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</si>
  <si>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</si>
  <si>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</si>
  <si>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</si>
  <si>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</si>
  <si>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</si>
  <si>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</si>
  <si>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</si>
  <si>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</si>
  <si>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</si>
  <si>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</si>
  <si>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</si>
  <si>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</si>
  <si>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</si>
  <si>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</si>
  <si>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</si>
  <si>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</si>
  <si>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</si>
  <si>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</si>
  <si>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</si>
  <si>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</si>
  <si>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</si>
  <si>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</si>
  <si>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</si>
  <si>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</si>
  <si>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</si>
  <si>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</si>
  <si>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</si>
  <si>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</si>
  <si>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</si>
  <si>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</si>
  <si>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</si>
  <si>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</si>
  <si>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</si>
  <si>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</si>
  <si>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</si>
  <si>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</si>
  <si>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</si>
  <si>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</si>
  <si>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</si>
  <si>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</si>
  <si>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</si>
  <si>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</si>
  <si>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</si>
  <si>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</si>
  <si>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</si>
  <si>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</si>
  <si>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</si>
  <si>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</si>
  <si>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</si>
  <si>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</si>
  <si>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</si>
  <si>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</si>
  <si>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</si>
  <si>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</si>
  <si>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</si>
  <si>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</si>
  <si>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</si>
  <si>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</si>
  <si>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</si>
  <si>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</si>
  <si>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</si>
  <si>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</si>
  <si>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</si>
  <si>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</si>
  <si>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</si>
  <si>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</si>
  <si>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</si>
  <si>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</si>
  <si>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</si>
  <si>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</si>
  <si>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</si>
  <si>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</si>
  <si>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</si>
  <si>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</si>
  <si>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</si>
  <si>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</si>
  <si>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</si>
  <si>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</si>
  <si>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</si>
  <si>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</si>
  <si>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</si>
  <si>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</si>
  <si>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</si>
  <si>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</si>
  <si>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</si>
  <si>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</si>
  <si>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</si>
  <si>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</si>
  <si>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</si>
  <si>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</si>
  <si>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</si>
  <si>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</si>
  <si>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</si>
  <si>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</si>
  <si>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</si>
  <si>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</si>
  <si>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</si>
  <si>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</si>
  <si>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</si>
  <si>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</si>
  <si>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</si>
  <si>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</si>
  <si>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</si>
  <si>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</si>
  <si>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</si>
  <si>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</si>
  <si>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</si>
  <si>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</si>
  <si>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</si>
  <si>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</si>
  <si>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</si>
  <si>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</si>
  <si>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</si>
  <si>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</si>
  <si>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</si>
  <si>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</si>
  <si>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</si>
  <si>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</si>
  <si>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</si>
  <si>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</si>
  <si>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</si>
  <si>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</si>
  <si>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</si>
  <si>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</si>
  <si>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</si>
  <si>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</si>
  <si>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</si>
  <si>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</si>
  <si>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</si>
  <si>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</si>
  <si>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</si>
  <si>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</si>
  <si>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</si>
  <si>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</si>
  <si>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</si>
  <si>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</si>
  <si>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</si>
  <si>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</si>
  <si>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</si>
  <si>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</si>
  <si>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</si>
  <si>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</si>
  <si>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</si>
  <si>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</si>
  <si>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</si>
  <si>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</si>
  <si>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</si>
  <si>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</si>
  <si>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</si>
  <si>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</si>
  <si>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</si>
  <si>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</si>
  <si>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</si>
  <si>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</si>
  <si>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</si>
  <si>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</si>
  <si>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</si>
  <si>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</si>
  <si>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</si>
  <si>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</si>
  <si>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</si>
  <si>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</si>
  <si>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</si>
  <si>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</si>
  <si>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</si>
  <si>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</si>
  <si>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</si>
  <si>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</si>
  <si>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</si>
  <si>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</si>
  <si>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</si>
  <si>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</si>
  <si>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</si>
  <si>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</si>
  <si>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</si>
  <si>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</si>
  <si>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</si>
  <si>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</si>
  <si>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</si>
  <si>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</si>
  <si>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</si>
  <si>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</si>
  <si>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</si>
  <si>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</si>
  <si>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</si>
  <si>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</si>
  <si>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</si>
  <si>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</si>
  <si>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</si>
  <si>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</si>
  <si>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</si>
  <si>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</si>
  <si>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</si>
  <si>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</si>
  <si>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</si>
  <si>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</si>
  <si>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</si>
  <si>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</si>
  <si>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</si>
  <si>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</si>
  <si>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</si>
  <si>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</si>
  <si>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</si>
  <si>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</si>
  <si>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</si>
  <si>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</si>
  <si>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</si>
  <si>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</si>
  <si>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</si>
  <si>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</si>
  <si>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</si>
  <si>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</si>
  <si>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</si>
  <si>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</si>
  <si>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</si>
  <si>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</si>
  <si>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</si>
  <si>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</si>
  <si>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</si>
  <si>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</si>
  <si>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</si>
  <si>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</si>
  <si>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</si>
  <si>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</si>
  <si>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</si>
  <si>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</si>
  <si>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</si>
  <si>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</si>
  <si>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</si>
  <si>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</si>
  <si>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</si>
  <si>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</si>
  <si>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</si>
  <si>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</si>
  <si>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</si>
  <si>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</si>
  <si>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</si>
  <si>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</si>
  <si>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</si>
  <si>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</si>
  <si>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</si>
  <si>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</si>
  <si>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</si>
  <si>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</si>
  <si>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</si>
  <si>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</si>
  <si>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</si>
  <si>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</si>
  <si>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</si>
  <si>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</si>
  <si>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</si>
  <si>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</si>
  <si>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</si>
  <si>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</si>
  <si>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</si>
  <si>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</si>
  <si>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</si>
  <si>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</si>
  <si>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</si>
  <si>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</si>
  <si>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</si>
  <si>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</si>
  <si>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</si>
  <si>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</si>
  <si>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</si>
  <si>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</si>
  <si>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</si>
  <si>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</si>
  <si>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</si>
  <si>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</si>
  <si>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</si>
  <si>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</si>
  <si>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</si>
  <si>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</si>
  <si>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</si>
  <si>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</si>
  <si>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</si>
  <si>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</si>
  <si>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</si>
  <si>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</si>
  <si>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</si>
  <si>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</si>
  <si>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</si>
  <si>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</si>
  <si>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</si>
  <si>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</si>
  <si>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</si>
  <si>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</si>
  <si>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</si>
  <si>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</si>
  <si>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</si>
  <si>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</si>
  <si>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</si>
  <si>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</si>
  <si>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</si>
  <si>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</si>
  <si>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</si>
  <si>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</si>
  <si>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</si>
  <si>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</si>
  <si>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</si>
  <si>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</si>
  <si>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</si>
  <si>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</si>
  <si>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</si>
  <si>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</si>
  <si>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</si>
  <si>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</si>
  <si>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</si>
  <si>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</si>
  <si>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</si>
  <si>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</si>
  <si>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</si>
  <si>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</si>
  <si>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</si>
  <si>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</si>
  <si>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</si>
  <si>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</si>
  <si>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</si>
  <si>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</si>
  <si>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</si>
  <si>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</si>
  <si>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</si>
  <si>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</si>
  <si>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</si>
  <si>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</si>
  <si>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</si>
  <si>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</si>
  <si>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</si>
  <si>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</si>
  <si>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</si>
  <si>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</si>
  <si>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</si>
  <si>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</si>
  <si>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</si>
  <si>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</si>
  <si>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</si>
  <si>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</si>
  <si>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</si>
  <si>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</si>
  <si>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</si>
  <si>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</si>
  <si>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</si>
  <si>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</si>
  <si>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</si>
  <si>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</si>
  <si>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</si>
  <si>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</si>
  <si>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</si>
  <si>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</si>
  <si>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</si>
  <si>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</si>
  <si>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</si>
  <si>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</si>
  <si>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</si>
  <si>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</si>
  <si>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</si>
  <si>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</si>
  <si>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</si>
  <si>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</si>
  <si>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</si>
  <si>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</si>
  <si>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</si>
  <si>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</si>
  <si>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</si>
  <si>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</si>
  <si>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</si>
  <si>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</si>
  <si>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</si>
  <si>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</si>
  <si>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</si>
  <si>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</si>
  <si>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</si>
  <si>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</si>
  <si>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</si>
  <si>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</si>
  <si>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</si>
  <si>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</si>
  <si>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</si>
  <si>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</si>
  <si>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</si>
  <si>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</si>
  <si>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</si>
  <si>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</si>
  <si>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</si>
  <si>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</si>
  <si>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</si>
  <si>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</si>
  <si>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</si>
  <si>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</si>
  <si>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</si>
  <si>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</si>
  <si>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</si>
  <si>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</si>
  <si>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</si>
  <si>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</si>
  <si>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</si>
  <si>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</si>
  <si>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</si>
  <si>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</si>
  <si>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</si>
  <si>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</si>
  <si>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</si>
  <si>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</si>
  <si>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</si>
  <si>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</si>
  <si>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</si>
  <si>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</si>
  <si>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</si>
  <si>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</si>
  <si>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</si>
  <si>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</si>
  <si>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</si>
  <si>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</si>
  <si>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</si>
  <si>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</si>
  <si>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</si>
  <si>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</si>
  <si>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</si>
  <si>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</si>
  <si>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</si>
  <si>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</si>
  <si>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</si>
  <si>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</si>
  <si>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</si>
  <si>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</si>
  <si>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</si>
  <si>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</si>
  <si>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</si>
  <si>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</si>
  <si>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</si>
  <si>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</si>
  <si>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</si>
  <si>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</si>
  <si>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</si>
  <si>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</si>
  <si>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</si>
  <si>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</si>
  <si>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</si>
  <si>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</si>
  <si>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</si>
  <si>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</si>
  <si>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</si>
  <si>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</si>
  <si>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</si>
  <si>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</si>
  <si>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</si>
  <si>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</si>
  <si>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</si>
  <si>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</si>
  <si>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</si>
  <si>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</si>
  <si>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</si>
  <si>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</si>
  <si>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</si>
  <si>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</si>
  <si>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</si>
  <si>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</si>
  <si>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</si>
  <si>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</si>
  <si>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</si>
  <si>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</si>
  <si>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</si>
  <si>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</si>
  <si>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</si>
  <si>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</si>
  <si>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</si>
  <si>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</si>
  <si>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</si>
  <si>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</si>
  <si>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</si>
  <si>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</si>
  <si>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</si>
  <si>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</si>
  <si>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</si>
  <si>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</si>
  <si>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</si>
  <si>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</si>
  <si>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</si>
  <si>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</si>
  <si>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</si>
  <si>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</si>
  <si>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</si>
  <si>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</si>
  <si>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</si>
  <si>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</si>
  <si>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</si>
  <si>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</si>
  <si>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</si>
  <si>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</si>
  <si>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</si>
  <si>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</si>
  <si>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</si>
  <si>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</si>
  <si>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</si>
  <si>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</si>
  <si>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</si>
  <si>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</si>
  <si>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</si>
  <si>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</si>
  <si>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</si>
  <si>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</si>
  <si>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</si>
  <si>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</si>
  <si>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</si>
  <si>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</si>
  <si>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</si>
  <si>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</si>
  <si>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</si>
  <si>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</si>
  <si>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</si>
  <si>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</si>
  <si>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</si>
  <si>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</si>
  <si>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</si>
  <si>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</si>
  <si>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</si>
  <si>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</si>
  <si>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</si>
  <si>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</si>
  <si>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</si>
  <si>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</si>
  <si>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</si>
  <si>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</si>
  <si>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</si>
  <si>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</si>
  <si>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</si>
  <si>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</si>
  <si>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</si>
  <si>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</si>
  <si>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</si>
  <si>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</si>
  <si>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</si>
  <si>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</si>
  <si>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</si>
  <si>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</si>
  <si>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</si>
  <si>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</si>
  <si>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</si>
  <si>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</si>
  <si>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</si>
  <si>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</si>
  <si>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</si>
  <si>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</si>
  <si>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</si>
  <si>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</si>
  <si>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</si>
  <si>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</si>
  <si>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</si>
  <si>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</si>
  <si>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</si>
  <si>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</si>
  <si>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</si>
  <si>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</si>
  <si>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</si>
  <si>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</si>
  <si>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</si>
  <si>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</si>
  <si>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</si>
  <si>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</si>
  <si>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</si>
  <si>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</si>
  <si>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</si>
  <si>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</si>
  <si>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</si>
  <si>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</si>
  <si>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</si>
  <si>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</si>
  <si>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</si>
  <si>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</si>
  <si>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</si>
  <si>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</si>
  <si>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</si>
  <si>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</si>
  <si>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</si>
  <si>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</si>
  <si>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</si>
  <si>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</si>
  <si>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</si>
  <si>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</si>
  <si>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</si>
  <si>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</si>
  <si>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</si>
  <si>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</si>
  <si>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</si>
  <si>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</si>
  <si>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</si>
  <si>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</si>
  <si>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</si>
  <si>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</si>
  <si>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</si>
  <si>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</si>
  <si>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</si>
  <si>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</si>
  <si>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</si>
  <si>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</si>
  <si>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</si>
  <si>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</si>
  <si>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</si>
  <si>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</si>
  <si>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</si>
  <si>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</si>
  <si>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</si>
  <si>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</si>
  <si>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</si>
  <si>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</si>
  <si>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</si>
  <si>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</si>
  <si>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</si>
  <si>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</si>
  <si>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</si>
  <si>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</si>
  <si>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</si>
  <si>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</si>
  <si>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</si>
  <si>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</si>
  <si>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</si>
  <si>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</si>
  <si>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</si>
  <si>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</si>
  <si>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</si>
  <si>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</si>
  <si>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</si>
  <si>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</si>
  <si>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</si>
  <si>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</si>
  <si>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</si>
  <si>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</si>
  <si>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</si>
  <si>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</si>
  <si>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</si>
  <si>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</si>
  <si>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</si>
  <si>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</si>
  <si>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</si>
  <si>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</si>
  <si>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</si>
  <si>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</si>
  <si>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</si>
  <si>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</si>
  <si>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</si>
  <si>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</si>
  <si>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</si>
  <si>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</si>
  <si>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</si>
  <si>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</si>
  <si>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</si>
  <si>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</si>
  <si>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</si>
  <si>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</si>
  <si>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</si>
  <si>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</si>
  <si>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</si>
  <si>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</si>
  <si>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</si>
  <si>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</si>
  <si>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</si>
  <si>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</si>
  <si>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</si>
  <si>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</si>
  <si>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</si>
  <si>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</si>
  <si>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</si>
  <si>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</si>
  <si>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</si>
  <si>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</si>
  <si>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</si>
  <si>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</si>
  <si>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</si>
  <si>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</si>
  <si>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</si>
  <si>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</si>
  <si>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</si>
  <si>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</si>
  <si>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</si>
  <si>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</si>
  <si>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</si>
  <si>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</si>
  <si>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</si>
  <si>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</si>
  <si>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</si>
  <si>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</si>
  <si>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</si>
  <si>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</si>
  <si>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</si>
  <si>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</si>
  <si>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</si>
  <si>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</si>
  <si>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</si>
  <si>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</si>
  <si>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</si>
  <si>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</si>
  <si>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</si>
  <si>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</si>
  <si>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</si>
  <si>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</si>
  <si>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</si>
  <si>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</si>
  <si>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</si>
  <si>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</si>
  <si>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</si>
  <si>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</si>
  <si>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</si>
  <si>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</si>
  <si>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</si>
  <si>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</si>
  <si>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</si>
  <si>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</si>
  <si>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</si>
  <si>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</si>
  <si>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</si>
  <si>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</si>
  <si>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</si>
  <si>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</si>
  <si>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</si>
  <si>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</si>
  <si>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</si>
  <si>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</si>
  <si>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</si>
  <si>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</si>
  <si>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</si>
  <si>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</si>
  <si>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</si>
  <si>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</si>
  <si>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</si>
  <si>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</si>
  <si>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</si>
  <si>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</si>
  <si>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</si>
  <si>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</si>
  <si>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</si>
  <si>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</si>
  <si>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</si>
  <si>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</si>
  <si>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</si>
  <si>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</si>
  <si>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</si>
  <si>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</si>
  <si>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</si>
  <si>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</si>
  <si>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</si>
  <si>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</si>
  <si>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</si>
  <si>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</si>
  <si>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</si>
  <si>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</si>
  <si>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</si>
  <si>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</si>
  <si>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</si>
  <si>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</si>
  <si>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</si>
  <si>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</si>
  <si>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</si>
  <si>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</si>
  <si>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</si>
  <si>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</si>
  <si>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</si>
  <si>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</si>
  <si>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</si>
  <si>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</si>
  <si>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</si>
  <si>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</si>
  <si>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</si>
  <si>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</si>
  <si>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</si>
  <si>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</si>
  <si>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</si>
  <si>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</si>
  <si>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</si>
  <si>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</si>
  <si>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</si>
  <si>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</si>
  <si>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</si>
  <si>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</si>
  <si>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</si>
  <si>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</si>
  <si>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</si>
  <si>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</si>
  <si>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</si>
  <si>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</si>
  <si>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</si>
  <si>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</si>
  <si>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</si>
  <si>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</si>
  <si>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</si>
  <si>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</si>
  <si>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</si>
  <si>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</si>
  <si>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</si>
  <si>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</si>
  <si>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</si>
  <si>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</si>
  <si>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</si>
  <si>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</si>
  <si>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</si>
  <si>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</si>
  <si>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</si>
  <si>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</si>
  <si>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</si>
  <si>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</si>
  <si>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</si>
  <si>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</si>
  <si>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</si>
  <si>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</si>
  <si>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</si>
  <si>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</si>
  <si>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</si>
  <si>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</si>
  <si>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</si>
  <si>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</si>
  <si>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</si>
  <si>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</si>
  <si>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</si>
  <si>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</si>
  <si>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</si>
  <si>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</si>
  <si>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</si>
  <si>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</si>
  <si>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</si>
  <si>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</si>
  <si>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</si>
  <si>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</si>
  <si>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</si>
  <si>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</si>
  <si>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</si>
  <si>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</si>
  <si>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</si>
  <si>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</si>
  <si>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</si>
  <si>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</si>
  <si>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</si>
  <si>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</si>
  <si>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</si>
  <si>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</si>
  <si>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</si>
  <si>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</si>
  <si>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</si>
  <si>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</si>
  <si>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</si>
  <si>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</si>
  <si>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</si>
  <si>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</si>
  <si>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</si>
  <si>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</si>
  <si>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</si>
  <si>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</si>
  <si>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</si>
  <si>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</si>
  <si>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</si>
  <si>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</si>
  <si>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</si>
  <si>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</si>
  <si>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</si>
  <si>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</si>
  <si>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</si>
  <si>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</si>
  <si>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</si>
  <si>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</si>
  <si>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</si>
  <si>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</si>
  <si>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</si>
  <si>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</si>
  <si>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</si>
  <si>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</si>
  <si>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</si>
  <si>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</si>
  <si>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</si>
  <si>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</si>
  <si>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</si>
  <si>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</si>
  <si>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</si>
  <si>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</si>
  <si>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</si>
  <si>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</si>
  <si>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</si>
  <si>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</si>
  <si>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</si>
  <si>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</si>
  <si>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</si>
  <si>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</si>
  <si>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</si>
  <si>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</si>
  <si>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</si>
  <si>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</si>
  <si>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</si>
  <si>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</si>
  <si>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</si>
  <si>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</si>
  <si>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</si>
  <si>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</si>
  <si>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</si>
  <si>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</si>
  <si>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</si>
  <si>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</si>
  <si>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</si>
  <si>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</si>
  <si>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</si>
  <si>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</si>
  <si>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</si>
  <si>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</si>
  <si>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</si>
  <si>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</si>
  <si>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</si>
  <si>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</si>
  <si>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</si>
  <si>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</si>
  <si>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</si>
  <si>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</si>
  <si>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</si>
  <si>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</si>
  <si>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</si>
  <si>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</si>
  <si>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</si>
  <si>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</si>
  <si>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</si>
  <si>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</si>
  <si>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</si>
  <si>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</si>
  <si>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</si>
  <si>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</si>
  <si>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</si>
  <si>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</si>
  <si>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</si>
  <si>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</si>
  <si>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</si>
  <si>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</si>
  <si>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</si>
  <si>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</si>
  <si>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</si>
  <si>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</si>
  <si>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</si>
  <si>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</si>
  <si>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</si>
  <si>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</si>
  <si>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</si>
  <si>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</si>
  <si>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</si>
  <si>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</si>
  <si>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</si>
  <si>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</si>
  <si>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</si>
  <si>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</si>
  <si>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</si>
  <si>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</si>
  <si>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</si>
  <si>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</si>
  <si>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</si>
  <si>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</si>
  <si>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</si>
  <si>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</si>
  <si>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</si>
  <si>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</si>
  <si>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</si>
  <si>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</si>
  <si>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</si>
  <si>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</si>
  <si>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</si>
  <si>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</si>
  <si>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</si>
  <si>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</si>
  <si>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</si>
  <si>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</si>
  <si>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</si>
  <si>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</si>
  <si>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</si>
  <si>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</si>
  <si>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</si>
  <si>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</si>
  <si>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</si>
  <si>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</si>
  <si>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</si>
  <si>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</si>
  <si>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</si>
  <si>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</si>
  <si>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</si>
  <si>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</si>
  <si>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</si>
  <si>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</si>
  <si>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</si>
  <si>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</si>
  <si>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</si>
  <si>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</si>
  <si>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</si>
  <si>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</si>
  <si>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</si>
  <si>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</si>
  <si>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</si>
  <si>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</si>
  <si>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</si>
  <si>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</si>
  <si>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</si>
  <si>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</si>
  <si>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</si>
  <si>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</si>
  <si>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</si>
  <si>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</si>
  <si>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</si>
  <si>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</si>
  <si>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</si>
  <si>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</si>
  <si>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</si>
  <si>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</si>
  <si>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</si>
  <si>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</si>
  <si>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</si>
  <si>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</si>
  <si>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</si>
  <si>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</si>
  <si>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</si>
  <si>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</si>
  <si>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</si>
  <si>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</si>
  <si>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</si>
  <si>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</si>
  <si>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</si>
  <si>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</si>
  <si>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</si>
  <si>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</si>
  <si>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</si>
  <si>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</si>
  <si>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</si>
  <si>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</si>
  <si>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</si>
  <si>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</si>
  <si>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</si>
  <si>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</si>
  <si>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</si>
  <si>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</si>
  <si>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</si>
  <si>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</si>
  <si>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</si>
  <si>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</si>
  <si>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</si>
  <si>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</si>
  <si>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</si>
  <si>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</si>
  <si>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</si>
  <si>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</si>
  <si>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</si>
  <si>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</si>
  <si>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</si>
  <si>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</si>
  <si>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</si>
  <si>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</si>
  <si>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</si>
  <si>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</si>
  <si>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</si>
  <si>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</si>
  <si>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</si>
  <si>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</si>
  <si>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</si>
  <si>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</si>
  <si>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</si>
  <si>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</si>
  <si>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</si>
  <si>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</si>
  <si>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</si>
  <si>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</si>
  <si>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</si>
  <si>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</si>
  <si>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</si>
  <si>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</si>
  <si>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</si>
  <si>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</si>
  <si>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</si>
  <si>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</si>
  <si>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</si>
  <si>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</si>
  <si>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</si>
  <si>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</si>
  <si>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</si>
  <si>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</si>
  <si>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</si>
  <si>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</si>
  <si>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</si>
  <si>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</si>
  <si>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</si>
  <si>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</si>
  <si>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</si>
  <si>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</si>
  <si>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</si>
  <si>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</si>
  <si>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</si>
  <si>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</si>
  <si>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</si>
  <si>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</si>
  <si>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</si>
  <si>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</si>
  <si>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</si>
  <si>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</si>
  <si>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</si>
  <si>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</si>
  <si>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</si>
  <si>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Güncelleme Tarihi 14.09.2026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</si>
  <si>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</si>
  <si>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</si>
  <si>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</si>
  <si>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</si>
  <si>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</si>
  <si>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</si>
  <si>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</si>
  <si>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</si>
  <si>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</si>
  <si>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Toplam Stok Miktarı
14.09.2026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</si>
</sst>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2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Dashboard!$K$6:$K$113</c:f>
              <c:numCache>
                <c:formatCode>m/d/yyyy</c:formatCode>
                <c:ptCount val="108"/>
                <c:pt idx="0">
                  <c:v>46279</c:v>
                </c:pt>
                <c:pt idx="1">
                  <c:v>46272</c:v>
                </c:pt>
                <c:pt idx="2">
                  <c:v>46265</c:v>
                </c:pt>
                <c:pt idx="3">
                  <c:v>46258</c:v>
                </c:pt>
                <c:pt idx="4">
                  <c:v>46251</c:v>
                </c:pt>
                <c:pt idx="5">
                  <c:v>46244</c:v>
                </c:pt>
                <c:pt idx="6">
                  <c:v>46237</c:v>
                </c:pt>
                <c:pt idx="7">
                  <c:v>46223</c:v>
                </c:pt>
                <c:pt idx="8">
                  <c:v>46216</c:v>
                </c:pt>
                <c:pt idx="9">
                  <c:v>46209</c:v>
                </c:pt>
                <c:pt idx="10">
                  <c:v>46202</c:v>
                </c:pt>
                <c:pt idx="11">
                  <c:v>46195</c:v>
                </c:pt>
                <c:pt idx="12">
                  <c:v>46188</c:v>
                </c:pt>
                <c:pt idx="13">
                  <c:v>46181</c:v>
                </c:pt>
                <c:pt idx="14">
                  <c:v>46174</c:v>
                </c:pt>
                <c:pt idx="15">
                  <c:v>46160</c:v>
                </c:pt>
                <c:pt idx="16">
                  <c:v>46153</c:v>
                </c:pt>
                <c:pt idx="17">
                  <c:v>46146</c:v>
                </c:pt>
                <c:pt idx="18">
                  <c:v>46139</c:v>
                </c:pt>
                <c:pt idx="19">
                  <c:v>46132</c:v>
                </c:pt>
                <c:pt idx="20">
                  <c:v>46125</c:v>
                </c:pt>
                <c:pt idx="21">
                  <c:v>46118</c:v>
                </c:pt>
                <c:pt idx="22">
                  <c:v>46111</c:v>
                </c:pt>
                <c:pt idx="23">
                  <c:v>46104</c:v>
                </c:pt>
                <c:pt idx="24">
                  <c:v>46097</c:v>
                </c:pt>
                <c:pt idx="25">
                  <c:v>46090</c:v>
                </c:pt>
                <c:pt idx="26">
                  <c:v>46083</c:v>
                </c:pt>
                <c:pt idx="27">
                  <c:v>46076</c:v>
                </c:pt>
                <c:pt idx="28">
                  <c:v>46069</c:v>
                </c:pt>
                <c:pt idx="29">
                  <c:v>46062</c:v>
                </c:pt>
                <c:pt idx="30">
                  <c:v>46055</c:v>
                </c:pt>
                <c:pt idx="31">
                  <c:v>46048</c:v>
                </c:pt>
                <c:pt idx="32">
                  <c:v>46041</c:v>
                </c:pt>
                <c:pt idx="33">
                  <c:v>46034</c:v>
                </c:pt>
                <c:pt idx="34">
                  <c:v>46027</c:v>
                </c:pt>
                <c:pt idx="35">
                  <c:v>46020</c:v>
                </c:pt>
                <c:pt idx="36">
                  <c:v>46013</c:v>
                </c:pt>
                <c:pt idx="37">
                  <c:v>46006</c:v>
                </c:pt>
                <c:pt idx="38">
                  <c:v>45999</c:v>
                </c:pt>
                <c:pt idx="39">
                  <c:v>45992</c:v>
                </c:pt>
                <c:pt idx="40">
                  <c:v>45985</c:v>
                </c:pt>
                <c:pt idx="41">
                  <c:v>45978</c:v>
                </c:pt>
                <c:pt idx="42">
                  <c:v>45971</c:v>
                </c:pt>
                <c:pt idx="43">
                  <c:v>45964</c:v>
                </c:pt>
                <c:pt idx="44">
                  <c:v>45950</c:v>
                </c:pt>
                <c:pt idx="45">
                  <c:v>45943</c:v>
                </c:pt>
                <c:pt idx="46">
                  <c:v>45936</c:v>
                </c:pt>
                <c:pt idx="47">
                  <c:v>45929</c:v>
                </c:pt>
                <c:pt idx="48">
                  <c:v>45919</c:v>
                </c:pt>
                <c:pt idx="49">
                  <c:v>45908</c:v>
                </c:pt>
                <c:pt idx="50">
                  <c:v>45896</c:v>
                </c:pt>
                <c:pt idx="51">
                  <c:v>45866</c:v>
                </c:pt>
                <c:pt idx="52">
                  <c:v>45840</c:v>
                </c:pt>
                <c:pt idx="53">
                  <c:v>45824</c:v>
                </c:pt>
                <c:pt idx="54">
                  <c:v>45805</c:v>
                </c:pt>
                <c:pt idx="55">
                  <c:v>45797</c:v>
                </c:pt>
                <c:pt idx="56">
                  <c:v>45783</c:v>
                </c:pt>
                <c:pt idx="57">
                  <c:v>45769</c:v>
                </c:pt>
                <c:pt idx="58">
                  <c:v>45762</c:v>
                </c:pt>
                <c:pt idx="59">
                  <c:v>45750</c:v>
                </c:pt>
                <c:pt idx="60">
                  <c:v>45741</c:v>
                </c:pt>
                <c:pt idx="61">
                  <c:v>45736</c:v>
                </c:pt>
                <c:pt idx="62">
                  <c:v>45726</c:v>
                </c:pt>
                <c:pt idx="63">
                  <c:v>45723</c:v>
                </c:pt>
                <c:pt idx="64">
                  <c:v>45716</c:v>
                </c:pt>
                <c:pt idx="65">
                  <c:v>45712</c:v>
                </c:pt>
                <c:pt idx="66">
                  <c:v>45705</c:v>
                </c:pt>
                <c:pt idx="67">
                  <c:v>45702</c:v>
                </c:pt>
                <c:pt idx="68">
                  <c:v>45698</c:v>
                </c:pt>
                <c:pt idx="69">
                  <c:v>45691</c:v>
                </c:pt>
                <c:pt idx="70">
                  <c:v>45684</c:v>
                </c:pt>
                <c:pt idx="71">
                  <c:v>45677</c:v>
                </c:pt>
                <c:pt idx="72">
                  <c:v>45672</c:v>
                </c:pt>
                <c:pt idx="73">
                  <c:v>45656</c:v>
                </c:pt>
                <c:pt idx="74">
                  <c:v>45649</c:v>
                </c:pt>
                <c:pt idx="75">
                  <c:v>45642</c:v>
                </c:pt>
                <c:pt idx="76">
                  <c:v>45635</c:v>
                </c:pt>
                <c:pt idx="77">
                  <c:v>45630</c:v>
                </c:pt>
                <c:pt idx="78">
                  <c:v>45614</c:v>
                </c:pt>
                <c:pt idx="79">
                  <c:v>45608</c:v>
                </c:pt>
                <c:pt idx="80">
                  <c:v>45596</c:v>
                </c:pt>
                <c:pt idx="81">
                  <c:v>45580</c:v>
                </c:pt>
                <c:pt idx="82">
                  <c:v>45570</c:v>
                </c:pt>
                <c:pt idx="83">
                  <c:v>45563</c:v>
                </c:pt>
                <c:pt idx="84">
                  <c:v>45552</c:v>
                </c:pt>
                <c:pt idx="85">
                  <c:v>45539</c:v>
                </c:pt>
                <c:pt idx="86">
                  <c:v>45524</c:v>
                </c:pt>
                <c:pt idx="87">
                  <c:v>45511</c:v>
                </c:pt>
                <c:pt idx="88">
                  <c:v>45500</c:v>
                </c:pt>
                <c:pt idx="89">
                  <c:v>45490</c:v>
                </c:pt>
                <c:pt idx="90">
                  <c:v>45478</c:v>
                </c:pt>
                <c:pt idx="91">
                  <c:v>45467</c:v>
                </c:pt>
                <c:pt idx="92">
                  <c:v>45455</c:v>
                </c:pt>
                <c:pt idx="93">
                  <c:v>45442</c:v>
                </c:pt>
                <c:pt idx="94">
                  <c:v>45427</c:v>
                </c:pt>
                <c:pt idx="95">
                  <c:v>45427</c:v>
                </c:pt>
                <c:pt idx="96">
                  <c:v>45411</c:v>
                </c:pt>
                <c:pt idx="97">
                  <c:v>45397</c:v>
                </c:pt>
                <c:pt idx="98">
                  <c:v>45376</c:v>
                </c:pt>
                <c:pt idx="99">
                  <c:v>45364</c:v>
                </c:pt>
                <c:pt idx="100">
                  <c:v>45352</c:v>
                </c:pt>
                <c:pt idx="101">
                  <c:v>45334</c:v>
                </c:pt>
                <c:pt idx="102">
                  <c:v>45320</c:v>
                </c:pt>
                <c:pt idx="103">
                  <c:v>45313</c:v>
                </c:pt>
                <c:pt idx="104">
                  <c:v>45293</c:v>
                </c:pt>
                <c:pt idx="105">
                  <c:v>45285</c:v>
                </c:pt>
                <c:pt idx="106">
                  <c:v>45275</c:v>
                </c:pt>
                <c:pt idx="107">
                  <c:v>45173</c:v>
                </c:pt>
              </c:numCache>
            </c:numRef>
          </c:cat>
          <c:val>
            <c:numRef>
              <c:f>Dashboard!$L$6:$L$113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80.740411458333" createdVersion="8" refreshedVersion="8" minRefreshableVersion="3" recordCount="453" xr:uid="{FB5927CC-D660-4365-AD32-70372EB62A74}">
  <cacheSource type="worksheet">
    <worksheetSource ref="A1:DQ454" sheet="Stok"/>
  </cacheSource>
  <cacheFields count="121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0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1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602552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79.488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06.976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482.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</r>
  <r>
    <m/>
    <x v="224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28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 80F + 1yr 24x7 Fcare&amp;Fguard"/>
    <x v="13"/>
    <x v="24"/>
    <m/>
    <m/>
    <m/>
    <m/>
    <m/>
    <s v="Sıfır, kutulu"/>
    <m/>
    <n v="1450.81"/>
    <n v="2901.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</r>
  <r>
    <m/>
    <x v="276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279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0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</r>
  <r>
    <m/>
    <x v="281"/>
    <s v="UTP Keystone Jack CAT6 180 Derece"/>
    <x v="14"/>
    <x v="15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</r>
  <r>
    <m/>
    <x v="282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</r>
  <r>
    <m/>
    <x v="283"/>
    <s v="FTP Toolless Keystone Jack CAT 6A 180°"/>
    <x v="14"/>
    <x v="15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</r>
  <r>
    <m/>
    <x v="284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</r>
  <r>
    <m/>
    <x v="285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6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7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4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5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</r>
  <r>
    <m/>
    <x v="300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</r>
  <r>
    <m/>
    <x v="301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</r>
  <r>
    <m/>
    <x v="302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4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</r>
  <r>
    <m/>
    <x v="306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7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08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1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2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3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</r>
  <r>
    <m/>
    <x v="314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</r>
  <r>
    <m/>
    <x v="315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6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7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8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9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0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2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3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4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5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6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7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8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9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0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</r>
  <r>
    <m/>
    <x v="331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2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</r>
  <r>
    <m/>
    <x v="333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</r>
  <r>
    <m/>
    <x v="334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</r>
  <r>
    <m/>
    <x v="335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</r>
  <r>
    <m/>
    <x v="336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</r>
  <r>
    <m/>
    <x v="337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0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LC Simplex Pigtail OS2 0.9mm 1m LSZH"/>
    <x v="29"/>
    <x v="14"/>
    <m/>
    <s v="F2"/>
    <s v="Adet"/>
    <m/>
    <m/>
    <s v="Sıfır paketli"/>
    <m/>
    <n v="0.38"/>
    <n v="9.12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</r>
  <r>
    <m/>
    <x v="342"/>
    <s v="LC-LC patch cord( duplex) OS2 2meters  2.0mm LSZH"/>
    <x v="29"/>
    <x v="7"/>
    <m/>
    <s v="F2"/>
    <s v="Adet"/>
    <m/>
    <m/>
    <s v="Sıfır paketli"/>
    <m/>
    <n v="1.67"/>
    <n v="10.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</r>
  <r>
    <m/>
    <x v="343"/>
    <s v="300 Mbps 802.11n In wall AP with with USB Charger"/>
    <x v="30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Çok Yönlü, Deniz ve Kıyı LTE Anteni"/>
    <x v="31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5"/>
    <s v="Çok Yönlü, Geniş Bant LTE Anteni"/>
    <x v="31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6"/>
    <s v="Afumex LSOH 3*2,5 mm2 NHXMH-J 300/500V Kablo"/>
    <x v="32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47"/>
    <s v="4 Slotlu NAS Depolama Ünitesi"/>
    <x v="33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8"/>
    <s v="10GbE Direct Attach SFP+ to SFP+ AOC, 1m"/>
    <x v="3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9"/>
    <s v="10GbE DAC SFP+ to SFP+ Passive copper cable, 1m"/>
    <x v="34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0"/>
    <s v="10GbE DAC SFP+ to SFP+ Passive copper cable, 3m"/>
    <x v="34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25GbE DAC SFP28 Passive, 1m "/>
    <x v="34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2"/>
    <s v="40GbE DAC QSFP Passive, 1m"/>
    <x v="34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Universal mounting ears XBR-R000295 for Brocade Switches"/>
    <x v="34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4"/>
    <s v="Universal mounting ears XBR-R000295 for Brocade Switches Screw Set"/>
    <x v="34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FRU, Rackmount Kit, 4 Post 24-32 Depth RCK"/>
    <x v="34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Power Supply, 400W AC exhaust front to back airflow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ICX 7650 and ICX 7850 exhaust airflow fan, front to back airflow"/>
    <x v="34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Ruckus IoT Module, Zigbee, BLE"/>
    <x v="34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9"/>
    <s v="SmartZone 144 - 4x10GE &amp; 4xGE"/>
    <x v="34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SmartZone 144 - 4x10GE &amp; 4xGE"/>
    <x v="34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H350 WW dual band Wi-Fi 6"/>
    <x v="34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</r>
  <r>
    <m/>
    <x v="362"/>
    <s v="H550 WW dual band Wi-Fi 6 "/>
    <x v="34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3"/>
    <s v="H550 WW dual band Wi-Fi 6 "/>
    <x v="34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P300 WW 11ac outdoor bridge (single)"/>
    <x v="34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R310 WW dual band 11ac indoor AP 2x2:2"/>
    <x v="34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6"/>
    <s v="R320 Dual band .11ac indoor AP 2x2:2"/>
    <x v="34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R350 WW dual band 11ax indoor AP 2x2:2"/>
    <x v="34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</r>
  <r>
    <m/>
    <x v="368"/>
    <s v="R550 WW 11ax indoor 2x2:2 AP Plenum"/>
    <x v="34"/>
    <x v="2"/>
    <n v="1002"/>
    <s v="F2"/>
    <s v="Adet"/>
    <n v="4"/>
    <n v="3"/>
    <s v="Sıfır kutulu"/>
    <s v="3 Adet Antalya Showroom"/>
    <n v="392.16"/>
    <n v="55294.560000000005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</r>
  <r>
    <m/>
    <x v="369"/>
    <s v="R560 WW tri band Wifi 6E indoor AP 2x2:2"/>
    <x v="34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R650 WW dual band 11ax indoor AP 4+2strm"/>
    <x v="34"/>
    <x v="2"/>
    <n v="1002"/>
    <s v="F2"/>
    <s v="Adet"/>
    <n v="27"/>
    <m/>
    <m/>
    <s v="1 adet Midas' tan çizik geldi."/>
    <n v="350"/>
    <n v="280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</r>
  <r>
    <m/>
    <x v="371"/>
    <s v="R710 WW dual band 11ac indoor AP 4x4:4"/>
    <x v="34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R750 WW dual band 11ax indoor AP 4x4:4"/>
    <x v="34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T310c  .11ac W2 Outdoor AP 2x2:2"/>
    <x v="34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4"/>
    <s v="T350c, Outdoor, 11ax, AP 2x2:2"/>
    <x v="34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</r>
  <r>
    <m/>
    <x v="375"/>
    <s v="T350d WW ax dual band outdor AP 2x2:2"/>
    <x v="34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T350se, Outdoor 11ax AP 2x2:2"/>
    <x v="34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Secure Mounting Bracket for R-series"/>
    <x v="34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</r>
  <r>
    <m/>
    <x v="378"/>
    <s v="Surface Mount Bracket for H550"/>
    <x v="34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R320 WW Unleashed 11ac AP 2x2:2"/>
    <x v="34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0"/>
    <s v="R350 WW Unleashed 11ax AP 2x2:2"/>
    <x v="34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R350 WW Unleashed 11ax AP 2x2:2"/>
    <x v="34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</r>
  <r>
    <m/>
    <x v="382"/>
    <s v="R550 WW Unleashed 11ax AP 2x2:2"/>
    <x v="34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383"/>
    <s v="R650 WW Unleashed 11ax AP 4+2strm"/>
    <x v="34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</r>
  <r>
    <m/>
    <x v="384"/>
    <s v="Unleashed T310c  .11ac W2 Outdoor AP 2x2:2"/>
    <x v="34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1GbE SFP Switch with 8x1GbE SFPP Ports"/>
    <x v="34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6"/>
    <s v="10 Port POH MG 2X10G SFP+ L3 Prem"/>
    <x v="34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24 Port SFP 4x1G SFP+ Switch"/>
    <x v="34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8"/>
    <s v="24 Port 4X1G SFP+"/>
    <x v="34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24 Port POE+ 4X1G SFP+ Max Poe Budget 370W"/>
    <x v="34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POE+ 4X1G SFP+ Max Poe Budget 370W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4X1G SFP+"/>
    <x v="34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4x10G SFP+ L3 Premium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370W"/>
    <x v="34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-Port POE+ 370W 4X1G SFP+"/>
    <x v="34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POE+ 2X10G SFP+ Max Poe Budget 740W"/>
    <x v="34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POE+ 4X1G SFP+ Max Poe Budget 740W"/>
    <x v="34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+ 4X1G SFP+ Max Poe Budget 740W"/>
    <x v="34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740W"/>
    <x v="34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16 Port 2.5 POH 32x1G POE+ 6x1G 2x10G 1PS Max Poe:1480W"/>
    <x v="34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0"/>
    <s v="24 Port 1/10G SFP NO PSU/FAN"/>
    <x v="34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/10G SFP Bundle 2PSU-E R3"/>
    <x v="34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12x 1/10G SFP NO PSU/FAN"/>
    <x v="34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8 PRT 10G SFPP, 6 PRT QSFP, 1 MOD SLT"/>
    <x v="34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RT 10G SFPP, 6 PRT QSFP, 1 MOD SLT"/>
    <x v="34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5"/>
    <s v="48 Port SFP28 Bundle 2PSU"/>
    <x v="34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G 4x25G SFP28"/>
    <x v="34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7"/>
    <s v="24 Port 100/1000 SFP, 4×25 GbE SFP28"/>
    <x v="34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24 Port POE 4x25G SFP28 Max Poe Budget 370W"/>
    <x v="34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ort 1G 4x25G SFP28"/>
    <x v="34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</r>
  <r>
    <m/>
    <x v="410"/>
    <s v="48 Port POE 4x25G SFP28 Max Poe Budget 370W"/>
    <x v="34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</r>
  <r>
    <m/>
    <x v="411"/>
    <s v="48 Port 1G SFP + 4 1/10/25 SFP28 Fiber Switch"/>
    <x v="34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48 Port POE 4x25G SFP28 Max Poe Budget 740W"/>
    <x v="34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</r>
  <r>
    <m/>
    <x v="413"/>
    <s v="48 Port POE FRU Bundle 1PSU Poe Budget 740W"/>
    <x v="34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4"/>
    <s v="48 Port POE 4x25G SFP28 2PSU Poe Budget 1480W"/>
    <x v="34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ICX7150-C12P Rack Mount Kit"/>
    <x v="34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Power Cord for VIIG to C13, Europe, 250V 10A"/>
    <x v="34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</r>
  <r>
    <m/>
    <x v="417"/>
    <s v="FRU,500WACPS,EXHAUST,ICX7750,SIDEWINDER"/>
    <x v="34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8"/>
    <s v="40G QSFP+ Optical Stack Cable, 5m"/>
    <x v="35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Dual Radio 1775 Mbps Indoor Wall Plate AP"/>
    <x v="35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Mounting bracket for the US standard junction box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Outdoor AP,IP67,omni 3×3:3, 802.11a/b/g/n/ac"/>
    <x v="35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2"/>
    <s v="Dual Band 11ax Outdoor Wireless AP"/>
    <x v="35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3"/>
    <s v="Dual Band 11ax Outdoor Wireless AP"/>
    <x v="35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Selectable Dual-band Indoor AP"/>
    <x v="35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AX3000 Wi-Fi 6 Multi-Gigabit Indoor AP"/>
    <x v="35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-port PoE Adapter (1000Base-T, 802.3af)"/>
    <x v="35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</r>
  <r>
    <m/>
    <x v="427"/>
    <s v="1-port PoE Adapter (1000Base-T PoE+/ 802.3at)"/>
    <x v="35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8"/>
    <s v="8 port 1G Poe, 2x SFP Poe budget: 192W switch"/>
    <x v="35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9"/>
    <s v="24 port 1G POE, 4 x SFP+, Poe budget: 370W Switch"/>
    <x v="35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24 port 1G POE, 4 x SFP+, Poe budget: 370W Switch"/>
    <x v="35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431"/>
    <s v="48 port 1G POE, 4x SFP, Poe budget: 370W Switch"/>
    <x v="35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24 port 1G SFP, 8x1G combo, 4x10G SFP+ Switch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AC PSU, 740W PoE for S5310-24/  S5310-48"/>
    <x v="35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4"/>
    <s v="150W AC power module for RG-S6120-20XS4VS2QXS"/>
    <x v="35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AC Power Module, 370W Power Budget for PoE"/>
    <x v="35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6"/>
    <s v="24 Port 1G, 4x 1G/10G SFP+ (non-combo) switch"/>
    <x v="35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7"/>
    <s v="48 port 1G 4x 1G/10G SFP+ Switch"/>
    <x v="35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8"/>
    <s v="24-PORT 10/100/1000BASE-T,4x1G/10G SFP+ PORTS"/>
    <x v="35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9"/>
    <s v="48-PORT 10/100/1000BASE-T,4x1G/10G SFP+ PORTS"/>
    <x v="35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0"/>
    <s v="Wireless Controller 6x 1G 2x 1G/SFP combo Max:200AP"/>
    <x v="35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1"/>
    <s v="10G SFP+ Optical Stack Cable, 5m"/>
    <x v="35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42"/>
    <s v="10GBase-LR, SFP+ transceiver (1310nm, 10km, LC)"/>
    <x v="35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3"/>
    <s v="10GBase-SR SFP+ transceiver (850nm 300m LC)"/>
    <x v="35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4"/>
    <s v="Layer 2+ Switch,24x1G BASE-T ports, 4x1G SFP"/>
    <x v="35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5"/>
    <s v="STATYS XS 16A 230V Single Phase 2 Wires 2 Pole Switching 19&quot; Rack"/>
    <x v="36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6"/>
    <s v="Ubiquiti 24W Ethernet Adapter 10/100/1000"/>
    <x v="37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</r>
  <r>
    <m/>
    <x v="447"/>
    <s v="Barkod okuyucu kablosu"/>
    <x v="38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8"/>
    <s v="Ethernet Kartı 25G Dual Port"/>
    <x v="39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9"/>
    <s v="Xilinx Alveo X3522 Low Latency Network Adapter"/>
    <x v="40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873E86-6592-4BA8-9B56-4F18B1C85293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8" firstHeaderRow="0" firstDataRow="1" firstDataCol="1"/>
  <pivotFields count="121">
    <pivotField showAll="0"/>
    <pivotField axis="axisRow" showAll="0" sortType="ascending">
      <items count="451">
        <item x="301"/>
        <item sd="0" x="298"/>
        <item x="92"/>
        <item sd="0" x="346"/>
        <item x="74"/>
        <item x="85"/>
        <item x="86"/>
        <item x="73"/>
        <item x="81"/>
        <item x="84"/>
        <item x="445"/>
        <item x="315"/>
        <item x="310"/>
        <item x="300"/>
        <item x="299"/>
        <item sd="0" x="348"/>
        <item sd="0" x="349"/>
        <item sd="0" x="350"/>
        <item sd="0" x="67"/>
        <item x="304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7"/>
        <item sd="0" x="91"/>
        <item sd="0" x="418"/>
        <item x="307"/>
        <item sd="0" x="290"/>
        <item x="291"/>
        <item sd="0" x="293"/>
        <item sd="0" x="353"/>
        <item sd="0" x="354"/>
        <item sd="0" x="57"/>
        <item x="79"/>
        <item x="77"/>
        <item sd="0" x="288"/>
        <item x="302"/>
        <item sd="0" x="14"/>
        <item x="306"/>
        <item x="267"/>
        <item x="305"/>
        <item sd="0" x="58"/>
        <item sd="0" x="292"/>
        <item x="361"/>
        <item sd="0" x="362"/>
        <item x="363"/>
        <item sd="0" x="364"/>
        <item sd="0" x="365"/>
        <item sd="0" x="366"/>
        <item sd="0" x="367"/>
        <item sd="0" x="368"/>
        <item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x="358"/>
        <item sd="0" x="49"/>
        <item x="379"/>
        <item x="380"/>
        <item x="381"/>
        <item sd="0" x="382"/>
        <item x="383"/>
        <item sd="0" x="384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5"/>
        <item x="344"/>
        <item sd="0" x="15"/>
        <item sd="0" x="0"/>
        <item sd="0" x="1"/>
        <item x="449"/>
        <item x="313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7"/>
        <item x="45"/>
        <item x="44"/>
        <item sd="0" x="21"/>
        <item sd="0" x="19"/>
        <item sd="0" x="20"/>
        <item sd="0" x="447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5"/>
        <item x="342"/>
        <item x="341"/>
        <item x="351"/>
        <item x="352"/>
        <item sd="0" x="35"/>
        <item x="105"/>
        <item x="296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6"/>
        <item sd="0" x="277"/>
        <item x="278"/>
        <item sd="0" x="272"/>
        <item sd="0" x="274"/>
        <item sd="0" x="273"/>
        <item x="275"/>
        <item sd="0" x="338"/>
        <item sd="0" x="339"/>
        <item sd="0" x="337"/>
        <item sd="0" x="340"/>
        <item sd="0" x="269"/>
        <item x="47"/>
        <item sd="0" x="46"/>
        <item x="308"/>
        <item x="106"/>
        <item sd="0" x="13"/>
        <item sd="0" x="385"/>
        <item sd="0" x="415"/>
        <item sd="0" x="388"/>
        <item sd="0" x="387"/>
        <item sd="0" x="389"/>
        <item x="392"/>
        <item sd="0" x="391"/>
        <item sd="0" x="393"/>
        <item sd="0" x="394"/>
        <item x="395"/>
        <item sd="0" x="398"/>
        <item sd="0" x="396"/>
        <item sd="0" x="399"/>
        <item x="386"/>
        <item x="400"/>
        <item sd="0" x="401"/>
        <item x="402"/>
        <item sd="0" x="403"/>
        <item sd="0" x="405"/>
        <item x="406"/>
        <item x="407"/>
        <item sd="0" x="408"/>
        <item x="409"/>
        <item x="411"/>
        <item sd="0" x="410"/>
        <item sd="0" x="412"/>
        <item sd="0" x="413"/>
        <item sd="0" x="414"/>
        <item x="357"/>
        <item x="334"/>
        <item x="335"/>
        <item x="336"/>
        <item x="332"/>
        <item x="282"/>
        <item x="280"/>
        <item x="8"/>
        <item sd="0" x="286"/>
        <item x="11"/>
        <item x="9"/>
        <item x="12"/>
        <item sd="0" x="3"/>
        <item x="295"/>
        <item x="297"/>
        <item sd="0" x="2"/>
        <item sd="0" x="4"/>
        <item sd="0" x="448"/>
        <item sd="0" x="108"/>
        <item x="294"/>
        <item x="314"/>
        <item sd="0" x="60"/>
        <item sd="0" x="61"/>
        <item x="62"/>
        <item x="63"/>
        <item x="64"/>
        <item x="65"/>
        <item x="66"/>
        <item x="87"/>
        <item x="360"/>
        <item sd="0" x="359"/>
        <item x="55"/>
        <item x="328"/>
        <item sd="0" x="416"/>
        <item x="113"/>
        <item x="173"/>
        <item x="261"/>
        <item x="263"/>
        <item x="111"/>
        <item x="107"/>
        <item x="390"/>
        <item x="397"/>
        <item x="404"/>
        <item x="283"/>
        <item x="281"/>
        <item x="316"/>
        <item x="317"/>
        <item x="318"/>
        <item x="319"/>
        <item x="326"/>
        <item x="321"/>
        <item x="324"/>
        <item x="320"/>
        <item x="329"/>
        <item x="323"/>
        <item x="322"/>
        <item x="284"/>
        <item x="16"/>
        <item x="423"/>
        <item x="430"/>
        <item x="311"/>
        <item x="325"/>
        <item sd="0" x="5"/>
        <item sd="0" x="6"/>
        <item x="48"/>
        <item x="10"/>
        <item sd="0" x="17"/>
        <item sd="0" x="7"/>
        <item sd="0" x="109"/>
        <item x="419"/>
        <item x="420"/>
        <item sd="0" x="421"/>
        <item sd="0" x="422"/>
        <item sd="0" x="424"/>
        <item sd="0" x="425"/>
        <item sd="0" x="426"/>
        <item sd="0" x="427"/>
        <item sd="0" x="428"/>
        <item sd="0" x="429"/>
        <item x="432"/>
        <item sd="0" x="431"/>
        <item sd="0" x="433"/>
        <item sd="0" x="434"/>
        <item sd="0" x="435"/>
        <item sd="0" x="436"/>
        <item sd="0" x="437"/>
        <item sd="0" x="438"/>
        <item sd="0" x="439"/>
        <item sd="0" x="440"/>
        <item x="330"/>
        <item x="356"/>
        <item sd="0" x="417"/>
        <item x="333"/>
        <item x="42"/>
        <item sd="0" x="22"/>
        <item sd="0" x="41"/>
        <item sd="0" x="279"/>
        <item sd="0" x="331"/>
        <item x="309"/>
        <item x="347"/>
        <item x="446"/>
        <item sd="0" x="312"/>
        <item sd="0" x="343"/>
        <item sd="0" x="43"/>
        <item sd="0" x="303"/>
        <item sd="0" x="289"/>
        <item sd="0" x="355"/>
        <item sd="0" x="441"/>
        <item sd="0" x="442"/>
        <item x="443"/>
        <item sd="0" x="444"/>
        <item t="default" sd="0"/>
      </items>
    </pivotField>
    <pivotField showAll="0"/>
    <pivotField axis="axisRow" showAll="0">
      <items count="42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9"/>
        <item x="28"/>
        <item x="23"/>
        <item x="30"/>
        <item x="32"/>
        <item x="34"/>
        <item x="35"/>
        <item x="38"/>
        <item x="2"/>
        <item x="26"/>
        <item x="19"/>
        <item x="36"/>
        <item x="40"/>
        <item x="33"/>
        <item x="18"/>
        <item x="31"/>
        <item x="25"/>
        <item x="27"/>
        <item x="14"/>
        <item x="24"/>
        <item x="37"/>
        <item x="29"/>
        <item t="default"/>
      </items>
    </pivotField>
    <pivotField showAll="0">
      <items count="39">
        <item x="3"/>
        <item x="33"/>
        <item x="2"/>
        <item x="32"/>
        <item x="23"/>
        <item x="22"/>
        <item x="5"/>
        <item x="1"/>
        <item x="34"/>
        <item x="8"/>
        <item x="12"/>
        <item x="16"/>
        <item x="4"/>
        <item x="29"/>
        <item x="35"/>
        <item x="30"/>
        <item x="24"/>
        <item x="11"/>
        <item x="7"/>
        <item x="13"/>
        <item x="9"/>
        <item x="27"/>
        <item x="15"/>
        <item x="10"/>
        <item x="21"/>
        <item x="25"/>
        <item x="36"/>
        <item x="18"/>
        <item x="19"/>
        <item x="31"/>
        <item x="14"/>
        <item x="20"/>
        <item x="17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3">
    <i>
      <x/>
    </i>
    <i r="1">
      <x v="98"/>
    </i>
    <i r="1">
      <x v="99"/>
    </i>
    <i>
      <x v="1"/>
    </i>
    <i r="1">
      <x v="52"/>
    </i>
    <i r="1">
      <x v="97"/>
    </i>
    <i r="1">
      <x v="310"/>
    </i>
    <i r="1">
      <x v="346"/>
    </i>
    <i r="1">
      <x v="348"/>
    </i>
    <i r="1">
      <x v="349"/>
    </i>
    <i r="1">
      <x v="350"/>
    </i>
    <i r="1">
      <x v="351"/>
    </i>
    <i r="1">
      <x v="354"/>
    </i>
    <i r="1">
      <x v="355"/>
    </i>
    <i r="1">
      <x v="396"/>
    </i>
    <i r="1">
      <x v="401"/>
    </i>
    <i r="1">
      <x v="402"/>
    </i>
    <i r="1">
      <x v="404"/>
    </i>
    <i r="1">
      <x v="405"/>
    </i>
    <i r="1">
      <x v="406"/>
    </i>
    <i>
      <x v="2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>
      <x v="3"/>
    </i>
    <i r="1">
      <x v="135"/>
    </i>
    <i>
      <x v="4"/>
    </i>
    <i r="1">
      <x v="85"/>
    </i>
    <i r="1">
      <x v="86"/>
    </i>
    <i r="1">
      <x v="87"/>
    </i>
    <i r="1">
      <x v="115"/>
    </i>
    <i r="1">
      <x v="116"/>
    </i>
    <i r="1">
      <x v="121"/>
    </i>
    <i r="1">
      <x v="122"/>
    </i>
    <i r="1">
      <x v="306"/>
    </i>
    <i r="1">
      <x v="307"/>
    </i>
    <i r="1">
      <x v="403"/>
    </i>
    <i r="1">
      <x v="432"/>
    </i>
    <i r="1">
      <x v="434"/>
    </i>
    <i r="1">
      <x v="442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47"/>
    </i>
    <i r="1">
      <x v="48"/>
    </i>
    <i r="1">
      <x v="49"/>
    </i>
    <i r="1">
      <x v="56"/>
    </i>
    <i r="1">
      <x v="77"/>
    </i>
    <i r="1">
      <x v="84"/>
    </i>
    <i r="1">
      <x v="123"/>
    </i>
    <i r="1">
      <x v="293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70"/>
    </i>
    <i>
      <x v="6"/>
    </i>
    <i r="1">
      <x v="2"/>
    </i>
    <i r="1">
      <x v="30"/>
    </i>
    <i r="1">
      <x v="31"/>
    </i>
    <i r="1">
      <x v="32"/>
    </i>
    <i r="1">
      <x v="39"/>
    </i>
    <i r="1">
      <x v="367"/>
    </i>
    <i>
      <x v="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125"/>
    </i>
    <i r="1">
      <x v="126"/>
    </i>
    <i r="1">
      <x v="127"/>
    </i>
    <i r="1">
      <x v="128"/>
    </i>
    <i r="1">
      <x v="129"/>
    </i>
    <i>
      <x v="8"/>
    </i>
    <i r="1">
      <x v="136"/>
    </i>
    <i r="1">
      <x v="309"/>
    </i>
    <i r="1">
      <x v="378"/>
    </i>
    <i>
      <x v="9"/>
    </i>
    <i r="1">
      <x v="357"/>
    </i>
    <i r="1">
      <x v="407"/>
    </i>
    <i>
      <x v="10"/>
    </i>
    <i r="1">
      <x v="54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373"/>
    </i>
    <i r="1">
      <x v="374"/>
    </i>
    <i r="1">
      <x v="375"/>
    </i>
    <i r="1">
      <x v="376"/>
    </i>
    <i r="1">
      <x v="377"/>
    </i>
    <i>
      <x v="11"/>
    </i>
    <i r="1">
      <x v="138"/>
    </i>
    <i r="1">
      <x v="139"/>
    </i>
    <i r="1">
      <x v="305"/>
    </i>
    <i>
      <x v="12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435"/>
    </i>
    <i>
      <x v="13"/>
    </i>
    <i r="1">
      <x v="38"/>
    </i>
    <i r="1">
      <x v="50"/>
    </i>
    <i r="1">
      <x v="130"/>
    </i>
    <i r="1">
      <x v="347"/>
    </i>
    <i>
      <x v="14"/>
    </i>
    <i r="1">
      <x v="42"/>
    </i>
    <i r="1">
      <x v="43"/>
    </i>
    <i r="1">
      <x v="57"/>
    </i>
    <i r="1">
      <x v="444"/>
    </i>
    <i>
      <x v="15"/>
    </i>
    <i r="1">
      <x v="44"/>
    </i>
    <i>
      <x v="16"/>
    </i>
    <i r="1">
      <x/>
    </i>
    <i r="1">
      <x v="1"/>
    </i>
    <i r="1">
      <x v="13"/>
    </i>
    <i r="1">
      <x v="14"/>
    </i>
    <i>
      <x v="17"/>
    </i>
    <i r="1">
      <x v="19"/>
    </i>
    <i r="1">
      <x v="51"/>
    </i>
    <i r="1">
      <x v="443"/>
    </i>
    <i>
      <x v="18"/>
    </i>
    <i r="1">
      <x v="41"/>
    </i>
    <i r="1">
      <x v="53"/>
    </i>
    <i r="1">
      <x v="55"/>
    </i>
    <i>
      <x v="19"/>
    </i>
    <i r="1">
      <x v="356"/>
    </i>
    <i>
      <x v="20"/>
    </i>
    <i r="1">
      <x v="301"/>
    </i>
    <i r="1">
      <x v="302"/>
    </i>
    <i r="1">
      <x v="303"/>
    </i>
    <i r="1">
      <x v="304"/>
    </i>
    <i>
      <x v="21"/>
    </i>
    <i r="1">
      <x v="12"/>
    </i>
    <i r="1">
      <x v="114"/>
    </i>
    <i r="1">
      <x v="308"/>
    </i>
    <i r="1">
      <x v="367"/>
    </i>
    <i r="1">
      <x v="371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9"/>
    </i>
    <i r="1">
      <x v="400"/>
    </i>
    <i r="1">
      <x v="428"/>
    </i>
    <i r="1">
      <x v="437"/>
    </i>
    <i r="1">
      <x v="440"/>
    </i>
    <i>
      <x v="22"/>
    </i>
    <i r="1">
      <x v="441"/>
    </i>
    <i>
      <x v="23"/>
    </i>
    <i r="1">
      <x v="3"/>
    </i>
    <i>
      <x v="24"/>
    </i>
    <i r="1">
      <x v="15"/>
    </i>
    <i r="1">
      <x v="16"/>
    </i>
    <i r="1">
      <x v="17"/>
    </i>
    <i r="1">
      <x v="45"/>
    </i>
    <i r="1">
      <x v="46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133"/>
    </i>
    <i r="1">
      <x v="134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68"/>
    </i>
    <i r="1">
      <x v="369"/>
    </i>
    <i r="1">
      <x v="372"/>
    </i>
    <i r="1">
      <x v="379"/>
    </i>
    <i r="1">
      <x v="380"/>
    </i>
    <i r="1">
      <x v="381"/>
    </i>
    <i r="1">
      <x v="429"/>
    </i>
    <i r="1">
      <x v="430"/>
    </i>
    <i r="1">
      <x v="445"/>
    </i>
    <i>
      <x v="25"/>
    </i>
    <i r="1">
      <x v="40"/>
    </i>
    <i r="1">
      <x v="397"/>
    </i>
    <i r="1">
      <x v="398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46"/>
    </i>
    <i r="1">
      <x v="447"/>
    </i>
    <i r="1">
      <x v="448"/>
    </i>
    <i r="1">
      <x v="449"/>
    </i>
    <i>
      <x v="26"/>
    </i>
    <i r="1">
      <x v="120"/>
    </i>
    <i>
      <x v="27"/>
    </i>
    <i r="1">
      <x v="117"/>
    </i>
    <i r="1">
      <x v="118"/>
    </i>
    <i r="1">
      <x v="119"/>
    </i>
    <i r="1">
      <x v="124"/>
    </i>
    <i r="1">
      <x v="433"/>
    </i>
    <i>
      <x v="28"/>
    </i>
    <i r="1">
      <x v="436"/>
    </i>
    <i>
      <x v="29"/>
    </i>
    <i r="1">
      <x v="137"/>
    </i>
    <i r="1">
      <x v="352"/>
    </i>
    <i r="1">
      <x v="353"/>
    </i>
    <i>
      <x v="30"/>
    </i>
    <i r="1">
      <x v="10"/>
    </i>
    <i>
      <x v="31"/>
    </i>
    <i r="1">
      <x v="100"/>
    </i>
    <i>
      <x v="32"/>
    </i>
    <i r="1">
      <x v="438"/>
    </i>
    <i>
      <x v="33"/>
    </i>
    <i r="1">
      <x v="358"/>
    </i>
    <i>
      <x v="34"/>
    </i>
    <i r="1">
      <x v="95"/>
    </i>
    <i r="1">
      <x v="96"/>
    </i>
    <i>
      <x v="35"/>
    </i>
    <i r="1">
      <x v="11"/>
    </i>
    <i>
      <x v="36"/>
    </i>
    <i r="1">
      <x v="340"/>
    </i>
    <i r="1">
      <x v="341"/>
    </i>
    <i r="1">
      <x v="342"/>
    </i>
    <i r="1">
      <x v="343"/>
    </i>
    <i r="1">
      <x v="431"/>
    </i>
    <i>
      <x v="37"/>
    </i>
    <i r="1">
      <x v="344"/>
    </i>
    <i r="1">
      <x v="345"/>
    </i>
    <i r="1">
      <x v="382"/>
    </i>
    <i r="1">
      <x v="383"/>
    </i>
    <i r="1">
      <x v="395"/>
    </i>
    <i>
      <x v="38"/>
    </i>
    <i r="1">
      <x v="101"/>
    </i>
    <i r="1">
      <x v="359"/>
    </i>
    <i>
      <x v="39"/>
    </i>
    <i r="1">
      <x v="439"/>
    </i>
    <i>
      <x v="40"/>
    </i>
    <i r="1">
      <x v="131"/>
    </i>
    <i r="1">
      <x v="13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4.09.2026" fld="120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8"/>
            <x v="99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2"/>
            <x v="97"/>
            <x v="310"/>
            <x v="351"/>
            <x v="354"/>
            <x v="355"/>
            <x v="401"/>
            <x v="402"/>
            <x v="405"/>
            <x v="406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2"/>
            <x v="103"/>
            <x v="104"/>
            <x v="105"/>
            <x v="107"/>
            <x v="108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5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5"/>
            <x v="86"/>
            <x v="87"/>
            <x v="121"/>
            <x v="122"/>
            <x v="307"/>
            <x v="434"/>
            <x v="442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8"/>
            <x v="20"/>
            <x v="21"/>
            <x v="25"/>
            <x v="26"/>
            <x v="27"/>
            <x v="35"/>
            <x v="47"/>
            <x v="56"/>
            <x v="77"/>
            <x v="123"/>
            <x v="360"/>
            <x v="361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30"/>
            <x v="31"/>
            <x v="39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8"/>
            <x v="89"/>
            <x v="91"/>
            <x v="93"/>
            <x v="125"/>
            <x v="126"/>
            <x v="127"/>
            <x v="128"/>
            <x v="129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57"/>
            <x v="407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8"/>
            <x v="139"/>
            <x v="305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4"/>
            <x v="295"/>
            <x v="297"/>
            <x v="298"/>
            <x v="299"/>
            <x v="435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8"/>
            <x v="50"/>
            <x v="130"/>
            <x v="347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2"/>
            <x v="57"/>
            <x v="444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4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43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56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301"/>
            <x v="302"/>
            <x v="303"/>
            <x v="304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40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41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5"/>
            <x v="16"/>
            <x v="17"/>
            <x v="45"/>
            <x v="46"/>
            <x v="59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81"/>
            <x v="83"/>
            <x v="311"/>
            <x v="312"/>
            <x v="313"/>
            <x v="314"/>
            <x v="315"/>
            <x v="317"/>
            <x v="318"/>
            <x v="319"/>
            <x v="321"/>
            <x v="322"/>
            <x v="323"/>
            <x v="326"/>
            <x v="328"/>
            <x v="329"/>
            <x v="332"/>
            <x v="335"/>
            <x v="336"/>
            <x v="337"/>
            <x v="338"/>
            <x v="369"/>
            <x v="372"/>
            <x v="430"/>
            <x v="445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40"/>
            <x v="410"/>
            <x v="411"/>
            <x v="412"/>
            <x v="413"/>
            <x v="414"/>
            <x v="415"/>
            <x v="416"/>
            <x v="417"/>
            <x v="419"/>
            <x v="420"/>
            <x v="421"/>
            <x v="422"/>
            <x v="423"/>
            <x v="424"/>
            <x v="425"/>
            <x v="426"/>
            <x v="427"/>
            <x v="446"/>
            <x v="447"/>
            <x v="449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20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8"/>
            <x v="99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2"/>
            <x v="97"/>
            <x v="310"/>
            <x v="351"/>
            <x v="354"/>
            <x v="355"/>
            <x v="401"/>
            <x v="402"/>
            <x v="405"/>
            <x v="406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2"/>
            <x v="103"/>
            <x v="104"/>
            <x v="105"/>
            <x v="107"/>
            <x v="108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5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5"/>
            <x v="86"/>
            <x v="87"/>
            <x v="121"/>
            <x v="122"/>
            <x v="307"/>
            <x v="434"/>
            <x v="442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8"/>
            <x v="20"/>
            <x v="21"/>
            <x v="25"/>
            <x v="26"/>
            <x v="27"/>
            <x v="35"/>
            <x v="47"/>
            <x v="56"/>
            <x v="77"/>
            <x v="123"/>
            <x v="360"/>
            <x v="361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30"/>
            <x v="31"/>
            <x v="39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8"/>
            <x v="89"/>
            <x v="91"/>
            <x v="93"/>
            <x v="125"/>
            <x v="126"/>
            <x v="127"/>
            <x v="128"/>
            <x v="129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57"/>
            <x v="407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41"/>
            <x v="242"/>
            <x v="243"/>
            <x v="244"/>
            <x v="245"/>
            <x v="246"/>
            <x v="247"/>
            <x v="248"/>
            <x v="249"/>
            <x v="250"/>
            <x v="251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8"/>
            <x v="139"/>
            <x v="305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4"/>
            <x v="295"/>
            <x v="297"/>
            <x v="298"/>
            <x v="299"/>
            <x v="435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8"/>
            <x v="50"/>
            <x v="130"/>
            <x v="347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2"/>
            <x v="57"/>
            <x v="444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4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43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56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301"/>
            <x v="302"/>
            <x v="303"/>
            <x v="304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40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41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5"/>
            <x v="16"/>
            <x v="17"/>
            <x v="45"/>
            <x v="46"/>
            <x v="59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4"/>
            <x v="75"/>
            <x v="81"/>
            <x v="83"/>
            <x v="311"/>
            <x v="312"/>
            <x v="313"/>
            <x v="314"/>
            <x v="315"/>
            <x v="317"/>
            <x v="318"/>
            <x v="319"/>
            <x v="321"/>
            <x v="322"/>
            <x v="323"/>
            <x v="326"/>
            <x v="328"/>
            <x v="329"/>
            <x v="332"/>
            <x v="335"/>
            <x v="336"/>
            <x v="337"/>
            <x v="338"/>
            <x v="369"/>
            <x v="372"/>
            <x v="430"/>
            <x v="445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40"/>
            <x v="410"/>
            <x v="411"/>
            <x v="412"/>
            <x v="413"/>
            <x v="414"/>
            <x v="415"/>
            <x v="416"/>
            <x v="417"/>
            <x v="419"/>
            <x v="420"/>
            <x v="421"/>
            <x v="422"/>
            <x v="423"/>
            <x v="424"/>
            <x v="425"/>
            <x v="426"/>
            <x v="427"/>
            <x v="446"/>
            <x v="447"/>
            <x v="449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20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30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9"/>
            <x v="81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33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9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72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30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45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5"/>
          </reference>
        </references>
      </pivotArea>
    </format>
    <format dxfId="204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6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69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8"/>
            <x v="79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2"/>
            <x v="83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1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11"/>
            <x v="313"/>
            <x v="314"/>
            <x v="315"/>
            <x v="316"/>
            <x v="317"/>
            <x v="318"/>
            <x v="319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79"/>
            <x v="380"/>
            <x v="381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69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43"/>
            <x v="431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43"/>
            <x v="431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60255292">
      <items count="41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9" s="1"/>
        <i x="24" s="1"/>
        <i x="25" s="1"/>
        <i x="28" s="1"/>
        <i x="29" s="1"/>
        <i x="23" s="1"/>
        <i x="30" s="1"/>
        <i x="31" s="1"/>
        <i x="32" s="1"/>
        <i x="33" s="1"/>
        <i x="34" s="1"/>
        <i x="35" s="1"/>
        <i x="36" s="1"/>
        <i x="37" s="1"/>
        <i x="40" s="1"/>
        <i x="38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60255292">
      <items count="38">
        <i x="3" s="1"/>
        <i x="33" s="1"/>
        <i x="2" s="1"/>
        <i x="32" s="1"/>
        <i x="23" s="1"/>
        <i x="22" s="1"/>
        <i x="5" s="1"/>
        <i x="1" s="1"/>
        <i x="34" s="1"/>
        <i x="8" s="1"/>
        <i x="12" s="1"/>
        <i x="16" s="1"/>
        <i x="4" s="1"/>
        <i x="29" s="1"/>
        <i x="35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6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3" totalsRowShown="0" headerRowDxfId="192" dataDxfId="190" headerRowBorderDxfId="191" tableBorderDxfId="189" totalsRowBorderDxfId="188">
  <autoFilter ref="K5:L113" xr:uid="{E5E02A0B-EBAC-497B-8F95-E1A614B153BB}">
    <filterColumn colId="0" hiddenButton="1"/>
    <filterColumn colId="1" hiddenButton="1"/>
  </autoFilter>
  <sortState xmlns:xlrd2="http://schemas.microsoft.com/office/spreadsheetml/2017/richdata2" ref="K6:L113">
    <sortCondition descending="1" ref="K85:K113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IFERROR(VLOOKUP($A$2,Stok!$B$1:$AM$454,7,0),"")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8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4" t="s">
        <v>1584</v>
      </c>
      <c r="Z1" s="135"/>
      <c r="AA1" s="135"/>
      <c r="AB1" s="135"/>
      <c r="AC1" s="135"/>
      <c r="AD1" s="135"/>
      <c r="AE1" s="135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IFERROR(VLOOKUP(A2,Stok!B1:BA454,2,0),"")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6" t="str">
        <f>L7</f>
        <v/>
      </c>
      <c r="Y2" s="136"/>
      <c r="Z2" s="136"/>
      <c r="AA2" s="136"/>
      <c r="AB2" s="136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1594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7">
        <v>1</v>
      </c>
      <c r="J6" s="53"/>
      <c r="K6" s="58">
        <v>46279</v>
      </c>
      <c r="L6" s="59" t="str">
        <f>IFERROR(VLOOKUP($A$2,Stok!$B$1:$DQ$454,120,0),"")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7">
        <v>0</v>
      </c>
      <c r="J7" s="53"/>
      <c r="K7" s="58">
        <v>46272</v>
      </c>
      <c r="L7" s="59" t="str">
        <f>IFERROR(VLOOKUP($A$2,Stok!$B$1:$DP$454,119,0),"")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7">
        <v>1</v>
      </c>
      <c r="J8" s="53"/>
      <c r="K8" s="58">
        <v>46265</v>
      </c>
      <c r="L8" s="59" t="str">
        <f>IFERROR(VLOOKUP($A$2,Stok!$B$1:$DO$452,118,0),"")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7">
        <v>127</v>
      </c>
      <c r="J9" s="53"/>
      <c r="K9" s="58">
        <v>46258</v>
      </c>
      <c r="L9" s="59" t="str">
        <f>IFERROR(VLOOKUP($A$2,Stok!$B$1:$DN$454,117,0),"")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7">
        <v>1</v>
      </c>
      <c r="J10" s="53"/>
      <c r="K10" s="58">
        <v>46251</v>
      </c>
      <c r="L10" s="59" t="str">
        <f>IFERROR(VLOOKUP($A$2,Stok!$B$1:$DM$454,116,0),"")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7">
        <v>1</v>
      </c>
      <c r="J11" s="53"/>
      <c r="K11" s="58">
        <v>46244</v>
      </c>
      <c r="L11" s="59" t="str">
        <f>IFERROR(VLOOKUP($A$2,Stok!$B$1:$DL$454,115,0),"")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7">
        <v>1</v>
      </c>
      <c r="J12" s="53"/>
      <c r="K12" s="58">
        <v>46237</v>
      </c>
      <c r="L12" s="59" t="str">
        <f>IFERROR(VLOOKUP($A$2,Stok!$B$1:$DK$454,114,0),"")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7">
        <v>0</v>
      </c>
      <c r="J13" s="53"/>
      <c r="K13" s="58">
        <v>46223</v>
      </c>
      <c r="L13" s="59" t="str">
        <f>IFERROR(VLOOKUP($A$2,Stok!$B$1:$DJ$454,113,0),"")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7">
        <v>0</v>
      </c>
      <c r="J14" s="53"/>
      <c r="K14" s="58">
        <v>46216</v>
      </c>
      <c r="L14" s="59" t="str">
        <f>IFERROR(VLOOKUP($A$2,Stok!$B$1:$DI$454,112,0),"")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7">
        <v>0</v>
      </c>
      <c r="J15" s="53"/>
      <c r="K15" s="58">
        <v>46209</v>
      </c>
      <c r="L15" s="59" t="str">
        <f>IFERROR(VLOOKUP($A$2,Stok!$B$1:$DH$454,111,0),"")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7">
        <v>0</v>
      </c>
      <c r="J16" s="53"/>
      <c r="K16" s="58">
        <v>46202</v>
      </c>
      <c r="L16" s="59" t="str">
        <f>IFERROR(VLOOKUP($A$2,Stok!$B$1:$DG$454,110,0),"")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7">
        <v>0</v>
      </c>
      <c r="J17" s="53"/>
      <c r="K17" s="58">
        <v>46195</v>
      </c>
      <c r="L17" s="59" t="str">
        <f>IFERROR(VLOOKUP($A$2,Stok!$B$1:$DF$454,109,0),"")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7">
        <v>1</v>
      </c>
      <c r="J18" s="53"/>
      <c r="K18" s="58">
        <v>46188</v>
      </c>
      <c r="L18" s="59" t="str">
        <f>IFERROR(VLOOKUP($A$2,Stok!$B$1:$DE$454,108,0),"")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7">
        <v>14</v>
      </c>
      <c r="J19" s="53"/>
      <c r="K19" s="58">
        <v>46181</v>
      </c>
      <c r="L19" s="59" t="str">
        <f>IFERROR(VLOOKUP($A$2,Stok!$B$1:$DD$454,107,0),"")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7">
        <v>1</v>
      </c>
      <c r="J20" s="53"/>
      <c r="K20" s="58">
        <v>46174</v>
      </c>
      <c r="L20" s="59" t="str">
        <f>IFERROR(VLOOKUP($A$2,Stok!$B$1:$DC$454,106,0),"")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7">
        <v>56</v>
      </c>
      <c r="J21" s="53"/>
      <c r="K21" s="58">
        <v>46160</v>
      </c>
      <c r="L21" s="59" t="str">
        <f>IFERROR(VLOOKUP($A$2,Stok!$B$1:$DB$454,105,0),"")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7">
        <v>43</v>
      </c>
      <c r="J22" s="53"/>
      <c r="K22" s="58">
        <v>46153</v>
      </c>
      <c r="L22" s="59" t="str">
        <f>IFERROR(VLOOKUP($A$2,Stok!$B$1:$DA$454,104,0),"")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7">
        <v>0</v>
      </c>
      <c r="J23" s="53"/>
      <c r="K23" s="58">
        <v>46146</v>
      </c>
      <c r="L23" s="59" t="str">
        <f>IFERROR(VLOOKUP($A$2,Stok!$B$1:$CZ$454,103,0),"")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7">
        <v>9</v>
      </c>
      <c r="J24" s="53"/>
      <c r="K24" s="58">
        <v>46139</v>
      </c>
      <c r="L24" s="59" t="str">
        <f>IFERROR(VLOOKUP($A$2,Stok!$B$1:$CY$454,102,0),"")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7">
        <v>0</v>
      </c>
      <c r="J25" s="53"/>
      <c r="K25" s="58">
        <v>46132</v>
      </c>
      <c r="L25" s="59" t="str">
        <f>IFERROR(VLOOKUP($A$2,Stok!$B$1:$CX$454,101,0),"")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7">
        <v>845</v>
      </c>
      <c r="J26" s="53"/>
      <c r="K26" s="58">
        <v>46125</v>
      </c>
      <c r="L26" s="59" t="str">
        <f>IFERROR(VLOOKUP($A$2,Stok!$B$1:$CW$454,100,0),"")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7">
        <v>500</v>
      </c>
      <c r="J27" s="53"/>
      <c r="K27" s="58">
        <v>46118</v>
      </c>
      <c r="L27" s="59" t="str">
        <f>IFERROR(VLOOKUP($A$2,Stok!$B$1:$CV$454,99,0),"")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7">
        <v>0</v>
      </c>
      <c r="J28" s="53"/>
      <c r="K28" s="58">
        <v>46111</v>
      </c>
      <c r="L28" s="59" t="str">
        <f>IFERROR(VLOOKUP($A$2,Stok!$B$1:$CU$454,98,0),"")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7">
        <v>1</v>
      </c>
      <c r="J29" s="53"/>
      <c r="K29" s="58">
        <v>46104</v>
      </c>
      <c r="L29" s="59" t="str">
        <f>IFERROR(VLOOKUP($A$2,Stok!$B$1:$CT$454,97,0),"")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7">
        <v>207</v>
      </c>
      <c r="J30" s="53"/>
      <c r="K30" s="58">
        <v>46097</v>
      </c>
      <c r="L30" s="59" t="str">
        <f>IFERROR(VLOOKUP($A$2,Stok!$B$1:$CS$454,96,0),"")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7">
        <v>24</v>
      </c>
      <c r="J31" s="53"/>
      <c r="K31" s="58">
        <v>46090</v>
      </c>
      <c r="L31" s="59" t="str">
        <f>IFERROR(VLOOKUP($A$2,Stok!$B$1:$CR$454,95,0),"")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7">
        <v>28</v>
      </c>
      <c r="J32" s="53"/>
      <c r="K32" s="58">
        <v>46083</v>
      </c>
      <c r="L32" s="59" t="str">
        <f>IFERROR(VLOOKUP($A$2,Stok!$B$1:$CQ$454,94,0),"")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7">
        <v>28</v>
      </c>
      <c r="J33" s="53"/>
      <c r="K33" s="58">
        <v>46076</v>
      </c>
      <c r="L33" s="59" t="str">
        <f>IFERROR(VLOOKUP($A$2,Stok!$B$1:$CP$454,93,0),"")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7">
        <v>30</v>
      </c>
      <c r="J34" s="53"/>
      <c r="K34" s="58">
        <v>46069</v>
      </c>
      <c r="L34" s="59" t="str">
        <f>IFERROR(VLOOKUP($A$2,Stok!$B$1:$CO$454,92,0),"")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7">
        <v>10</v>
      </c>
      <c r="J35" s="53"/>
      <c r="K35" s="58">
        <v>46062</v>
      </c>
      <c r="L35" s="59" t="str">
        <f>IFERROR(VLOOKUP($A$2,Stok!$B$1:$CN$454,91,0),"")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7">
        <v>2</v>
      </c>
      <c r="J36" s="53"/>
      <c r="K36" s="58">
        <v>46055</v>
      </c>
      <c r="L36" s="59" t="str">
        <f>IFERROR(VLOOKUP($A$2,Stok!$B$1:$CM$454,90,0),"")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7">
        <v>2</v>
      </c>
      <c r="J37" s="53"/>
      <c r="K37" s="58">
        <v>46048</v>
      </c>
      <c r="L37" s="59" t="str">
        <f>IFERROR(VLOOKUP($A$2,Stok!$B$1:$CL$454,89,0),"")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7">
        <v>13</v>
      </c>
      <c r="J38" s="53"/>
      <c r="K38" s="58">
        <v>46041</v>
      </c>
      <c r="L38" s="59" t="str">
        <f>IFERROR(VLOOKUP($A$2,Stok!$B$1:$CK$454,88,0),"")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7">
        <v>2</v>
      </c>
      <c r="J39" s="53"/>
      <c r="K39" s="58">
        <v>46034</v>
      </c>
      <c r="L39" s="59" t="str">
        <f>IFERROR(VLOOKUP($A$2,Stok!$B$1:$CJ$454,87,0),"")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7">
        <v>2</v>
      </c>
      <c r="J40" s="53"/>
      <c r="K40" s="58">
        <v>46027</v>
      </c>
      <c r="L40" s="59" t="str">
        <f>IFERROR(VLOOKUP($A$2,Stok!$B$1:$CI$454,86,0),"")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7">
        <v>42</v>
      </c>
      <c r="J41" s="53"/>
      <c r="K41" s="58">
        <v>46020</v>
      </c>
      <c r="L41" s="59" t="str">
        <f>IFERROR(VLOOKUP($A$2,Stok!$B$1:$CH$454,85,0),"")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7">
        <v>1</v>
      </c>
      <c r="J42" s="53"/>
      <c r="K42" s="58">
        <v>46013</v>
      </c>
      <c r="L42" s="59" t="str">
        <f>IFERROR(VLOOKUP($A$2,Stok!$B$1:$CG$454,84,0),"")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7">
        <v>0</v>
      </c>
      <c r="J43" s="53"/>
      <c r="K43" s="58">
        <v>46006</v>
      </c>
      <c r="L43" s="59" t="str">
        <f>IFERROR(VLOOKUP($A$2,Stok!$B$1:$CF$454,83,0),"")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7">
        <v>1</v>
      </c>
      <c r="J44" s="53"/>
      <c r="K44" s="58">
        <v>45999</v>
      </c>
      <c r="L44" s="59" t="str">
        <f>IFERROR(VLOOKUP($A$2,Stok!$B$1:$CE$454,82,0),"")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7">
        <v>8</v>
      </c>
      <c r="J45" s="53"/>
      <c r="K45" s="58">
        <v>45992</v>
      </c>
      <c r="L45" s="59" t="str">
        <f>IFERROR(VLOOKUP($A$2,Stok!$B$1:$CD$454,81,0),"")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7">
        <v>2</v>
      </c>
      <c r="J46" s="53"/>
      <c r="K46" s="58">
        <v>45985</v>
      </c>
      <c r="L46" s="59" t="str">
        <f>IFERROR(VLOOKUP($A$2,Stok!$B$1:$CC$454,80,0),"")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7">
        <v>1</v>
      </c>
      <c r="J47" s="53"/>
      <c r="K47" s="58">
        <v>45978</v>
      </c>
      <c r="L47" s="59" t="str">
        <f>IFERROR(VLOOKUP($A$2,Stok!$B$1:$CB$454,79,0),"")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7">
        <v>0</v>
      </c>
      <c r="J48" s="53"/>
      <c r="K48" s="58">
        <v>45971</v>
      </c>
      <c r="L48" s="59" t="str">
        <f>IFERROR(VLOOKUP($A$2,Stok!$B$1:$CA$454,78,0),"")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7">
        <v>4</v>
      </c>
      <c r="J49" s="53"/>
      <c r="K49" s="58">
        <v>45964</v>
      </c>
      <c r="L49" s="59" t="str">
        <f>IFERROR(VLOOKUP($A$2,Stok!$B$1:$BZ$454,77,0),"")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7">
        <v>18</v>
      </c>
      <c r="J50" s="53"/>
      <c r="K50" s="58">
        <v>45950</v>
      </c>
      <c r="L50" s="59" t="str">
        <f>IFERROR(VLOOKUP($A$2,Stok!$B$1:$BY$454,76,0),"")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7">
        <v>0</v>
      </c>
      <c r="J51" s="53"/>
      <c r="K51" s="58">
        <v>45943</v>
      </c>
      <c r="L51" s="59" t="str">
        <f>IFERROR(VLOOKUP($A$2,Stok!$B$1:$BX$454,75,0),"")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7">
        <v>0</v>
      </c>
      <c r="J52" s="53"/>
      <c r="K52" s="58">
        <v>45936</v>
      </c>
      <c r="L52" s="59" t="str">
        <f>IFERROR(VLOOKUP($A$2,Stok!$B$1:$BW$454,74,0),"")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7">
        <v>7</v>
      </c>
      <c r="J53" s="53"/>
      <c r="K53" s="58">
        <v>45929</v>
      </c>
      <c r="L53" s="59" t="str">
        <f>IFERROR(VLOOKUP($A$2,Stok!$B$1:$BV$454,73,0),"")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7">
        <v>0</v>
      </c>
      <c r="J54" s="53"/>
      <c r="K54" s="58">
        <v>45919</v>
      </c>
      <c r="L54" s="59" t="str">
        <f>IFERROR(VLOOKUP($A$2,Stok!$B$1:$BU$454,72,0),"")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7">
        <v>646</v>
      </c>
      <c r="J55" s="53"/>
      <c r="K55" s="58">
        <v>45908</v>
      </c>
      <c r="L55" s="59" t="str">
        <f>IFERROR(VLOOKUP($A$2,Stok!$B$1:$BT$454,71,0),"")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7">
        <v>8</v>
      </c>
      <c r="J56" s="53"/>
      <c r="K56" s="58">
        <v>45896</v>
      </c>
      <c r="L56" s="59" t="str">
        <f>IFERROR(VLOOKUP($A$2,Stok!$B$1:$BS$454,70,0),"")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7">
        <v>0</v>
      </c>
      <c r="J57" s="53"/>
      <c r="K57" s="58">
        <v>45866</v>
      </c>
      <c r="L57" s="59" t="str">
        <f>IFERROR(VLOOKUP($A$2,Stok!$B$1:$BR$454,69,0),"")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7">
        <v>10</v>
      </c>
      <c r="J58" s="53"/>
      <c r="K58" s="58">
        <v>45840</v>
      </c>
      <c r="L58" s="59" t="str">
        <f>IFERROR(VLOOKUP($A$2,Stok!$B$1:$BQ$454,68,0),"")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7">
        <v>73</v>
      </c>
      <c r="J59" s="53"/>
      <c r="K59" s="58">
        <v>45824</v>
      </c>
      <c r="L59" s="59" t="str">
        <f>IFERROR(VLOOKUP($A$2,Stok!$B$1:$BP$454,67,0),"")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7">
        <v>0</v>
      </c>
      <c r="J60" s="53"/>
      <c r="K60" s="58">
        <v>45805</v>
      </c>
      <c r="L60" s="59" t="str">
        <f>IFERROR(VLOOKUP($A$2,Stok!$B$1:$BO$454,66,0),"")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7">
        <v>0</v>
      </c>
      <c r="J61" s="53"/>
      <c r="K61" s="58">
        <v>45797</v>
      </c>
      <c r="L61" s="59" t="str">
        <f>IFERROR(VLOOKUP($A$2,Stok!$B$1:$BN$454,65,0),"")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7">
        <v>38</v>
      </c>
      <c r="J62" s="53"/>
      <c r="K62" s="58">
        <v>45783</v>
      </c>
      <c r="L62" s="59" t="str">
        <f>IFERROR(VLOOKUP($A$2,Stok!$B$1:$BM$454,64,0),"")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7">
        <v>0</v>
      </c>
      <c r="J63" s="53"/>
      <c r="K63" s="58">
        <v>45769</v>
      </c>
      <c r="L63" s="59" t="str">
        <f>IFERROR(VLOOKUP($A$2,Stok!$B$1:$BL$454,63,0),"")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7">
        <v>0</v>
      </c>
      <c r="J64" s="53"/>
      <c r="K64" s="58">
        <v>45762</v>
      </c>
      <c r="L64" s="59" t="str">
        <f>IFERROR(VLOOKUP($A$2,Stok!$B$1:$BK$454,62,0),"")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7">
        <v>0</v>
      </c>
      <c r="J65" s="53"/>
      <c r="K65" s="58">
        <v>45750</v>
      </c>
      <c r="L65" s="59" t="str">
        <f>IFERROR(VLOOKUP($A$2,Stok!$B$1:$BJ$454,61,0),"")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7">
        <v>0</v>
      </c>
      <c r="J66" s="53"/>
      <c r="K66" s="58">
        <v>45741</v>
      </c>
      <c r="L66" s="59" t="str">
        <f>IFERROR(VLOOKUP($A$2,Stok!$B$1:$BI$454,60,0),"")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7">
        <v>0</v>
      </c>
      <c r="J67" s="53"/>
      <c r="K67" s="58">
        <v>45736</v>
      </c>
      <c r="L67" s="59" t="str">
        <f>IFERROR(VLOOKUP($A$2,Stok!$B$1:$BH$454,59,0),"")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7">
        <v>24</v>
      </c>
      <c r="J68" s="53"/>
      <c r="K68" s="58">
        <v>45726</v>
      </c>
      <c r="L68" s="59" t="str">
        <f>IFERROR(VLOOKUP($A$2,Stok!$B$1:$BG$454,58,0),"")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7">
        <v>161</v>
      </c>
      <c r="J69" s="53"/>
      <c r="K69" s="58">
        <v>45723</v>
      </c>
      <c r="L69" s="59" t="str">
        <f>IFERROR(VLOOKUP($A$2,Stok!$B$1:$BF$454,57,0),"")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7">
        <v>0</v>
      </c>
      <c r="J70" s="53"/>
      <c r="K70" s="58">
        <v>45716</v>
      </c>
      <c r="L70" s="59" t="str">
        <f>IFERROR(VLOOKUP($A$2,Stok!$B$1:$BE$454,56,0),"")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7">
        <v>0</v>
      </c>
      <c r="J71" s="53"/>
      <c r="K71" s="58">
        <v>45712</v>
      </c>
      <c r="L71" s="59" t="str">
        <f>IFERROR(VLOOKUP($A$2,Stok!$B$1:$BD$454,55,0),"")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7">
        <v>0</v>
      </c>
      <c r="J72" s="53"/>
      <c r="K72" s="58">
        <v>45705</v>
      </c>
      <c r="L72" s="59" t="str">
        <f>IFERROR(VLOOKUP($A$2,Stok!$B$1:$BC$454,54,0),"")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7">
        <v>0</v>
      </c>
      <c r="J73" s="53"/>
      <c r="K73" s="58">
        <v>45702</v>
      </c>
      <c r="L73" s="59" t="str">
        <f>IFERROR(VLOOKUP($A$2,Stok!$B$1:$BB$454,53,0),"")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7">
        <v>0</v>
      </c>
      <c r="J74" s="53"/>
      <c r="K74" s="58">
        <v>45698</v>
      </c>
      <c r="L74" s="59" t="str">
        <f>IFERROR(VLOOKUP($A$2,Stok!$B$1:$BA$454,52,0),"")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7">
        <v>6</v>
      </c>
      <c r="J75" s="53"/>
      <c r="K75" s="58">
        <v>45691</v>
      </c>
      <c r="L75" s="59" t="str">
        <f>IFERROR(VLOOKUP($A$2,Stok!$B$1:$AZ$454,51,0),"")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7">
        <v>0</v>
      </c>
      <c r="J76" s="53"/>
      <c r="K76" s="58">
        <v>45684</v>
      </c>
      <c r="L76" s="59" t="str">
        <f>IFERROR(VLOOKUP($A$2,Stok!$B$1:$AY$454,50,0),"")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7">
        <v>128</v>
      </c>
      <c r="J77" s="53"/>
      <c r="K77" s="58">
        <v>45677</v>
      </c>
      <c r="L77" s="59" t="str">
        <f>IFERROR(VLOOKUP($A$2,Stok!$B$1:$AX$454,49,0),"")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7">
        <v>27</v>
      </c>
      <c r="J78" s="53"/>
      <c r="K78" s="58">
        <v>45672</v>
      </c>
      <c r="L78" s="59" t="str">
        <f>IFERROR(VLOOKUP($A$2,Stok!$B$1:$AW$454,48,0),"")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7">
        <v>0</v>
      </c>
      <c r="J79" s="53"/>
      <c r="K79" s="58">
        <v>45656</v>
      </c>
      <c r="L79" s="59" t="str">
        <f>IFERROR(VLOOKUP($A$2,Stok!$B$1:$AV$454,47,0),"")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7">
        <v>0</v>
      </c>
      <c r="J80" s="53"/>
      <c r="K80" s="58">
        <v>45649</v>
      </c>
      <c r="L80" s="59" t="str">
        <f>IFERROR(VLOOKUP($A$2,Stok!$B$1:$AU$454,46,0),"")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7">
        <v>0</v>
      </c>
      <c r="J81" s="53"/>
      <c r="K81" s="58">
        <v>45642</v>
      </c>
      <c r="L81" s="59" t="str">
        <f>IFERROR(VLOOKUP($A$2,Stok!$B$1:$AT$454,45,0),"")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7">
        <v>0</v>
      </c>
      <c r="J82" s="53"/>
      <c r="K82" s="58">
        <v>45635</v>
      </c>
      <c r="L82" s="59" t="str">
        <f>IFERROR(VLOOKUP($A$2,Stok!$B$1:$AS$454,44,0),"")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7">
        <v>0</v>
      </c>
      <c r="J83" s="53"/>
      <c r="K83" s="58">
        <v>45630</v>
      </c>
      <c r="L83" s="59" t="str">
        <f>IFERROR(VLOOKUP($A$2,Stok!$B$1:$AR$454,43,0),"")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7">
        <v>1</v>
      </c>
      <c r="J84" s="53"/>
      <c r="K84" s="58">
        <v>45614</v>
      </c>
      <c r="L84" s="59" t="str">
        <f>IFERROR(VLOOKUP($A$2,Stok!$B$1:$AQ$454,42,0),"")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7">
        <v>0</v>
      </c>
      <c r="J85" s="53"/>
      <c r="K85" s="58">
        <v>45608</v>
      </c>
      <c r="L85" s="59" t="str">
        <f>IFERROR(VLOOKUP($A$2,Stok!$B$1:$AP$454,41,0),"")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7">
        <v>141</v>
      </c>
      <c r="J86" s="53"/>
      <c r="K86" s="58">
        <v>45596</v>
      </c>
      <c r="L86" s="59" t="str">
        <f>IFERROR(VLOOKUP($A$2,Stok!$B$1:$AO$454,40,0),"")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7">
        <v>29</v>
      </c>
      <c r="J87" s="53"/>
      <c r="K87" s="58">
        <v>45580</v>
      </c>
      <c r="L87" s="59" t="str">
        <f>IFERROR(VLOOKUP($A$2,Stok!$B$1:$AN$454,39,0),"")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7">
        <v>0</v>
      </c>
      <c r="J88" s="53"/>
      <c r="K88" s="58">
        <v>45570</v>
      </c>
      <c r="L88" s="59" t="str">
        <f>IFERROR(VLOOKUP($A$2,Stok!$B$1:$AM$454,38,0),"")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7">
        <v>0</v>
      </c>
      <c r="J89" s="53"/>
      <c r="K89" s="58">
        <v>45563</v>
      </c>
      <c r="L89" s="59" t="str">
        <f>IFERROR(VLOOKUP($A$2,Stok!$B$1:$AL$454,37,0),"")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7">
        <v>0</v>
      </c>
      <c r="J90" s="53"/>
      <c r="K90" s="58">
        <v>45552</v>
      </c>
      <c r="L90" s="59" t="str">
        <f>IFERROR(VLOOKUP($A$2,Stok!$B$1:$AK$454,36,0),"")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7">
        <v>0</v>
      </c>
      <c r="J91" s="53"/>
      <c r="K91" s="58">
        <v>45539</v>
      </c>
      <c r="L91" s="59" t="str">
        <f>IFERROR(VLOOKUP($A$2,Stok!$B$1:$AJ$454,35,0),"")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7">
        <v>0</v>
      </c>
      <c r="J92" s="53"/>
      <c r="K92" s="58">
        <v>45524</v>
      </c>
      <c r="L92" s="59" t="str">
        <f>IFERROR(VLOOKUP($A$2,Stok!$B$1:$AI$454,34,0),"")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7">
        <v>0</v>
      </c>
      <c r="J93" s="53"/>
      <c r="K93" s="58">
        <v>45511</v>
      </c>
      <c r="L93" s="59" t="str">
        <f>IFERROR(VLOOKUP($A$2,Stok!$B$1:$AH$454,33,0),"")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7">
        <v>8</v>
      </c>
      <c r="J94" s="53"/>
      <c r="K94" s="58">
        <v>45500</v>
      </c>
      <c r="L94" s="59" t="str">
        <f>IFERROR(VLOOKUP($A$2,Stok!$B$1:$AG$454,32,0),"")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7">
        <v>0</v>
      </c>
      <c r="J95" s="53"/>
      <c r="K95" s="58">
        <v>45490</v>
      </c>
      <c r="L95" s="59" t="str">
        <f>IFERROR(VLOOKUP($A$2,Stok!$B$1:$AF$454,31,0),"")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7">
        <v>0</v>
      </c>
      <c r="J96" s="53"/>
      <c r="K96" s="58">
        <v>45478</v>
      </c>
      <c r="L96" s="59" t="str">
        <f>IFERROR(VLOOKUP($A$2,Stok!$B$1:$AE$454,30,0),"")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7">
        <v>0</v>
      </c>
      <c r="J97" s="53"/>
      <c r="K97" s="58">
        <v>45467</v>
      </c>
      <c r="L97" s="59" t="str">
        <f>IFERROR(VLOOKUP($A$2,Stok!$B$1:$AD$454,29,0),"")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7">
        <v>0</v>
      </c>
      <c r="J98" s="53"/>
      <c r="K98" s="58">
        <v>45455</v>
      </c>
      <c r="L98" s="59" t="str">
        <f>IFERROR(VLOOKUP($A$2,Stok!$B$1:$AC$454,28,0),"")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7">
        <v>6</v>
      </c>
      <c r="J99" s="53"/>
      <c r="K99" s="58">
        <v>45442</v>
      </c>
      <c r="L99" s="59" t="str">
        <f>IFERROR(VLOOKUP($A$2,Stok!$B$1:$AB$454,27,0),"")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7">
        <v>2</v>
      </c>
      <c r="J100" s="53"/>
      <c r="K100" s="58">
        <v>45427</v>
      </c>
      <c r="L100" s="59" t="str">
        <f>IFERROR(VLOOKUP($A$2,Stok!$B$1:$AA$454,25,0),"")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7">
        <v>209</v>
      </c>
      <c r="J101" s="53"/>
      <c r="K101" s="58">
        <v>45427</v>
      </c>
      <c r="L101" s="59" t="str">
        <f>IFERROR(VLOOKUP($A$2,Stok!$B$1:$AA$454,26,0),"")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7">
        <v>0</v>
      </c>
      <c r="J102" s="53"/>
      <c r="K102" s="58">
        <v>45411</v>
      </c>
      <c r="L102" s="59" t="str">
        <f>IFERROR(VLOOKUP($A$2,Stok!$B$1:$AA$454,24,0),"")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7">
        <v>0</v>
      </c>
      <c r="J103" s="53"/>
      <c r="K103" s="58">
        <v>45397</v>
      </c>
      <c r="L103" s="59" t="str">
        <f>IFERROR(VLOOKUP($A$2,Stok!$B$1:$AA$454,23,0),"")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7">
        <v>0</v>
      </c>
      <c r="J104" s="53"/>
      <c r="K104" s="58">
        <v>45376</v>
      </c>
      <c r="L104" s="59" t="str">
        <f>IFERROR(VLOOKUP($A$2,Stok!$B$1:$AA$454,22,0),"")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7">
        <v>0</v>
      </c>
      <c r="J105" s="53"/>
      <c r="K105" s="58">
        <v>45364</v>
      </c>
      <c r="L105" s="59" t="str">
        <f>IFERROR(VLOOKUP($A$2,Stok!$B$1:$AA$454,21,0),"")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7">
        <v>0</v>
      </c>
      <c r="J106" s="53"/>
      <c r="K106" s="58">
        <v>45352</v>
      </c>
      <c r="L106" s="59" t="str">
        <f>IFERROR(VLOOKUP($A$2,Stok!$B$1:$AA$454,20,0),"")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7">
        <v>0</v>
      </c>
      <c r="J107" s="53"/>
      <c r="K107" s="58">
        <v>45334</v>
      </c>
      <c r="L107" s="59" t="str">
        <f>IFERROR(VLOOKUP($A$2,Stok!$B$1:$AA$454,19,0),"")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7">
        <v>26</v>
      </c>
      <c r="J108" s="53"/>
      <c r="K108" s="58">
        <v>45320</v>
      </c>
      <c r="L108" s="59" t="str">
        <f>IFERROR(VLOOKUP($A$2,Stok!$B$1:$AA$454,18,0),"")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7">
        <v>5</v>
      </c>
      <c r="J109" s="53"/>
      <c r="K109" s="58">
        <v>45313</v>
      </c>
      <c r="L109" s="59" t="str">
        <f>IFERROR(VLOOKUP($A$2,Stok!$B$1:$AA$454,17,0),"")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7">
        <v>18</v>
      </c>
      <c r="J110" s="53"/>
      <c r="K110" s="60">
        <v>45293</v>
      </c>
      <c r="L110" s="59" t="str">
        <f>IFERROR(VLOOKUP($A$2,Stok!$B$1:$AA$454,16,0),"")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7">
        <v>116</v>
      </c>
      <c r="J111" s="53"/>
      <c r="K111" s="60">
        <v>45285</v>
      </c>
      <c r="L111" s="70" t="str">
        <f>IFERROR(VLOOKUP($A$2,Stok!$B$1:$AA$454,15,0),"")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7">
        <v>28</v>
      </c>
      <c r="J112" s="53"/>
      <c r="K112" s="58">
        <v>45275</v>
      </c>
      <c r="L112" s="70" t="str">
        <f>IFERROR(VLOOKUP($A$2,Stok!$B$1:$AA$454,14,0),"")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7">
        <v>16</v>
      </c>
      <c r="J113" s="53"/>
      <c r="K113" s="60">
        <v>45173</v>
      </c>
      <c r="L113" s="70" t="str">
        <f>IFERROR(VLOOKUP($A$2,Stok!$B$1:$AA$454,8,0),"")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7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7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7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7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7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7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7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51962.173425200024</v>
      </c>
      <c r="I121" s="137">
        <v>54336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7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7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7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7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7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7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7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7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7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7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7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7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7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7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7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7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7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7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7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7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7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7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7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7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7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7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7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7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7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7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7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7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7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7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7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7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7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7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7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7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7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7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7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7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7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7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7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7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7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7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7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7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7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7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7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7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7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7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7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7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7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7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7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7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7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7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7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7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7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7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7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7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7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7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7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7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7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7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7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7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7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7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7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7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7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7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7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7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7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7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7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7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7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7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7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7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7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7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7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7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7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7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7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7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7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7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7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79.488</v>
      </c>
      <c r="I229" s="137">
        <v>288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7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7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7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7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285</v>
      </c>
      <c r="I234" s="137">
        <v>19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7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1482.25</v>
      </c>
      <c r="I236" s="137">
        <v>308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413.875</v>
      </c>
      <c r="I237" s="137">
        <v>86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7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7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7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7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7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7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7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7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7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7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7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7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7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7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7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7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7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7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7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7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7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7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7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7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7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7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7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7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7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806.976</v>
      </c>
      <c r="I267" s="137">
        <v>934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7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7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7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7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7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7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7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7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7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7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7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7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7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7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7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7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7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11096.75</v>
      </c>
      <c r="H285" s="125">
        <v>3182.87</v>
      </c>
      <c r="I285" s="137">
        <v>4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7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7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7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7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7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7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979</v>
      </c>
      <c r="G292" s="125">
        <v>1450.81</v>
      </c>
      <c r="H292" s="125">
        <v>2901.62</v>
      </c>
      <c r="I292" s="137">
        <v>2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510</v>
      </c>
      <c r="G293" s="125"/>
      <c r="H293" s="125">
        <v>0</v>
      </c>
      <c r="I293" s="137">
        <v>1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4" t="s">
        <v>513</v>
      </c>
      <c r="G294" s="125">
        <v>1300</v>
      </c>
      <c r="H294" s="125">
        <v>2600</v>
      </c>
      <c r="I294" s="137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518</v>
      </c>
      <c r="G295" s="125"/>
      <c r="H295" s="125">
        <v>0</v>
      </c>
      <c r="I295" s="137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521</v>
      </c>
      <c r="G296" s="125"/>
      <c r="H296" s="125">
        <v>0</v>
      </c>
      <c r="I296" s="137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512</v>
      </c>
      <c r="G297" s="125"/>
      <c r="H297" s="125">
        <v>0</v>
      </c>
      <c r="I297" s="137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516</v>
      </c>
      <c r="G298" s="125">
        <v>1300</v>
      </c>
      <c r="H298" s="125">
        <v>2600</v>
      </c>
      <c r="I298" s="137">
        <v>2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4" t="s">
        <v>525</v>
      </c>
      <c r="G299" s="125"/>
      <c r="H299" s="125">
        <v>0</v>
      </c>
      <c r="I299" s="137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528</v>
      </c>
      <c r="G300" s="125"/>
      <c r="H300" s="125">
        <v>0</v>
      </c>
      <c r="I300" s="137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1264</v>
      </c>
      <c r="G301" s="125"/>
      <c r="H301" s="125">
        <v>0</v>
      </c>
      <c r="I301" s="137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530</v>
      </c>
      <c r="G302" s="125"/>
      <c r="H302" s="125">
        <v>0</v>
      </c>
      <c r="I302" s="137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 t="s">
        <v>523</v>
      </c>
      <c r="G303" s="125"/>
      <c r="H303" s="125">
        <v>0</v>
      </c>
      <c r="I303" s="137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4" t="s">
        <v>533</v>
      </c>
      <c r="G304" s="125">
        <v>26</v>
      </c>
      <c r="H304" s="125">
        <v>26</v>
      </c>
      <c r="I304" s="137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532</v>
      </c>
      <c r="G305" s="125">
        <v>26</v>
      </c>
      <c r="H305" s="125">
        <v>26</v>
      </c>
      <c r="I305" s="137">
        <v>1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535</v>
      </c>
      <c r="G306" s="125">
        <v>15.16</v>
      </c>
      <c r="H306" s="125">
        <v>147.83999999999997</v>
      </c>
      <c r="I306" s="137">
        <v>255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>
        <v>632850</v>
      </c>
      <c r="G307" s="125">
        <v>14</v>
      </c>
      <c r="H307" s="125">
        <v>42</v>
      </c>
      <c r="I307" s="137">
        <v>3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>
        <v>638213</v>
      </c>
      <c r="G308" s="125"/>
      <c r="H308" s="125">
        <v>0</v>
      </c>
      <c r="I308" s="137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1509</v>
      </c>
      <c r="G309" s="125">
        <v>0.74</v>
      </c>
      <c r="H309" s="125">
        <v>0</v>
      </c>
      <c r="I309" s="137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1381</v>
      </c>
      <c r="G310" s="125">
        <v>0.42</v>
      </c>
      <c r="H310" s="125">
        <v>105.83999999999999</v>
      </c>
      <c r="I310" s="137">
        <v>252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4" t="s">
        <v>537</v>
      </c>
      <c r="G311" s="125"/>
      <c r="H311" s="125">
        <v>0</v>
      </c>
      <c r="I311" s="137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1246</v>
      </c>
      <c r="G312" s="125"/>
      <c r="H312" s="125">
        <v>0</v>
      </c>
      <c r="I312" s="137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1265</v>
      </c>
      <c r="G313" s="125"/>
      <c r="H313" s="125">
        <v>0</v>
      </c>
      <c r="I313" s="137">
        <v>0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536</v>
      </c>
      <c r="G314" s="125"/>
      <c r="H314" s="125">
        <v>0</v>
      </c>
      <c r="I314" s="137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4" t="s">
        <v>540</v>
      </c>
      <c r="G315" s="125">
        <v>3500</v>
      </c>
      <c r="H315" s="125">
        <v>7340</v>
      </c>
      <c r="I315" s="137">
        <v>5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1506</v>
      </c>
      <c r="G316" s="125">
        <v>520</v>
      </c>
      <c r="H316" s="125">
        <v>0</v>
      </c>
      <c r="I316" s="137">
        <v>0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1505</v>
      </c>
      <c r="G317" s="125">
        <v>1380</v>
      </c>
      <c r="H317" s="125">
        <v>4140</v>
      </c>
      <c r="I317" s="137">
        <v>3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1504</v>
      </c>
      <c r="G318" s="125">
        <v>1600</v>
      </c>
      <c r="H318" s="125">
        <v>3200</v>
      </c>
      <c r="I318" s="137">
        <v>2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745</v>
      </c>
      <c r="G319" s="125"/>
      <c r="H319" s="125">
        <v>0</v>
      </c>
      <c r="I319" s="137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743</v>
      </c>
      <c r="G320" s="125"/>
      <c r="H320" s="125">
        <v>0</v>
      </c>
      <c r="I320" s="137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578</v>
      </c>
      <c r="G321" s="125"/>
      <c r="H321" s="125">
        <v>0</v>
      </c>
      <c r="I321" s="137">
        <v>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579</v>
      </c>
      <c r="G322" s="125"/>
      <c r="H322" s="125">
        <v>0</v>
      </c>
      <c r="I322" s="137">
        <v>4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581</v>
      </c>
      <c r="G323" s="125"/>
      <c r="H323" s="125">
        <v>0</v>
      </c>
      <c r="I323" s="137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576</v>
      </c>
      <c r="G324" s="125"/>
      <c r="H324" s="125">
        <v>0</v>
      </c>
      <c r="I324" s="137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584</v>
      </c>
      <c r="G325" s="125"/>
      <c r="H325" s="125">
        <v>0</v>
      </c>
      <c r="I325" s="137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4" t="s">
        <v>549</v>
      </c>
      <c r="G326" s="125">
        <v>3800.2</v>
      </c>
      <c r="H326" s="125">
        <v>20</v>
      </c>
      <c r="I326" s="137">
        <v>774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1256</v>
      </c>
      <c r="G327" s="125"/>
      <c r="H327" s="125">
        <v>0</v>
      </c>
      <c r="I327" s="137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1334</v>
      </c>
      <c r="G328" s="125"/>
      <c r="H328" s="125">
        <v>0</v>
      </c>
      <c r="I328" s="137">
        <v>1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1363</v>
      </c>
      <c r="G329" s="125">
        <v>3800</v>
      </c>
      <c r="H329" s="125">
        <v>0</v>
      </c>
      <c r="I329" s="137">
        <v>0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1230</v>
      </c>
      <c r="G330" s="125"/>
      <c r="H330" s="125">
        <v>0</v>
      </c>
      <c r="I330" s="137">
        <v>4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1335</v>
      </c>
      <c r="G331" s="125"/>
      <c r="H331" s="125">
        <v>0</v>
      </c>
      <c r="I331" s="137">
        <v>1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1323</v>
      </c>
      <c r="G332" s="125"/>
      <c r="H332" s="125">
        <v>0</v>
      </c>
      <c r="I332" s="137">
        <v>61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1324</v>
      </c>
      <c r="G333" s="125"/>
      <c r="H333" s="125">
        <v>0</v>
      </c>
      <c r="I333" s="137">
        <v>53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1325</v>
      </c>
      <c r="G334" s="125"/>
      <c r="H334" s="125">
        <v>0</v>
      </c>
      <c r="I334" s="137">
        <v>28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1326</v>
      </c>
      <c r="G335" s="125"/>
      <c r="H335" s="125">
        <v>0</v>
      </c>
      <c r="I335" s="137">
        <v>267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1333</v>
      </c>
      <c r="G336" s="125"/>
      <c r="H336" s="125">
        <v>0</v>
      </c>
      <c r="I336" s="137">
        <v>7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1328</v>
      </c>
      <c r="G337" s="125"/>
      <c r="H337" s="125">
        <v>0</v>
      </c>
      <c r="I337" s="137">
        <v>2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1331</v>
      </c>
      <c r="G338" s="125"/>
      <c r="H338" s="125">
        <v>0</v>
      </c>
      <c r="I338" s="137">
        <v>10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1327</v>
      </c>
      <c r="G339" s="125"/>
      <c r="H339" s="125">
        <v>0</v>
      </c>
      <c r="I339" s="137">
        <v>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1336</v>
      </c>
      <c r="G340" s="125"/>
      <c r="H340" s="125">
        <v>0</v>
      </c>
      <c r="I340" s="137">
        <v>1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1330</v>
      </c>
      <c r="G341" s="125"/>
      <c r="H341" s="125">
        <v>0</v>
      </c>
      <c r="I341" s="137">
        <v>5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1329</v>
      </c>
      <c r="G342" s="125"/>
      <c r="H342" s="125">
        <v>0</v>
      </c>
      <c r="I342" s="137">
        <v>7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1322</v>
      </c>
      <c r="G343" s="125"/>
      <c r="H343" s="125">
        <v>0</v>
      </c>
      <c r="I343" s="137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1332</v>
      </c>
      <c r="G344" s="125"/>
      <c r="H344" s="125">
        <v>0</v>
      </c>
      <c r="I344" s="137">
        <v>223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 t="s">
        <v>1585</v>
      </c>
      <c r="G345" s="125">
        <v>0.2</v>
      </c>
      <c r="H345" s="125">
        <v>20</v>
      </c>
      <c r="I345" s="137">
        <v>100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1255</v>
      </c>
      <c r="G346" s="125"/>
      <c r="H346" s="125">
        <v>0</v>
      </c>
      <c r="I346" s="137">
        <v>0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6" t="s">
        <v>554</v>
      </c>
      <c r="G347" s="125"/>
      <c r="H347" s="125">
        <v>0</v>
      </c>
      <c r="I347" s="137">
        <v>1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4" t="s">
        <v>588</v>
      </c>
      <c r="G348" s="125">
        <v>30</v>
      </c>
      <c r="H348" s="125">
        <v>120</v>
      </c>
      <c r="I348" s="137">
        <v>4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6" t="s">
        <v>586</v>
      </c>
      <c r="G349" s="125">
        <v>30</v>
      </c>
      <c r="H349" s="125">
        <v>120</v>
      </c>
      <c r="I349" s="137">
        <v>4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4" t="s">
        <v>590</v>
      </c>
      <c r="G350" s="125"/>
      <c r="H350" s="125">
        <v>0</v>
      </c>
      <c r="I350" s="137">
        <v>2893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6">
        <v>20030658</v>
      </c>
      <c r="G351" s="125"/>
      <c r="H351" s="125">
        <v>0</v>
      </c>
      <c r="I351" s="137">
        <v>2893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4" t="s">
        <v>594</v>
      </c>
      <c r="G352" s="125">
        <v>48124.484000000004</v>
      </c>
      <c r="H352" s="125">
        <v>213138.84000000003</v>
      </c>
      <c r="I352" s="137">
        <v>707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8" t="s">
        <v>592</v>
      </c>
      <c r="G353" s="125"/>
      <c r="H353" s="125">
        <v>0</v>
      </c>
      <c r="I353" s="137">
        <v>2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8" t="s">
        <v>595</v>
      </c>
      <c r="G354" s="125">
        <v>25.89</v>
      </c>
      <c r="H354" s="125">
        <v>517.79999999999995</v>
      </c>
      <c r="I354" s="137">
        <v>20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8" t="s">
        <v>596</v>
      </c>
      <c r="G355" s="125">
        <v>39.15</v>
      </c>
      <c r="H355" s="125">
        <v>0</v>
      </c>
      <c r="I355" s="137">
        <v>0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8" t="s">
        <v>597</v>
      </c>
      <c r="G356" s="125">
        <v>205</v>
      </c>
      <c r="H356" s="125">
        <v>1230</v>
      </c>
      <c r="I356" s="137">
        <v>6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8" t="s">
        <v>599</v>
      </c>
      <c r="G357" s="125"/>
      <c r="H357" s="125">
        <v>0</v>
      </c>
      <c r="I357" s="137">
        <v>2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8" t="s">
        <v>1267</v>
      </c>
      <c r="G358" s="125">
        <v>190.36</v>
      </c>
      <c r="H358" s="125">
        <v>17893.84</v>
      </c>
      <c r="I358" s="137">
        <v>94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8" t="s">
        <v>605</v>
      </c>
      <c r="G359" s="125">
        <v>324.52999999999997</v>
      </c>
      <c r="H359" s="125">
        <v>324.52999999999997</v>
      </c>
      <c r="I359" s="137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8" t="s">
        <v>1243</v>
      </c>
      <c r="G360" s="125"/>
      <c r="H360" s="125">
        <v>0</v>
      </c>
      <c r="I360" s="137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8" t="s">
        <v>607</v>
      </c>
      <c r="G361" s="125">
        <v>559.26</v>
      </c>
      <c r="H361" s="125">
        <v>559.26</v>
      </c>
      <c r="I361" s="137">
        <v>1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8" t="s">
        <v>609</v>
      </c>
      <c r="G362" s="125"/>
      <c r="H362" s="125">
        <v>0</v>
      </c>
      <c r="I362" s="137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8" t="s">
        <v>611</v>
      </c>
      <c r="G363" s="125">
        <v>249</v>
      </c>
      <c r="H363" s="125">
        <v>0</v>
      </c>
      <c r="I363" s="137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8" t="s">
        <v>613</v>
      </c>
      <c r="G364" s="125">
        <v>264.27</v>
      </c>
      <c r="H364" s="125">
        <v>2114.16</v>
      </c>
      <c r="I364" s="137">
        <v>8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8" t="s">
        <v>615</v>
      </c>
      <c r="G365" s="125">
        <v>392.16</v>
      </c>
      <c r="H365" s="125">
        <v>55294.560000000005</v>
      </c>
      <c r="I365" s="137">
        <v>141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8" t="s">
        <v>1268</v>
      </c>
      <c r="G366" s="125"/>
      <c r="H366" s="125">
        <v>0</v>
      </c>
      <c r="I366" s="137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8" t="s">
        <v>618</v>
      </c>
      <c r="G367" s="125">
        <v>350</v>
      </c>
      <c r="H367" s="125">
        <v>2800</v>
      </c>
      <c r="I367" s="137">
        <v>8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8" t="s">
        <v>621</v>
      </c>
      <c r="G368" s="125"/>
      <c r="H368" s="125">
        <v>0</v>
      </c>
      <c r="I368" s="137">
        <v>1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8" t="s">
        <v>623</v>
      </c>
      <c r="G369" s="125">
        <v>724.8</v>
      </c>
      <c r="H369" s="125">
        <v>0</v>
      </c>
      <c r="I369" s="137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8" t="s">
        <v>625</v>
      </c>
      <c r="G370" s="125">
        <v>525</v>
      </c>
      <c r="H370" s="125">
        <v>525</v>
      </c>
      <c r="I370" s="137">
        <v>1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8" t="s">
        <v>627</v>
      </c>
      <c r="G371" s="125">
        <v>433.49</v>
      </c>
      <c r="H371" s="125">
        <v>26876.38</v>
      </c>
      <c r="I371" s="137">
        <v>62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8" t="s">
        <v>630</v>
      </c>
      <c r="G372" s="125"/>
      <c r="H372" s="125">
        <v>0</v>
      </c>
      <c r="I372" s="137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8" t="s">
        <v>633</v>
      </c>
      <c r="G373" s="125">
        <v>813.96</v>
      </c>
      <c r="H373" s="125">
        <v>0</v>
      </c>
      <c r="I373" s="137">
        <v>0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26" t="s">
        <v>635</v>
      </c>
      <c r="G374" s="125">
        <v>16.45</v>
      </c>
      <c r="H374" s="125">
        <v>855.4</v>
      </c>
      <c r="I374" s="137">
        <v>52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8" t="s">
        <v>637</v>
      </c>
      <c r="G375" s="139">
        <v>17</v>
      </c>
      <c r="H375" s="139">
        <v>0</v>
      </c>
      <c r="I375" s="140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1351</v>
      </c>
      <c r="G376" s="125"/>
      <c r="H376" s="125">
        <v>0</v>
      </c>
      <c r="I376" s="137">
        <v>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8" t="s">
        <v>1352</v>
      </c>
      <c r="G377" s="125">
        <v>200</v>
      </c>
      <c r="H377" s="125">
        <v>400</v>
      </c>
      <c r="I377" s="137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8" t="s">
        <v>1171</v>
      </c>
      <c r="G378" s="125">
        <v>207.53</v>
      </c>
      <c r="H378" s="125">
        <v>0</v>
      </c>
      <c r="I378" s="137">
        <v>0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6" t="s">
        <v>1486</v>
      </c>
      <c r="G379" s="125">
        <v>131.33000000000001</v>
      </c>
      <c r="H379" s="125">
        <v>33751.810000000005</v>
      </c>
      <c r="I379" s="137">
        <v>257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8" t="s">
        <v>639</v>
      </c>
      <c r="G380" s="125">
        <v>460</v>
      </c>
      <c r="H380" s="125">
        <v>0</v>
      </c>
      <c r="I380" s="137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8" t="s">
        <v>1172</v>
      </c>
      <c r="G381" s="125">
        <v>395</v>
      </c>
      <c r="H381" s="125">
        <v>395</v>
      </c>
      <c r="I381" s="137">
        <v>1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8" t="s">
        <v>641</v>
      </c>
      <c r="G382" s="125"/>
      <c r="H382" s="125">
        <v>0</v>
      </c>
      <c r="I382" s="137">
        <v>0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8" t="s">
        <v>1266</v>
      </c>
      <c r="G383" s="125">
        <v>80.739999999999995</v>
      </c>
      <c r="H383" s="125">
        <v>161.47999999999999</v>
      </c>
      <c r="I383" s="137">
        <v>2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26" t="s">
        <v>1350</v>
      </c>
      <c r="G384" s="125"/>
      <c r="H384" s="125">
        <v>0</v>
      </c>
      <c r="I384" s="137">
        <v>2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8" t="s">
        <v>643</v>
      </c>
      <c r="G385" s="125"/>
      <c r="H385" s="125">
        <v>0</v>
      </c>
      <c r="I385" s="137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26" t="s">
        <v>688</v>
      </c>
      <c r="G386" s="125"/>
      <c r="H386" s="125">
        <v>0</v>
      </c>
      <c r="I386" s="137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8" t="s">
        <v>648</v>
      </c>
      <c r="G387" s="125">
        <v>530</v>
      </c>
      <c r="H387" s="125">
        <v>0</v>
      </c>
      <c r="I387" s="137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8" t="s">
        <v>645</v>
      </c>
      <c r="G388" s="125">
        <v>1775</v>
      </c>
      <c r="H388" s="125">
        <v>1775</v>
      </c>
      <c r="I388" s="137">
        <v>1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8" t="s">
        <v>650</v>
      </c>
      <c r="G389" s="125">
        <v>875.72</v>
      </c>
      <c r="H389" s="125">
        <v>0</v>
      </c>
      <c r="I389" s="137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8" t="s">
        <v>1269</v>
      </c>
      <c r="G390" s="125"/>
      <c r="H390" s="125">
        <v>0</v>
      </c>
      <c r="I390" s="137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8" t="s">
        <v>653</v>
      </c>
      <c r="G391" s="125">
        <v>975</v>
      </c>
      <c r="H391" s="125">
        <v>0</v>
      </c>
      <c r="I391" s="137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8" t="s">
        <v>656</v>
      </c>
      <c r="G392" s="125"/>
      <c r="H392" s="125">
        <v>0</v>
      </c>
      <c r="I392" s="137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8" t="s">
        <v>660</v>
      </c>
      <c r="G393" s="125">
        <v>1323</v>
      </c>
      <c r="H393" s="125">
        <v>0</v>
      </c>
      <c r="I393" s="137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26" t="s">
        <v>1388</v>
      </c>
      <c r="G394" s="125"/>
      <c r="H394" s="125">
        <v>0</v>
      </c>
      <c r="I394" s="137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8" t="s">
        <v>666</v>
      </c>
      <c r="G395" s="125"/>
      <c r="H395" s="125">
        <v>0</v>
      </c>
      <c r="I395" s="137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8" t="s">
        <v>663</v>
      </c>
      <c r="G396" s="125">
        <v>1348</v>
      </c>
      <c r="H396" s="125">
        <v>0</v>
      </c>
      <c r="I396" s="137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8" t="s">
        <v>668</v>
      </c>
      <c r="G397" s="125">
        <v>3000</v>
      </c>
      <c r="H397" s="125">
        <v>12000</v>
      </c>
      <c r="I397" s="137">
        <v>4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8" t="s">
        <v>1173</v>
      </c>
      <c r="G398" s="125">
        <v>1094.81</v>
      </c>
      <c r="H398" s="125">
        <v>0</v>
      </c>
      <c r="I398" s="137">
        <v>0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8" t="s">
        <v>1174</v>
      </c>
      <c r="G399" s="125"/>
      <c r="H399" s="125">
        <v>0</v>
      </c>
      <c r="I399" s="137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8" t="s">
        <v>670</v>
      </c>
      <c r="G400" s="125">
        <v>5138.74</v>
      </c>
      <c r="H400" s="125">
        <v>0</v>
      </c>
      <c r="I400" s="137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8" t="s">
        <v>1175</v>
      </c>
      <c r="G401" s="125">
        <v>3961.71</v>
      </c>
      <c r="H401" s="125">
        <v>7923.42</v>
      </c>
      <c r="I401" s="137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8" t="s">
        <v>672</v>
      </c>
      <c r="G402" s="125"/>
      <c r="H402" s="125">
        <v>0</v>
      </c>
      <c r="I402" s="137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8" t="s">
        <v>675</v>
      </c>
      <c r="G403" s="125"/>
      <c r="H403" s="125">
        <v>0</v>
      </c>
      <c r="I403" s="137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8" t="s">
        <v>1176</v>
      </c>
      <c r="G404" s="125">
        <v>711.31</v>
      </c>
      <c r="H404" s="125">
        <v>711.31</v>
      </c>
      <c r="I404" s="137">
        <v>1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8" t="s">
        <v>1270</v>
      </c>
      <c r="G405" s="125">
        <v>1692.44</v>
      </c>
      <c r="H405" s="125">
        <v>5077.32</v>
      </c>
      <c r="I405" s="137">
        <v>3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8" t="s">
        <v>677</v>
      </c>
      <c r="G406" s="125"/>
      <c r="H406" s="125">
        <v>0</v>
      </c>
      <c r="I406" s="137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8" t="s">
        <v>1177</v>
      </c>
      <c r="G407" s="125">
        <v>1030.18</v>
      </c>
      <c r="H407" s="125">
        <v>0</v>
      </c>
      <c r="I407" s="137">
        <v>0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8" t="s">
        <v>1271</v>
      </c>
      <c r="G408" s="125"/>
      <c r="H408" s="125">
        <v>0</v>
      </c>
      <c r="I408" s="137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8" t="s">
        <v>679</v>
      </c>
      <c r="G409" s="125">
        <v>1843.48</v>
      </c>
      <c r="H409" s="125">
        <v>0</v>
      </c>
      <c r="I409" s="137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8" t="s">
        <v>681</v>
      </c>
      <c r="G410" s="125">
        <v>1833</v>
      </c>
      <c r="H410" s="125">
        <v>10998</v>
      </c>
      <c r="I410" s="137">
        <v>6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8" t="s">
        <v>684</v>
      </c>
      <c r="G411" s="125">
        <v>2782.61</v>
      </c>
      <c r="H411" s="125">
        <v>19478.27</v>
      </c>
      <c r="I411" s="137">
        <v>7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8" t="s">
        <v>686</v>
      </c>
      <c r="G412" s="125"/>
      <c r="H412" s="125">
        <v>0</v>
      </c>
      <c r="I412" s="137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8" t="s">
        <v>1170</v>
      </c>
      <c r="G413" s="125">
        <v>122.16</v>
      </c>
      <c r="H413" s="125">
        <v>244.32</v>
      </c>
      <c r="I413" s="137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26" t="s">
        <v>1500</v>
      </c>
      <c r="G414" s="125">
        <v>5680.5839999999998</v>
      </c>
      <c r="H414" s="125">
        <v>0</v>
      </c>
      <c r="I414" s="137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8" t="s">
        <v>603</v>
      </c>
      <c r="G415" s="125"/>
      <c r="H415" s="125">
        <v>0</v>
      </c>
      <c r="I415" s="137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8" t="s">
        <v>690</v>
      </c>
      <c r="G416" s="125">
        <v>12.78</v>
      </c>
      <c r="H416" s="125">
        <v>63.9</v>
      </c>
      <c r="I416" s="137">
        <v>5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8" t="s">
        <v>1353</v>
      </c>
      <c r="G417" s="125"/>
      <c r="H417" s="125">
        <v>0</v>
      </c>
      <c r="I417" s="137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8" t="s">
        <v>1337</v>
      </c>
      <c r="G418" s="125"/>
      <c r="H418" s="125">
        <v>0</v>
      </c>
      <c r="I418" s="137">
        <v>0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8" t="s">
        <v>1338</v>
      </c>
      <c r="G419" s="125">
        <v>5125.82</v>
      </c>
      <c r="H419" s="125">
        <v>10251.64</v>
      </c>
      <c r="I419" s="137">
        <v>2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8" t="s">
        <v>1169</v>
      </c>
      <c r="G420" s="125"/>
      <c r="H420" s="125">
        <v>0</v>
      </c>
      <c r="I420" s="137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8" t="s">
        <v>693</v>
      </c>
      <c r="G421" s="125">
        <v>458.22</v>
      </c>
      <c r="H421" s="125">
        <v>916.44</v>
      </c>
      <c r="I421" s="137">
        <v>2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8" t="s">
        <v>600</v>
      </c>
      <c r="G422" s="125">
        <v>205</v>
      </c>
      <c r="H422" s="125">
        <v>0</v>
      </c>
      <c r="I422" s="137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4" t="s">
        <v>697</v>
      </c>
      <c r="G423" s="125">
        <v>8109.4800000000005</v>
      </c>
      <c r="H423" s="125">
        <v>45959.67</v>
      </c>
      <c r="I423" s="137">
        <v>150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695</v>
      </c>
      <c r="G424" s="125">
        <v>236</v>
      </c>
      <c r="H424" s="125">
        <v>236</v>
      </c>
      <c r="I424" s="137">
        <v>1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1379</v>
      </c>
      <c r="G425" s="125">
        <v>263</v>
      </c>
      <c r="H425" s="125">
        <v>263</v>
      </c>
      <c r="I425" s="137">
        <v>1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1386</v>
      </c>
      <c r="G426" s="125">
        <v>415</v>
      </c>
      <c r="H426" s="125">
        <v>0</v>
      </c>
      <c r="I426" s="137">
        <v>0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1247</v>
      </c>
      <c r="G427" s="125"/>
      <c r="H427" s="125">
        <v>0</v>
      </c>
      <c r="I427" s="137">
        <v>0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1248</v>
      </c>
      <c r="G428" s="125"/>
      <c r="H428" s="125">
        <v>0</v>
      </c>
      <c r="I428" s="137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698</v>
      </c>
      <c r="G429" s="125">
        <v>462.33</v>
      </c>
      <c r="H429" s="125">
        <v>2311.65</v>
      </c>
      <c r="I429" s="137">
        <v>5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700</v>
      </c>
      <c r="G430" s="125">
        <v>263</v>
      </c>
      <c r="H430" s="125">
        <v>789</v>
      </c>
      <c r="I430" s="137">
        <v>3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702</v>
      </c>
      <c r="G431" s="125">
        <v>96.1</v>
      </c>
      <c r="H431" s="125">
        <v>0</v>
      </c>
      <c r="I431" s="137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704</v>
      </c>
      <c r="G432" s="125">
        <v>96</v>
      </c>
      <c r="H432" s="125">
        <v>96</v>
      </c>
      <c r="I432" s="137">
        <v>1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706</v>
      </c>
      <c r="G433" s="125">
        <v>18</v>
      </c>
      <c r="H433" s="125">
        <v>18</v>
      </c>
      <c r="I433" s="137">
        <v>1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708</v>
      </c>
      <c r="G434" s="125">
        <v>30</v>
      </c>
      <c r="H434" s="125">
        <v>120</v>
      </c>
      <c r="I434" s="137">
        <v>4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711</v>
      </c>
      <c r="G435" s="125">
        <v>149.16999999999999</v>
      </c>
      <c r="H435" s="125">
        <v>0</v>
      </c>
      <c r="I435" s="137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713</v>
      </c>
      <c r="G436" s="125"/>
      <c r="H436" s="125">
        <v>0</v>
      </c>
      <c r="I436" s="137">
        <v>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1309</v>
      </c>
      <c r="G437" s="125"/>
      <c r="H437" s="125">
        <v>0</v>
      </c>
      <c r="I437" s="137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715</v>
      </c>
      <c r="G438" s="125">
        <v>625</v>
      </c>
      <c r="H438" s="125">
        <v>0</v>
      </c>
      <c r="I438" s="137">
        <v>0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717</v>
      </c>
      <c r="G439" s="125">
        <v>490</v>
      </c>
      <c r="H439" s="125">
        <v>9800</v>
      </c>
      <c r="I439" s="137">
        <v>20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719</v>
      </c>
      <c r="G440" s="125">
        <v>184</v>
      </c>
      <c r="H440" s="125">
        <v>0</v>
      </c>
      <c r="I440" s="137">
        <v>0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722</v>
      </c>
      <c r="G441" s="125">
        <v>227</v>
      </c>
      <c r="H441" s="125">
        <v>1135</v>
      </c>
      <c r="I441" s="137">
        <v>5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724</v>
      </c>
      <c r="G442" s="125">
        <v>400</v>
      </c>
      <c r="H442" s="125">
        <v>1200</v>
      </c>
      <c r="I442" s="137">
        <v>3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726</v>
      </c>
      <c r="G443" s="125">
        <v>883</v>
      </c>
      <c r="H443" s="125">
        <v>3532</v>
      </c>
      <c r="I443" s="137">
        <v>4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728</v>
      </c>
      <c r="G444" s="125">
        <v>805</v>
      </c>
      <c r="H444" s="125">
        <v>7245</v>
      </c>
      <c r="I444" s="137">
        <v>9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730</v>
      </c>
      <c r="G445" s="125">
        <v>1108</v>
      </c>
      <c r="H445" s="125">
        <v>12188</v>
      </c>
      <c r="I445" s="137">
        <v>11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732</v>
      </c>
      <c r="G446" s="125">
        <v>930</v>
      </c>
      <c r="H446" s="125">
        <v>930</v>
      </c>
      <c r="I446" s="137">
        <v>1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734</v>
      </c>
      <c r="G447" s="125">
        <v>98</v>
      </c>
      <c r="H447" s="125">
        <v>1568</v>
      </c>
      <c r="I447" s="137">
        <v>16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736</v>
      </c>
      <c r="G448" s="125">
        <v>71.38</v>
      </c>
      <c r="H448" s="125">
        <v>3854.5199999999995</v>
      </c>
      <c r="I448" s="137">
        <v>54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1122</v>
      </c>
      <c r="G449" s="125">
        <v>46</v>
      </c>
      <c r="H449" s="125">
        <v>460</v>
      </c>
      <c r="I449" s="137">
        <v>10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738</v>
      </c>
      <c r="G450" s="125">
        <v>213.5</v>
      </c>
      <c r="H450" s="125">
        <v>213.5</v>
      </c>
      <c r="I450" s="137">
        <v>1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4" t="s">
        <v>742</v>
      </c>
      <c r="G451" s="125"/>
      <c r="H451" s="125">
        <v>0</v>
      </c>
      <c r="I451" s="137">
        <v>2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740</v>
      </c>
      <c r="G452" s="125"/>
      <c r="H452" s="125">
        <v>0</v>
      </c>
      <c r="I452" s="137">
        <v>2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1158</v>
      </c>
      <c r="G453" s="125"/>
      <c r="H453" s="125">
        <v>0</v>
      </c>
      <c r="I453" s="137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68</v>
      </c>
      <c r="G454" s="125"/>
      <c r="H454" s="125">
        <v>0</v>
      </c>
      <c r="I454" s="137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65</v>
      </c>
      <c r="G455" s="125"/>
      <c r="H455" s="125">
        <v>0</v>
      </c>
      <c r="I455" s="137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67</v>
      </c>
      <c r="G456" s="125"/>
      <c r="H456" s="125">
        <v>0</v>
      </c>
      <c r="I456" s="137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63</v>
      </c>
      <c r="G457" s="125"/>
      <c r="H457" s="125">
        <v>0</v>
      </c>
      <c r="I457" s="137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70</v>
      </c>
      <c r="G458" s="125"/>
      <c r="H458" s="125">
        <v>0</v>
      </c>
      <c r="I458" s="137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1166</v>
      </c>
      <c r="G459" s="125"/>
      <c r="H459" s="125">
        <v>0</v>
      </c>
      <c r="I459" s="137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574</v>
      </c>
      <c r="G460" s="125"/>
      <c r="H460" s="125">
        <v>0</v>
      </c>
      <c r="I460" s="137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773</v>
      </c>
      <c r="G461" s="125"/>
      <c r="H461" s="125">
        <v>0</v>
      </c>
      <c r="I461" s="137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1235</v>
      </c>
      <c r="G462" s="125"/>
      <c r="H462" s="125">
        <v>0</v>
      </c>
      <c r="I462" s="137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 t="s">
        <v>1234</v>
      </c>
      <c r="G463" s="125"/>
      <c r="H463" s="125">
        <v>0</v>
      </c>
      <c r="I463" s="137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1236</v>
      </c>
      <c r="G464" s="125"/>
      <c r="H464" s="125">
        <v>0</v>
      </c>
      <c r="I464" s="137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1259</v>
      </c>
      <c r="G465" s="125"/>
      <c r="H465" s="125">
        <v>0</v>
      </c>
      <c r="I465" s="137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>
        <v>3310016001</v>
      </c>
      <c r="G466" s="125"/>
      <c r="H466" s="125">
        <v>0</v>
      </c>
      <c r="I466" s="137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748</v>
      </c>
      <c r="G467" s="125"/>
      <c r="H467" s="125">
        <v>0</v>
      </c>
      <c r="I467" s="137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747</v>
      </c>
      <c r="G468" s="125"/>
      <c r="H468" s="125">
        <v>0</v>
      </c>
      <c r="I468" s="137">
        <v>0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4" t="s">
        <v>1373</v>
      </c>
      <c r="G469" s="125">
        <v>475</v>
      </c>
      <c r="H469" s="125">
        <v>0</v>
      </c>
      <c r="I469" s="137">
        <v>0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6" t="s">
        <v>1370</v>
      </c>
      <c r="G470" s="125">
        <v>475</v>
      </c>
      <c r="H470" s="125">
        <v>0</v>
      </c>
      <c r="I470" s="137">
        <v>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4" t="s">
        <v>1461</v>
      </c>
      <c r="G471" s="125"/>
      <c r="H471" s="125">
        <v>0</v>
      </c>
      <c r="I471" s="137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1457</v>
      </c>
      <c r="G472" s="125"/>
      <c r="H472" s="125">
        <v>0</v>
      </c>
      <c r="I472" s="137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1518</v>
      </c>
      <c r="G473" s="125">
        <v>260.93233218133309</v>
      </c>
      <c r="H473" s="125">
        <v>260.93233218133309</v>
      </c>
      <c r="I473" s="137">
        <v>2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1515</v>
      </c>
      <c r="G474" s="125">
        <v>125.84795848296203</v>
      </c>
      <c r="H474" s="125">
        <v>125.84795848296203</v>
      </c>
      <c r="I474" s="137">
        <v>1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1514</v>
      </c>
      <c r="G475" s="125">
        <v>135.08437369837105</v>
      </c>
      <c r="H475" s="125">
        <v>135.08437369837105</v>
      </c>
      <c r="I475" s="137">
        <v>1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4" t="s">
        <v>1076</v>
      </c>
      <c r="G476" s="125">
        <v>0.64319999999999999</v>
      </c>
      <c r="H476" s="125">
        <v>38.591999999999999</v>
      </c>
      <c r="I476" s="137">
        <v>60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1538</v>
      </c>
      <c r="G477" s="125">
        <v>0.64319999999999999</v>
      </c>
      <c r="H477" s="125">
        <v>38.591999999999999</v>
      </c>
      <c r="I477" s="137">
        <v>60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4" t="s">
        <v>1551</v>
      </c>
      <c r="G478" s="125">
        <v>1171.6500000000001</v>
      </c>
      <c r="H478" s="125">
        <v>237618.11</v>
      </c>
      <c r="I478" s="137">
        <v>1223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6" t="s">
        <v>1541</v>
      </c>
      <c r="G479" s="125">
        <v>102.06</v>
      </c>
      <c r="H479" s="125">
        <v>27147.96</v>
      </c>
      <c r="I479" s="137">
        <v>266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6" t="s">
        <v>1542</v>
      </c>
      <c r="G480" s="125">
        <v>109.06</v>
      </c>
      <c r="H480" s="125">
        <v>20939.52</v>
      </c>
      <c r="I480" s="137">
        <v>192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6" t="s">
        <v>1543</v>
      </c>
      <c r="G481" s="125">
        <v>211.41</v>
      </c>
      <c r="H481" s="125">
        <v>130862.79</v>
      </c>
      <c r="I481" s="137">
        <v>619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9" t="s">
        <v>1539</v>
      </c>
      <c r="G482" s="127">
        <v>457.52</v>
      </c>
      <c r="H482" s="127">
        <v>44379.439999999995</v>
      </c>
      <c r="I482" s="141">
        <v>97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9" t="s">
        <v>1540</v>
      </c>
      <c r="G483" s="127">
        <v>291.60000000000002</v>
      </c>
      <c r="H483" s="127">
        <v>14288.400000000001</v>
      </c>
      <c r="I483" s="141">
        <v>49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4" t="s">
        <v>1568</v>
      </c>
      <c r="G484" s="125">
        <v>12</v>
      </c>
      <c r="H484" s="125">
        <v>0</v>
      </c>
      <c r="I484" s="137">
        <v>0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1561</v>
      </c>
      <c r="G485" s="125">
        <v>4</v>
      </c>
      <c r="H485" s="125">
        <v>0</v>
      </c>
      <c r="I485" s="137">
        <v>0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1559</v>
      </c>
      <c r="G486" s="125">
        <v>2</v>
      </c>
      <c r="H486" s="125">
        <v>0</v>
      </c>
      <c r="I486" s="137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6" t="s">
        <v>1562</v>
      </c>
      <c r="G487" s="125">
        <v>4</v>
      </c>
      <c r="H487" s="125">
        <v>0</v>
      </c>
      <c r="I487" s="137">
        <v>0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1560</v>
      </c>
      <c r="G488" s="125">
        <v>2</v>
      </c>
      <c r="H488" s="125">
        <v>0</v>
      </c>
      <c r="I488" s="137">
        <v>0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1563</v>
      </c>
      <c r="G489" s="125"/>
      <c r="H489" s="125">
        <v>0</v>
      </c>
      <c r="I489" s="137">
        <v>0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1579</v>
      </c>
      <c r="G490" s="125">
        <v>502.64</v>
      </c>
      <c r="H490" s="125">
        <v>4021.12</v>
      </c>
      <c r="I490" s="137">
        <v>16</v>
      </c>
      <c r="K490" s="53"/>
      <c r="L490" s="53"/>
    </row>
    <row r="491" spans="1:74" x14ac:dyDescent="0.35">
      <c r="F491" s="126" t="s">
        <v>1574</v>
      </c>
      <c r="G491" s="125">
        <v>448.05</v>
      </c>
      <c r="H491" s="125">
        <v>3584.4</v>
      </c>
      <c r="I491" s="137">
        <v>8</v>
      </c>
      <c r="K491" s="53"/>
      <c r="L491" s="53"/>
    </row>
    <row r="492" spans="1:74" x14ac:dyDescent="0.35">
      <c r="F492" s="126" t="s">
        <v>1575</v>
      </c>
      <c r="G492" s="125">
        <v>54.59</v>
      </c>
      <c r="H492" s="125">
        <v>436.72</v>
      </c>
      <c r="I492" s="137">
        <v>8</v>
      </c>
      <c r="K492" s="53"/>
      <c r="L492" s="53"/>
    </row>
    <row r="493" spans="1:74" x14ac:dyDescent="0.35">
      <c r="F493" s="124" t="s">
        <v>1583</v>
      </c>
      <c r="G493" s="125">
        <v>22</v>
      </c>
      <c r="H493" s="125">
        <v>88</v>
      </c>
      <c r="I493" s="137">
        <v>4</v>
      </c>
      <c r="K493" s="53"/>
      <c r="L493" s="53"/>
    </row>
    <row r="494" spans="1:74" x14ac:dyDescent="0.35">
      <c r="F494" s="126" t="s">
        <v>1580</v>
      </c>
      <c r="G494" s="125">
        <v>22</v>
      </c>
      <c r="H494" s="125">
        <v>88</v>
      </c>
      <c r="I494" s="137">
        <v>4</v>
      </c>
      <c r="K494" s="53"/>
      <c r="L494" s="53"/>
    </row>
    <row r="495" spans="1:74" x14ac:dyDescent="0.35">
      <c r="F495" s="124" t="s">
        <v>1593</v>
      </c>
      <c r="G495" s="125">
        <v>2.0499999999999998</v>
      </c>
      <c r="H495" s="125">
        <v>19.14</v>
      </c>
      <c r="I495" s="137">
        <v>30</v>
      </c>
      <c r="K495" s="53"/>
      <c r="L495" s="53"/>
    </row>
    <row r="496" spans="1:74" x14ac:dyDescent="0.35">
      <c r="F496" s="126" t="s">
        <v>1587</v>
      </c>
      <c r="G496" s="125">
        <v>1.67</v>
      </c>
      <c r="H496" s="125">
        <v>10.02</v>
      </c>
      <c r="I496" s="137">
        <v>6</v>
      </c>
      <c r="K496" s="53"/>
      <c r="L496" s="53"/>
    </row>
    <row r="497" spans="6:12" x14ac:dyDescent="0.35">
      <c r="F497" s="126" t="s">
        <v>1586</v>
      </c>
      <c r="G497" s="125">
        <v>0.38</v>
      </c>
      <c r="H497" s="125">
        <v>9.120000000000001</v>
      </c>
      <c r="I497" s="137">
        <v>24</v>
      </c>
      <c r="K497" s="53"/>
      <c r="L497" s="53"/>
    </row>
    <row r="498" spans="6:12" x14ac:dyDescent="0.35">
      <c r="F498" s="128" t="s">
        <v>1155</v>
      </c>
      <c r="G498" s="127">
        <v>91468.563917621344</v>
      </c>
      <c r="H498" s="127">
        <v>617893.66775738145</v>
      </c>
      <c r="I498" s="141">
        <v>63494</v>
      </c>
      <c r="K498" s="53"/>
      <c r="L498" s="53"/>
    </row>
  </sheetData>
  <mergeCells count="2">
    <mergeCell ref="Y1:AE1"/>
    <mergeCell ref="X2:AB2"/>
  </mergeCells>
  <pageMargins left="0.7" right="0.7" top="0.75" bottom="0.75" header="0.3" footer="0.3"/>
  <ignoredErrors>
    <ignoredError sqref="L6:L113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Q454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1" width="14.26953125" style="76" customWidth="1"/>
    <col min="122" max="16384" width="8.90625" style="13"/>
  </cols>
  <sheetData>
    <row r="1" spans="1:121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1588</v>
      </c>
    </row>
    <row r="2" spans="1:121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M2*DQ2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</row>
    <row r="3" spans="1:121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M3*DQ3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</row>
    <row r="4" spans="1:121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</row>
    <row r="5" spans="1:121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</row>
    <row r="6" spans="1:121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</row>
    <row r="7" spans="1:121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</row>
    <row r="8" spans="1:121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</row>
    <row r="9" spans="1:121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</row>
    <row r="10" spans="1:121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</row>
    <row r="11" spans="1:121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</row>
    <row r="12" spans="1:121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</row>
    <row r="13" spans="1:121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</row>
    <row r="14" spans="1:121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</row>
    <row r="15" spans="1:121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</row>
    <row r="16" spans="1:121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</row>
    <row r="17" spans="1:121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</row>
    <row r="18" spans="1:121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</row>
    <row r="19" spans="1:121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</row>
    <row r="20" spans="1:121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</row>
    <row r="21" spans="1:121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</row>
    <row r="22" spans="1:121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</row>
    <row r="23" spans="1:121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</row>
    <row r="24" spans="1:121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</row>
    <row r="25" spans="1:121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</row>
    <row r="26" spans="1:121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</row>
    <row r="27" spans="1:121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</row>
    <row r="28" spans="1:121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</row>
    <row r="29" spans="1:121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</row>
    <row r="30" spans="1:121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</row>
    <row r="31" spans="1:121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</row>
    <row r="32" spans="1:121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</row>
    <row r="33" spans="1:121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</row>
    <row r="34" spans="1:121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</row>
    <row r="35" spans="1:121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</row>
    <row r="36" spans="1:121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</row>
    <row r="37" spans="1:121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</row>
    <row r="38" spans="1:121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</row>
    <row r="39" spans="1:121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</row>
    <row r="40" spans="1:121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</row>
    <row r="41" spans="1:121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</row>
    <row r="42" spans="1:121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</row>
    <row r="43" spans="1:121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</row>
    <row r="44" spans="1:121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</row>
    <row r="45" spans="1:121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</row>
    <row r="46" spans="1:121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</row>
    <row r="47" spans="1:121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</row>
    <row r="48" spans="1:121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18</v>
      </c>
    </row>
    <row r="49" spans="1:121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</row>
    <row r="50" spans="1:121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>
        <v>0</v>
      </c>
    </row>
    <row r="51" spans="1:121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>
        <v>0</v>
      </c>
    </row>
    <row r="52" spans="1:121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</row>
    <row r="53" spans="1:121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</row>
    <row r="54" spans="1:121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>
        <v>24</v>
      </c>
    </row>
    <row r="55" spans="1:121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>
        <v>161</v>
      </c>
    </row>
    <row r="56" spans="1:121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>
        <v>0</v>
      </c>
    </row>
    <row r="57" spans="1:121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>
        <v>0</v>
      </c>
    </row>
    <row r="58" spans="1:121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>
        <v>6</v>
      </c>
    </row>
    <row r="59" spans="1:121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>
        <v>27</v>
      </c>
    </row>
    <row r="60" spans="1:121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>
        <v>0</v>
      </c>
    </row>
    <row r="61" spans="1:121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>
        <v>1</v>
      </c>
    </row>
    <row r="62" spans="1:121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>
        <v>141</v>
      </c>
    </row>
    <row r="63" spans="1:121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>
        <v>29</v>
      </c>
    </row>
    <row r="64" spans="1:121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>
        <v>0</v>
      </c>
    </row>
    <row r="65" spans="1:121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>
        <v>0</v>
      </c>
    </row>
    <row r="66" spans="1:121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</row>
    <row r="67" spans="1:121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M67*DQ67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</row>
    <row r="68" spans="1:121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</row>
    <row r="69" spans="1:121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>
        <v>38</v>
      </c>
    </row>
    <row r="70" spans="1:121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</row>
    <row r="71" spans="1:121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>
        <v>128</v>
      </c>
    </row>
    <row r="72" spans="1:121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</row>
    <row r="73" spans="1:121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</row>
    <row r="74" spans="1:121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</row>
    <row r="75" spans="1:121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>
        <v>73</v>
      </c>
    </row>
    <row r="76" spans="1:121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>
        <v>8</v>
      </c>
    </row>
    <row r="77" spans="1:121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>
        <v>0</v>
      </c>
    </row>
    <row r="78" spans="1:121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>
        <v>0</v>
      </c>
    </row>
    <row r="79" spans="1:121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</row>
    <row r="80" spans="1:121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</row>
    <row r="81" spans="1:121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</row>
    <row r="82" spans="1:121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</row>
    <row r="83" spans="1:121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</row>
    <row r="84" spans="1:121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</row>
    <row r="85" spans="1:121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</row>
    <row r="86" spans="1:121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</row>
    <row r="87" spans="1:121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</row>
    <row r="88" spans="1:121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>
        <v>10</v>
      </c>
    </row>
    <row r="89" spans="1:121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  <c r="DQ89" s="72">
        <v>2</v>
      </c>
    </row>
    <row r="90" spans="1:121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>
        <v>0</v>
      </c>
    </row>
    <row r="91" spans="1:121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  <c r="DQ91" s="72">
        <v>0</v>
      </c>
    </row>
    <row r="92" spans="1:121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>
        <v>0</v>
      </c>
    </row>
    <row r="93" spans="1:121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  <c r="DQ93" s="72">
        <v>6</v>
      </c>
    </row>
    <row r="94" spans="1:121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</row>
    <row r="95" spans="1:121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</row>
    <row r="96" spans="1:121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</row>
    <row r="97" spans="1:121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</row>
    <row r="98" spans="1:121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</row>
    <row r="99" spans="1:121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</row>
    <row r="100" spans="1:121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</row>
    <row r="101" spans="1:121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  <c r="DQ101" s="72">
        <v>26</v>
      </c>
    </row>
    <row r="102" spans="1:121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  <c r="DQ102" s="72">
        <v>5</v>
      </c>
    </row>
    <row r="103" spans="1:121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  <c r="DQ103" s="72">
        <v>18</v>
      </c>
    </row>
    <row r="104" spans="1:121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  <c r="DQ104" s="72">
        <v>116</v>
      </c>
    </row>
    <row r="105" spans="1:121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  <c r="DQ105" s="72">
        <v>28</v>
      </c>
    </row>
    <row r="106" spans="1:121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  <c r="DQ106" s="72">
        <v>16</v>
      </c>
    </row>
    <row r="107" spans="1:121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  <c r="DQ107" s="72">
        <v>64</v>
      </c>
    </row>
    <row r="108" spans="1:121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  <c r="DQ108" s="72">
        <v>97</v>
      </c>
    </row>
    <row r="109" spans="1:121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  <c r="DQ109" s="72">
        <v>78</v>
      </c>
    </row>
    <row r="110" spans="1:121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  <c r="DQ110" s="72">
        <v>500</v>
      </c>
    </row>
    <row r="111" spans="1:121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  <c r="DQ111" s="72">
        <v>400</v>
      </c>
    </row>
    <row r="112" spans="1:121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  <c r="DQ112" s="75">
        <v>0</v>
      </c>
    </row>
    <row r="113" spans="1:121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  <c r="DQ113" s="72">
        <v>0</v>
      </c>
    </row>
    <row r="114" spans="1:121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>
        <v>0</v>
      </c>
    </row>
    <row r="115" spans="1:121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  <c r="DQ115" s="75">
        <v>2</v>
      </c>
    </row>
    <row r="116" spans="1:121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  <c r="DQ116" s="72">
        <v>0</v>
      </c>
    </row>
    <row r="117" spans="1:121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  <c r="DQ117" s="72">
        <v>288</v>
      </c>
    </row>
    <row r="118" spans="1:121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  <c r="DQ118" s="72">
        <v>65</v>
      </c>
    </row>
    <row r="119" spans="1:121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  <c r="DQ119" s="72">
        <v>80</v>
      </c>
    </row>
    <row r="120" spans="1:121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</row>
    <row r="121" spans="1:121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>
        <v>0</v>
      </c>
    </row>
    <row r="122" spans="1:121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  <c r="DQ122" s="72">
        <v>204</v>
      </c>
    </row>
    <row r="123" spans="1:121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  <c r="DQ123" s="72">
        <v>548</v>
      </c>
    </row>
    <row r="124" spans="1:121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  <c r="DQ124" s="72">
        <v>402</v>
      </c>
    </row>
    <row r="125" spans="1:121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</row>
    <row r="126" spans="1:121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>
        <v>0</v>
      </c>
    </row>
    <row r="127" spans="1:121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  <c r="DQ127" s="72">
        <v>0</v>
      </c>
    </row>
    <row r="128" spans="1:121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  <c r="DQ128" s="72">
        <v>18</v>
      </c>
    </row>
    <row r="129" spans="1:121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  <c r="DQ129" s="72">
        <v>48</v>
      </c>
    </row>
    <row r="130" spans="1:121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  <c r="DQ130" s="72">
        <v>29</v>
      </c>
    </row>
    <row r="131" spans="1:121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M131*DQ131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  <c r="DQ131" s="72">
        <v>16</v>
      </c>
    </row>
    <row r="132" spans="1:121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  <c r="DQ132" s="72">
        <v>1216</v>
      </c>
    </row>
    <row r="133" spans="1:121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  <c r="DQ133" s="72">
        <v>0</v>
      </c>
    </row>
    <row r="134" spans="1:121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  <c r="DQ134" s="72">
        <v>914</v>
      </c>
    </row>
    <row r="135" spans="1:121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  <c r="DQ135" s="72">
        <v>3</v>
      </c>
    </row>
    <row r="136" spans="1:121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  <c r="DQ136" s="72">
        <v>0</v>
      </c>
    </row>
    <row r="137" spans="1:121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  <c r="DQ137" s="72">
        <v>0</v>
      </c>
    </row>
    <row r="138" spans="1:121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>
        <v>0</v>
      </c>
    </row>
    <row r="139" spans="1:121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  <c r="DQ139" s="72">
        <v>54</v>
      </c>
    </row>
    <row r="140" spans="1:121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  <c r="DQ140" s="72">
        <v>22</v>
      </c>
    </row>
    <row r="141" spans="1:121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  <c r="DQ141" s="72">
        <v>20</v>
      </c>
    </row>
    <row r="142" spans="1:121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 t="shared" ref="DL142:DQ142" si="5">1007-250</f>
        <v>757</v>
      </c>
      <c r="DM142" s="72">
        <f t="shared" si="5"/>
        <v>757</v>
      </c>
      <c r="DN142" s="72">
        <f t="shared" si="5"/>
        <v>757</v>
      </c>
      <c r="DO142" s="72">
        <f t="shared" si="5"/>
        <v>757</v>
      </c>
      <c r="DP142" s="72">
        <f t="shared" si="5"/>
        <v>757</v>
      </c>
      <c r="DQ142" s="72">
        <f t="shared" si="5"/>
        <v>757</v>
      </c>
    </row>
    <row r="143" spans="1:121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  <c r="DQ143" s="72">
        <v>1140</v>
      </c>
    </row>
    <row r="144" spans="1:121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  <c r="DQ144" s="72">
        <v>786</v>
      </c>
    </row>
    <row r="145" spans="1:121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  <c r="DQ145" s="72">
        <v>0</v>
      </c>
    </row>
    <row r="146" spans="1:121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  <c r="DQ146" s="72">
        <v>0</v>
      </c>
    </row>
    <row r="147" spans="1:121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  <c r="DQ147" s="72">
        <v>0</v>
      </c>
    </row>
    <row r="148" spans="1:121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  <c r="DQ148" s="72">
        <v>30</v>
      </c>
    </row>
    <row r="149" spans="1:121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  <c r="DQ149" s="72">
        <v>50</v>
      </c>
    </row>
    <row r="150" spans="1:121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>
        <v>30</v>
      </c>
    </row>
    <row r="151" spans="1:121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  <c r="DQ151" s="72">
        <v>20</v>
      </c>
    </row>
    <row r="152" spans="1:121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  <c r="DQ152" s="72">
        <v>0</v>
      </c>
    </row>
    <row r="153" spans="1:121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  <c r="DQ153" s="72">
        <v>0</v>
      </c>
    </row>
    <row r="154" spans="1:121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>
        <v>0</v>
      </c>
    </row>
    <row r="155" spans="1:121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  <c r="DQ155" s="72">
        <v>0</v>
      </c>
    </row>
    <row r="156" spans="1:121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  <c r="DQ156" s="72">
        <v>0</v>
      </c>
    </row>
    <row r="157" spans="1:121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  <c r="DQ157" s="72">
        <v>54</v>
      </c>
    </row>
    <row r="158" spans="1:121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  <c r="DQ158" s="72">
        <v>1163</v>
      </c>
    </row>
    <row r="159" spans="1:121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  <c r="DQ159" s="72">
        <v>662</v>
      </c>
    </row>
    <row r="160" spans="1:121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  <c r="DQ160" s="72">
        <v>0</v>
      </c>
    </row>
    <row r="161" spans="1:121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  <c r="DQ161" s="72">
        <v>0</v>
      </c>
    </row>
    <row r="162" spans="1:121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  <c r="DQ162" s="72">
        <v>0</v>
      </c>
    </row>
    <row r="163" spans="1:121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  <c r="DQ163" s="72">
        <v>30</v>
      </c>
    </row>
    <row r="164" spans="1:121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  <c r="DQ164" s="72">
        <v>30</v>
      </c>
    </row>
    <row r="165" spans="1:121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  <c r="DQ165" s="72">
        <v>10</v>
      </c>
    </row>
    <row r="166" spans="1:121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  <c r="DQ166" s="72">
        <v>10</v>
      </c>
    </row>
    <row r="167" spans="1:121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  <c r="DQ167" s="75">
        <v>4</v>
      </c>
    </row>
    <row r="168" spans="1:121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  <c r="DQ168" s="75">
        <v>14</v>
      </c>
    </row>
    <row r="169" spans="1:121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  <c r="DQ169" s="72">
        <v>491</v>
      </c>
    </row>
    <row r="170" spans="1:121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  <c r="DQ170" s="72">
        <v>0</v>
      </c>
    </row>
    <row r="171" spans="1:121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  <c r="DQ171" s="72">
        <v>139</v>
      </c>
    </row>
    <row r="172" spans="1:121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  <c r="DQ172" s="72">
        <v>3112</v>
      </c>
    </row>
    <row r="173" spans="1:121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  <c r="DQ173" s="72">
        <v>3538</v>
      </c>
    </row>
    <row r="174" spans="1:121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  <c r="DQ174" s="75">
        <v>1000</v>
      </c>
    </row>
    <row r="175" spans="1:121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  <c r="DQ175" s="75">
        <v>8</v>
      </c>
    </row>
    <row r="176" spans="1:121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  <c r="DQ176" s="75">
        <v>12</v>
      </c>
    </row>
    <row r="177" spans="1:121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  <c r="DQ177" s="72">
        <v>427</v>
      </c>
    </row>
    <row r="178" spans="1:121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  <c r="DQ178" s="75">
        <v>0</v>
      </c>
    </row>
    <row r="179" spans="1:121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  <c r="DQ179" s="75">
        <v>0</v>
      </c>
    </row>
    <row r="180" spans="1:121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  <c r="DQ180" s="72">
        <v>407</v>
      </c>
    </row>
    <row r="181" spans="1:121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>
        <v>0</v>
      </c>
    </row>
    <row r="182" spans="1:121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  <c r="DQ182" s="75">
        <v>30</v>
      </c>
    </row>
    <row r="183" spans="1:121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  <c r="DQ183" s="72">
        <v>0</v>
      </c>
    </row>
    <row r="184" spans="1:121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>
        <v>0</v>
      </c>
    </row>
    <row r="185" spans="1:121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  <c r="DQ185" s="72">
        <v>1918</v>
      </c>
    </row>
    <row r="186" spans="1:121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  <c r="DQ186" s="72">
        <v>6486</v>
      </c>
    </row>
    <row r="187" spans="1:121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  <c r="DQ187" s="72">
        <v>87</v>
      </c>
    </row>
    <row r="188" spans="1:121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  <c r="DQ188" s="72">
        <v>10</v>
      </c>
    </row>
    <row r="189" spans="1:121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  <c r="DQ189" s="72">
        <v>0</v>
      </c>
    </row>
    <row r="190" spans="1:121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  <c r="DQ190" s="75">
        <v>0</v>
      </c>
    </row>
    <row r="191" spans="1:121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  <c r="DQ191" s="72">
        <v>1</v>
      </c>
    </row>
    <row r="192" spans="1:121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  <c r="DQ192" s="72">
        <v>3</v>
      </c>
    </row>
    <row r="193" spans="1:121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  <c r="DQ193" s="72">
        <v>264</v>
      </c>
    </row>
    <row r="194" spans="1:121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  <c r="DQ194" s="72">
        <v>83</v>
      </c>
    </row>
    <row r="195" spans="1:121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6">M195*DQ195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  <c r="DQ195" s="72">
        <v>763</v>
      </c>
    </row>
    <row r="196" spans="1:121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6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  <c r="DQ196" s="72">
        <v>476</v>
      </c>
    </row>
    <row r="197" spans="1:121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6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  <c r="DQ197" s="72">
        <v>492</v>
      </c>
    </row>
    <row r="198" spans="1:121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6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  <c r="DQ198" s="72">
        <v>100</v>
      </c>
    </row>
    <row r="199" spans="1:121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6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  <c r="DQ199" s="72">
        <v>488</v>
      </c>
    </row>
    <row r="200" spans="1:121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6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  <c r="DQ200" s="72">
        <v>302</v>
      </c>
    </row>
    <row r="201" spans="1:121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6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  <c r="DQ201" s="72">
        <v>102</v>
      </c>
    </row>
    <row r="202" spans="1:121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6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  <c r="DQ202" s="72">
        <v>76</v>
      </c>
    </row>
    <row r="203" spans="1:121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6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  <c r="DQ203" s="72">
        <v>0</v>
      </c>
    </row>
    <row r="204" spans="1:121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6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  <c r="DQ204" s="72">
        <v>0</v>
      </c>
    </row>
    <row r="205" spans="1:121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6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  <c r="DQ205" s="72">
        <v>57</v>
      </c>
    </row>
    <row r="206" spans="1:121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6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  <c r="DQ206" s="72">
        <v>14</v>
      </c>
    </row>
    <row r="207" spans="1:121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6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  <c r="DQ207" s="72">
        <v>295</v>
      </c>
    </row>
    <row r="208" spans="1:121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6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  <c r="DQ208" s="72">
        <v>325</v>
      </c>
    </row>
    <row r="209" spans="1:121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6"/>
        <v>79.488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  <c r="DQ209" s="75">
        <v>288</v>
      </c>
    </row>
    <row r="210" spans="1:121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6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  <c r="DQ210" s="75">
        <v>1275</v>
      </c>
    </row>
    <row r="211" spans="1:121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6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  <c r="DQ211" s="75">
        <v>884</v>
      </c>
    </row>
    <row r="212" spans="1:121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6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  <c r="DQ212" s="75">
        <v>135</v>
      </c>
    </row>
    <row r="213" spans="1:121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6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  <c r="DQ213" s="75">
        <v>804</v>
      </c>
    </row>
    <row r="214" spans="1:121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6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  <c r="DQ214" s="75">
        <v>969</v>
      </c>
    </row>
    <row r="215" spans="1:121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6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  <c r="DQ215" s="75">
        <v>16</v>
      </c>
    </row>
    <row r="216" spans="1:121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6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  <c r="DQ216" s="75">
        <v>1490</v>
      </c>
    </row>
    <row r="217" spans="1:121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6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  <c r="DQ217" s="75">
        <v>1223</v>
      </c>
    </row>
    <row r="218" spans="1:121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6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  <c r="DQ218" s="75">
        <v>0</v>
      </c>
    </row>
    <row r="219" spans="1:121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6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  <c r="DQ219" s="72">
        <v>1154</v>
      </c>
    </row>
    <row r="220" spans="1:121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6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  <c r="DQ220" s="72">
        <v>1322</v>
      </c>
    </row>
    <row r="221" spans="1:121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6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  <c r="DQ221" s="72">
        <v>11439</v>
      </c>
    </row>
    <row r="222" spans="1:121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6"/>
        <v>806.976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  <c r="DQ222" s="72">
        <v>934</v>
      </c>
    </row>
    <row r="223" spans="1:121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6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  <c r="DQ223" s="72">
        <v>687</v>
      </c>
    </row>
    <row r="224" spans="1:121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6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  <c r="DQ224" s="72">
        <v>101</v>
      </c>
    </row>
    <row r="225" spans="1:121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6"/>
        <v>1482.25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  <c r="DQ225" s="72">
        <v>308</v>
      </c>
    </row>
    <row r="226" spans="1:121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6"/>
        <v>413.875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  <c r="DQ226" s="72">
        <v>86</v>
      </c>
    </row>
    <row r="227" spans="1:121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6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  <c r="DQ227" s="72">
        <v>114</v>
      </c>
    </row>
    <row r="228" spans="1:121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6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  <c r="DQ228" s="75">
        <v>0</v>
      </c>
    </row>
    <row r="229" spans="1:121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6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  <c r="DQ229" s="75">
        <v>10</v>
      </c>
    </row>
    <row r="230" spans="1:121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6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  <c r="DQ230" s="72">
        <v>0</v>
      </c>
    </row>
    <row r="231" spans="1:121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6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  <c r="DQ231" s="72">
        <v>0</v>
      </c>
    </row>
    <row r="232" spans="1:121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6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  <c r="DQ232" s="75">
        <v>26</v>
      </c>
    </row>
    <row r="233" spans="1:121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6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</row>
    <row r="234" spans="1:121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6"/>
        <v>285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  <c r="DQ234" s="75">
        <v>19</v>
      </c>
    </row>
    <row r="235" spans="1:121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</row>
    <row r="236" spans="1:121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6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  <c r="DQ236" s="72">
        <v>49</v>
      </c>
    </row>
    <row r="237" spans="1:121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6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  <c r="DQ237" s="72">
        <v>21</v>
      </c>
    </row>
    <row r="238" spans="1:121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6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  <c r="DQ238" s="72">
        <v>4</v>
      </c>
    </row>
    <row r="239" spans="1:121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6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  <c r="DQ239" s="72">
        <v>30</v>
      </c>
    </row>
    <row r="240" spans="1:121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6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>
        <v>4</v>
      </c>
    </row>
    <row r="241" spans="1:121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6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  <c r="DQ241" s="72">
        <v>20</v>
      </c>
    </row>
    <row r="242" spans="1:121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6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  <c r="DQ242" s="72">
        <v>39</v>
      </c>
    </row>
    <row r="243" spans="1:121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6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  <c r="DQ243" s="72">
        <v>8</v>
      </c>
    </row>
    <row r="244" spans="1:121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6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</row>
    <row r="245" spans="1:121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6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  <c r="DQ245" s="72">
        <v>12</v>
      </c>
    </row>
    <row r="246" spans="1:121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6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  <c r="DQ246" s="72">
        <v>0</v>
      </c>
    </row>
    <row r="247" spans="1:121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6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  <c r="DQ247" s="72">
        <v>8</v>
      </c>
    </row>
    <row r="248" spans="1:121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6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  <c r="DQ248" s="72">
        <v>7</v>
      </c>
    </row>
    <row r="249" spans="1:121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6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  <c r="DQ249" s="72">
        <v>1</v>
      </c>
    </row>
    <row r="250" spans="1:121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6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  <c r="DQ250" s="72">
        <v>8</v>
      </c>
    </row>
    <row r="251" spans="1:121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6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  <c r="DQ251" s="72">
        <v>3</v>
      </c>
    </row>
    <row r="252" spans="1:121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6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  <c r="DQ252" s="72">
        <v>5</v>
      </c>
    </row>
    <row r="253" spans="1:121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6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  <c r="DQ253" s="72">
        <v>0</v>
      </c>
    </row>
    <row r="254" spans="1:121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6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  <c r="DQ254" s="72">
        <v>5</v>
      </c>
    </row>
    <row r="255" spans="1:121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6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>
        <v>0</v>
      </c>
    </row>
    <row r="256" spans="1:121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6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  <c r="DQ256" s="72">
        <v>0</v>
      </c>
    </row>
    <row r="257" spans="1:121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6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</row>
    <row r="258" spans="1:121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6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</row>
    <row r="259" spans="1:121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7">M259*DQ259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</row>
    <row r="260" spans="1:121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7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  <c r="DQ260" s="72">
        <v>3</v>
      </c>
    </row>
    <row r="261" spans="1:121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7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</row>
    <row r="262" spans="1:121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7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  <c r="DQ262" s="72">
        <v>23</v>
      </c>
    </row>
    <row r="263" spans="1:121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7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  <c r="DQ263" s="72">
        <v>1</v>
      </c>
    </row>
    <row r="264" spans="1:121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7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  <c r="DQ264" s="72">
        <v>40</v>
      </c>
    </row>
    <row r="265" spans="1:121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7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>
        <v>1</v>
      </c>
    </row>
    <row r="266" spans="1:121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7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  <c r="DQ266" s="72">
        <v>42</v>
      </c>
    </row>
    <row r="267" spans="1:121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7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>
        <v>0</v>
      </c>
    </row>
    <row r="268" spans="1:121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7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  <c r="DQ268" s="72">
        <v>3</v>
      </c>
    </row>
    <row r="269" spans="1:121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7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  <c r="DQ269" s="72">
        <v>4</v>
      </c>
    </row>
    <row r="270" spans="1:121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7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  <c r="DQ270" s="72">
        <v>472</v>
      </c>
    </row>
    <row r="271" spans="1:121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7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>
        <v>1</v>
      </c>
    </row>
    <row r="272" spans="1:121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7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  <c r="DQ272" s="72">
        <v>1</v>
      </c>
    </row>
    <row r="273" spans="1:121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7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>
        <v>1</v>
      </c>
    </row>
    <row r="274" spans="1:121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7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>
        <v>1</v>
      </c>
    </row>
    <row r="275" spans="1:121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7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  <c r="DQ275" s="72">
        <v>0</v>
      </c>
    </row>
    <row r="276" spans="1:121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153</v>
      </c>
      <c r="L276" s="8"/>
      <c r="M276" s="12"/>
      <c r="N276" s="12">
        <f t="shared" si="7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  <c r="DQ276" s="72">
        <v>0</v>
      </c>
    </row>
    <row r="277" spans="1:121" x14ac:dyDescent="0.35">
      <c r="A277" s="7"/>
      <c r="B277" s="77" t="s">
        <v>979</v>
      </c>
      <c r="C277" s="78" t="s">
        <v>1589</v>
      </c>
      <c r="D277" s="10" t="s">
        <v>499</v>
      </c>
      <c r="E277" s="8" t="s">
        <v>1223</v>
      </c>
      <c r="F277" s="10"/>
      <c r="G277" s="10"/>
      <c r="H277" s="10"/>
      <c r="I277" s="11"/>
      <c r="J277" s="10"/>
      <c r="K277" s="10" t="s">
        <v>153</v>
      </c>
      <c r="L277" s="8"/>
      <c r="M277" s="12">
        <v>1450.81</v>
      </c>
      <c r="N277" s="12">
        <f t="shared" si="7"/>
        <v>2901.62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  <c r="DA277" s="72"/>
      <c r="DB277" s="72"/>
      <c r="DC277" s="72"/>
      <c r="DD277" s="72"/>
      <c r="DE277" s="72"/>
      <c r="DF277" s="72"/>
      <c r="DG277" s="72"/>
      <c r="DH277" s="72"/>
      <c r="DI277" s="72"/>
      <c r="DJ277" s="72"/>
      <c r="DK277" s="72"/>
      <c r="DL277" s="72"/>
      <c r="DM277" s="72"/>
      <c r="DN277" s="72"/>
      <c r="DO277" s="72"/>
      <c r="DP277" s="72"/>
      <c r="DQ277" s="72">
        <v>2</v>
      </c>
    </row>
    <row r="278" spans="1:121" x14ac:dyDescent="0.35">
      <c r="A278" s="7"/>
      <c r="B278" s="8" t="s">
        <v>506</v>
      </c>
      <c r="C278" s="9" t="s">
        <v>507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 t="s">
        <v>153</v>
      </c>
      <c r="L278" s="8"/>
      <c r="M278" s="12">
        <v>1350</v>
      </c>
      <c r="N278" s="12">
        <f t="shared" si="7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>
        <v>2</v>
      </c>
      <c r="AD278" s="11">
        <v>2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>
        <v>0</v>
      </c>
    </row>
    <row r="279" spans="1:121" x14ac:dyDescent="0.35">
      <c r="A279" s="7"/>
      <c r="B279" s="8" t="s">
        <v>508</v>
      </c>
      <c r="C279" s="9" t="s">
        <v>509</v>
      </c>
      <c r="D279" s="10" t="s">
        <v>499</v>
      </c>
      <c r="E279" s="8" t="s">
        <v>1223</v>
      </c>
      <c r="F279" s="10">
        <v>1002</v>
      </c>
      <c r="G279" s="10" t="s">
        <v>40</v>
      </c>
      <c r="H279" s="10" t="s">
        <v>41</v>
      </c>
      <c r="I279" s="11">
        <v>0</v>
      </c>
      <c r="J279" s="10"/>
      <c r="K279" s="10"/>
      <c r="L279" s="8"/>
      <c r="M279" s="12"/>
      <c r="N279" s="12">
        <f t="shared" si="7"/>
        <v>0</v>
      </c>
      <c r="O279" s="11">
        <v>1</v>
      </c>
      <c r="P279" s="11">
        <v>1</v>
      </c>
      <c r="Q279" s="11">
        <v>1</v>
      </c>
      <c r="R279" s="11">
        <v>1</v>
      </c>
      <c r="S279" s="11">
        <v>1</v>
      </c>
      <c r="T279" s="11">
        <v>0</v>
      </c>
      <c r="U279" s="11">
        <v>0</v>
      </c>
      <c r="V279" s="11">
        <v>0</v>
      </c>
      <c r="W279" s="11">
        <v>0</v>
      </c>
      <c r="X279" s="11">
        <v>0</v>
      </c>
      <c r="Y279" s="11">
        <v>0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0</v>
      </c>
      <c r="AG279" s="11">
        <v>0</v>
      </c>
      <c r="AH279" s="11">
        <v>0</v>
      </c>
      <c r="AI279" s="11">
        <v>0</v>
      </c>
      <c r="AJ279" s="11">
        <v>0</v>
      </c>
      <c r="AK279" s="11">
        <v>0</v>
      </c>
      <c r="AL279" s="11">
        <v>0</v>
      </c>
      <c r="AM279" s="11">
        <v>0</v>
      </c>
      <c r="AN279" s="72">
        <v>0</v>
      </c>
      <c r="AO279" s="72">
        <v>0</v>
      </c>
      <c r="AP279" s="72">
        <v>0</v>
      </c>
      <c r="AQ279" s="72">
        <v>0</v>
      </c>
      <c r="AR279" s="72">
        <v>0</v>
      </c>
      <c r="AS279" s="72">
        <v>0</v>
      </c>
      <c r="AT279" s="72">
        <v>0</v>
      </c>
      <c r="AU279" s="72">
        <v>0</v>
      </c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</row>
    <row r="280" spans="1:121" x14ac:dyDescent="0.35">
      <c r="A280" s="7"/>
      <c r="B280" s="8" t="s">
        <v>1254</v>
      </c>
      <c r="C280" s="9" t="s">
        <v>1258</v>
      </c>
      <c r="D280" s="10" t="s">
        <v>499</v>
      </c>
      <c r="E280" s="8" t="s">
        <v>1223</v>
      </c>
      <c r="F280" s="10"/>
      <c r="G280" s="10" t="s">
        <v>40</v>
      </c>
      <c r="H280" s="10" t="s">
        <v>41</v>
      </c>
      <c r="I280" s="11"/>
      <c r="J280" s="10"/>
      <c r="K280" s="10"/>
      <c r="L280" s="8"/>
      <c r="M280" s="119">
        <v>7609.76</v>
      </c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72"/>
      <c r="AO280" s="72"/>
      <c r="AP280" s="72"/>
      <c r="AQ280" s="72"/>
      <c r="AR280" s="72"/>
      <c r="AS280" s="72"/>
      <c r="AT280" s="72"/>
      <c r="AU280" s="72"/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2</v>
      </c>
      <c r="CZ280" s="72">
        <v>2</v>
      </c>
      <c r="DA280" s="72">
        <v>1</v>
      </c>
      <c r="DB280" s="72">
        <v>1</v>
      </c>
      <c r="DC280" s="72">
        <v>1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</row>
    <row r="281" spans="1:121" x14ac:dyDescent="0.35">
      <c r="A281" s="7"/>
      <c r="B281" s="8" t="s">
        <v>510</v>
      </c>
      <c r="C281" s="9" t="s">
        <v>511</v>
      </c>
      <c r="D281" s="10" t="s">
        <v>499</v>
      </c>
      <c r="E281" s="8" t="s">
        <v>1205</v>
      </c>
      <c r="F281" s="10"/>
      <c r="G281" s="10" t="s">
        <v>40</v>
      </c>
      <c r="H281" s="10" t="s">
        <v>41</v>
      </c>
      <c r="I281" s="11">
        <v>1</v>
      </c>
      <c r="J281" s="10"/>
      <c r="K281" s="10" t="s">
        <v>153</v>
      </c>
      <c r="L281" s="8"/>
      <c r="M281" s="12"/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>
        <v>1</v>
      </c>
      <c r="AJ281" s="11">
        <v>1</v>
      </c>
      <c r="AK281" s="11">
        <v>1</v>
      </c>
      <c r="AL281" s="11">
        <v>1</v>
      </c>
      <c r="AM281" s="11">
        <v>1</v>
      </c>
      <c r="AN281" s="72">
        <v>1</v>
      </c>
      <c r="AO281" s="72">
        <v>1</v>
      </c>
      <c r="AP281" s="72">
        <v>1</v>
      </c>
      <c r="AQ281" s="72">
        <v>1</v>
      </c>
      <c r="AR281" s="72">
        <v>1</v>
      </c>
      <c r="AS281" s="72">
        <v>1</v>
      </c>
      <c r="AT281" s="72">
        <v>1</v>
      </c>
      <c r="AU281" s="72">
        <v>1</v>
      </c>
      <c r="AV281" s="72">
        <v>1</v>
      </c>
      <c r="AW281" s="72">
        <v>1</v>
      </c>
      <c r="AX281" s="72">
        <v>1</v>
      </c>
      <c r="AY281" s="72">
        <v>1</v>
      </c>
      <c r="AZ281" s="72">
        <v>1</v>
      </c>
      <c r="BA281" s="72">
        <v>1</v>
      </c>
      <c r="BB281" s="72">
        <v>1</v>
      </c>
      <c r="BC281" s="72">
        <v>1</v>
      </c>
      <c r="BD281" s="72">
        <v>1</v>
      </c>
      <c r="BE281" s="72">
        <v>1</v>
      </c>
      <c r="BF281" s="72">
        <v>1</v>
      </c>
      <c r="BG281" s="72">
        <v>1</v>
      </c>
      <c r="BH281" s="72">
        <v>1</v>
      </c>
      <c r="BI281" s="72">
        <v>1</v>
      </c>
      <c r="BJ281" s="72">
        <v>1</v>
      </c>
      <c r="BK281" s="72">
        <v>1</v>
      </c>
      <c r="BL281" s="72">
        <v>1</v>
      </c>
      <c r="BM281" s="72">
        <v>1</v>
      </c>
      <c r="BN281" s="72">
        <v>1</v>
      </c>
      <c r="BO281" s="72">
        <v>1</v>
      </c>
      <c r="BP281" s="72">
        <v>1</v>
      </c>
      <c r="BQ281" s="72">
        <v>1</v>
      </c>
      <c r="BR281" s="72">
        <v>1</v>
      </c>
      <c r="BS281" s="72">
        <v>1</v>
      </c>
      <c r="BT281" s="72">
        <v>1</v>
      </c>
      <c r="BU281" s="72">
        <v>1</v>
      </c>
      <c r="BV281" s="72">
        <v>1</v>
      </c>
      <c r="BW281" s="72">
        <v>1</v>
      </c>
      <c r="BX281" s="72">
        <v>1</v>
      </c>
      <c r="BY281" s="72">
        <v>1</v>
      </c>
      <c r="BZ281" s="72">
        <v>1</v>
      </c>
      <c r="CA281" s="72">
        <v>1</v>
      </c>
      <c r="CB281" s="72">
        <v>1</v>
      </c>
      <c r="CC281" s="72">
        <v>1</v>
      </c>
      <c r="CD281" s="72">
        <v>1</v>
      </c>
      <c r="CE281" s="72">
        <v>1</v>
      </c>
      <c r="CF281" s="72">
        <v>1</v>
      </c>
      <c r="CG281" s="72">
        <v>1</v>
      </c>
      <c r="CH281" s="72">
        <v>1</v>
      </c>
      <c r="CI281" s="72">
        <v>1</v>
      </c>
      <c r="CJ281" s="72">
        <v>1</v>
      </c>
      <c r="CK281" s="72">
        <v>1</v>
      </c>
      <c r="CL281" s="72">
        <v>1</v>
      </c>
      <c r="CM281" s="72">
        <v>1</v>
      </c>
      <c r="CN281" s="72">
        <v>1</v>
      </c>
      <c r="CO281" s="72">
        <v>1</v>
      </c>
      <c r="CP281" s="72">
        <v>1</v>
      </c>
      <c r="CQ281" s="72">
        <v>1</v>
      </c>
      <c r="CR281" s="72">
        <v>1</v>
      </c>
      <c r="CS281" s="72">
        <v>1</v>
      </c>
      <c r="CT281" s="72">
        <v>1</v>
      </c>
      <c r="CU281" s="72">
        <v>1</v>
      </c>
      <c r="CV281" s="72">
        <v>1</v>
      </c>
      <c r="CW281" s="72">
        <v>1</v>
      </c>
      <c r="CX281" s="72">
        <v>1</v>
      </c>
      <c r="CY281" s="72">
        <v>1</v>
      </c>
      <c r="CZ281" s="72">
        <v>1</v>
      </c>
      <c r="DA281" s="72">
        <v>1</v>
      </c>
      <c r="DB281" s="72">
        <v>1</v>
      </c>
      <c r="DC281" s="72">
        <v>1</v>
      </c>
      <c r="DD281" s="72">
        <v>1</v>
      </c>
      <c r="DE281" s="72">
        <v>1</v>
      </c>
      <c r="DF281" s="72">
        <v>1</v>
      </c>
      <c r="DG281" s="72">
        <v>1</v>
      </c>
      <c r="DH281" s="72">
        <v>1</v>
      </c>
      <c r="DI281" s="72">
        <v>1</v>
      </c>
      <c r="DJ281" s="72">
        <v>1</v>
      </c>
      <c r="DK281" s="72">
        <v>1</v>
      </c>
      <c r="DL281" s="72">
        <v>1</v>
      </c>
      <c r="DM281" s="72">
        <v>1</v>
      </c>
      <c r="DN281" s="72">
        <v>1</v>
      </c>
      <c r="DO281" s="72">
        <v>1</v>
      </c>
      <c r="DP281" s="72">
        <v>1</v>
      </c>
      <c r="DQ281" s="72">
        <v>1</v>
      </c>
    </row>
    <row r="282" spans="1:121" x14ac:dyDescent="0.35">
      <c r="A282" s="7"/>
      <c r="B282" s="77" t="s">
        <v>1559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566</v>
      </c>
      <c r="L282" s="8"/>
      <c r="M282" s="12">
        <v>2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3</v>
      </c>
      <c r="DN282" s="72">
        <v>3</v>
      </c>
      <c r="DO282" s="72">
        <v>0</v>
      </c>
      <c r="DP282" s="72">
        <v>0</v>
      </c>
      <c r="DQ282" s="72">
        <v>0</v>
      </c>
    </row>
    <row r="283" spans="1:121" x14ac:dyDescent="0.35">
      <c r="A283" s="7"/>
      <c r="B283" s="77" t="s">
        <v>1560</v>
      </c>
      <c r="C283" s="78" t="s">
        <v>1567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553</v>
      </c>
      <c r="L283" s="8"/>
      <c r="M283" s="12">
        <v>2</v>
      </c>
      <c r="N283" s="12">
        <f t="shared" si="7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5</v>
      </c>
      <c r="DN283" s="72">
        <v>5</v>
      </c>
      <c r="DO283" s="72">
        <v>0</v>
      </c>
      <c r="DP283" s="72">
        <v>0</v>
      </c>
      <c r="DQ283" s="72">
        <v>0</v>
      </c>
    </row>
    <row r="284" spans="1:121" x14ac:dyDescent="0.35">
      <c r="A284" s="7"/>
      <c r="B284" s="77" t="s">
        <v>1561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566</v>
      </c>
      <c r="L284" s="8"/>
      <c r="M284" s="12">
        <v>4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19</v>
      </c>
      <c r="DN284" s="72">
        <v>19</v>
      </c>
      <c r="DO284" s="72">
        <v>0</v>
      </c>
      <c r="DP284" s="72">
        <v>0</v>
      </c>
      <c r="DQ284" s="72">
        <v>0</v>
      </c>
    </row>
    <row r="285" spans="1:121" x14ac:dyDescent="0.35">
      <c r="A285" s="7"/>
      <c r="B285" s="77" t="s">
        <v>1562</v>
      </c>
      <c r="C285" s="78" t="s">
        <v>1569</v>
      </c>
      <c r="D285" s="97" t="s">
        <v>1568</v>
      </c>
      <c r="E285" s="92" t="s">
        <v>183</v>
      </c>
      <c r="F285" s="10"/>
      <c r="G285" s="10"/>
      <c r="H285" s="10"/>
      <c r="I285" s="11"/>
      <c r="J285" s="10"/>
      <c r="K285" s="10" t="s">
        <v>553</v>
      </c>
      <c r="L285" s="8"/>
      <c r="M285" s="12">
        <v>4</v>
      </c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  <c r="DQ285" s="72">
        <v>0</v>
      </c>
    </row>
    <row r="286" spans="1:121" x14ac:dyDescent="0.35">
      <c r="A286" s="7"/>
      <c r="B286" s="77" t="s">
        <v>1563</v>
      </c>
      <c r="C286" s="78" t="s">
        <v>1570</v>
      </c>
      <c r="D286" s="97" t="s">
        <v>1568</v>
      </c>
      <c r="E286" s="92" t="s">
        <v>1213</v>
      </c>
      <c r="F286" s="10"/>
      <c r="G286" s="10"/>
      <c r="H286" s="10"/>
      <c r="I286" s="11"/>
      <c r="J286" s="10"/>
      <c r="K286" s="10" t="s">
        <v>1571</v>
      </c>
      <c r="L286" s="8" t="s">
        <v>1572</v>
      </c>
      <c r="M286" s="12"/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1</v>
      </c>
      <c r="DN286" s="72">
        <v>1</v>
      </c>
      <c r="DO286" s="72">
        <v>0</v>
      </c>
      <c r="DP286" s="72">
        <v>0</v>
      </c>
      <c r="DQ286" s="72">
        <v>0</v>
      </c>
    </row>
    <row r="287" spans="1:121" x14ac:dyDescent="0.35">
      <c r="A287" s="7"/>
      <c r="B287" s="8" t="s">
        <v>512</v>
      </c>
      <c r="C287" s="9" t="s">
        <v>1162</v>
      </c>
      <c r="D287" s="10" t="s">
        <v>513</v>
      </c>
      <c r="E287" s="8" t="s">
        <v>1214</v>
      </c>
      <c r="F287" s="10">
        <v>1003</v>
      </c>
      <c r="G287" s="10" t="s">
        <v>40</v>
      </c>
      <c r="H287" s="10" t="s">
        <v>41</v>
      </c>
      <c r="I287" s="11"/>
      <c r="J287" s="10"/>
      <c r="K287" s="10" t="s">
        <v>514</v>
      </c>
      <c r="L287" s="8" t="s">
        <v>515</v>
      </c>
      <c r="M287" s="12"/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>
        <v>0</v>
      </c>
      <c r="AW287" s="72">
        <v>0</v>
      </c>
      <c r="AX287" s="72">
        <v>0</v>
      </c>
      <c r="AY287" s="72">
        <v>0</v>
      </c>
      <c r="AZ287" s="72">
        <v>0</v>
      </c>
      <c r="BA287" s="72">
        <v>0</v>
      </c>
      <c r="BB287" s="72">
        <v>0</v>
      </c>
      <c r="BC287" s="72">
        <v>0</v>
      </c>
      <c r="BD287" s="72">
        <v>0</v>
      </c>
      <c r="BE287" s="72">
        <v>0</v>
      </c>
      <c r="BF287" s="72">
        <v>0</v>
      </c>
      <c r="BG287" s="72">
        <v>0</v>
      </c>
      <c r="BH287" s="72">
        <v>0</v>
      </c>
      <c r="BI287" s="72">
        <v>0</v>
      </c>
      <c r="BJ287" s="72">
        <v>0</v>
      </c>
      <c r="BK287" s="72">
        <v>0</v>
      </c>
      <c r="BL287" s="72">
        <v>0</v>
      </c>
      <c r="BM287" s="72">
        <v>0</v>
      </c>
      <c r="BN287" s="72">
        <v>0</v>
      </c>
      <c r="BO287" s="72">
        <v>0</v>
      </c>
      <c r="BP287" s="72">
        <v>0</v>
      </c>
      <c r="BQ287" s="72">
        <v>0</v>
      </c>
      <c r="BR287" s="72">
        <v>0</v>
      </c>
      <c r="BS287" s="72">
        <v>0</v>
      </c>
      <c r="BT287" s="72">
        <v>0</v>
      </c>
      <c r="BU287" s="72">
        <v>0</v>
      </c>
      <c r="BV287" s="72">
        <v>0</v>
      </c>
      <c r="BW287" s="72">
        <v>0</v>
      </c>
      <c r="BX287" s="72">
        <v>0</v>
      </c>
      <c r="BY287" s="72">
        <v>0</v>
      </c>
      <c r="BZ287" s="72">
        <v>0</v>
      </c>
      <c r="CA287" s="72">
        <v>0</v>
      </c>
      <c r="CB287" s="72">
        <v>0</v>
      </c>
      <c r="CC287" s="72">
        <v>0</v>
      </c>
      <c r="CD287" s="72">
        <v>0</v>
      </c>
      <c r="CE287" s="72">
        <v>0</v>
      </c>
      <c r="CF287" s="72">
        <v>0</v>
      </c>
      <c r="CG287" s="72">
        <v>0</v>
      </c>
      <c r="CH287" s="72">
        <v>0</v>
      </c>
      <c r="CI287" s="72">
        <v>0</v>
      </c>
      <c r="CJ287" s="72">
        <v>0</v>
      </c>
      <c r="CK287" s="72">
        <v>0</v>
      </c>
      <c r="CL287" s="72">
        <v>0</v>
      </c>
      <c r="CM287" s="72">
        <v>0</v>
      </c>
      <c r="CN287" s="72">
        <v>0</v>
      </c>
      <c r="CO287" s="72">
        <v>0</v>
      </c>
      <c r="CP287" s="72">
        <v>0</v>
      </c>
      <c r="CQ287" s="72">
        <v>0</v>
      </c>
      <c r="CR287" s="72">
        <v>0</v>
      </c>
      <c r="CS287" s="72">
        <v>0</v>
      </c>
      <c r="CT287" s="72">
        <v>0</v>
      </c>
      <c r="CU287" s="72">
        <v>0</v>
      </c>
      <c r="CV287" s="72">
        <v>0</v>
      </c>
      <c r="CW287" s="72">
        <v>0</v>
      </c>
      <c r="CX287" s="72">
        <v>0</v>
      </c>
      <c r="CY287" s="72">
        <v>0</v>
      </c>
      <c r="CZ287" s="72">
        <v>0</v>
      </c>
      <c r="DA287" s="72">
        <v>0</v>
      </c>
      <c r="DB287" s="72">
        <v>0</v>
      </c>
      <c r="DC287" s="72">
        <v>0</v>
      </c>
      <c r="DD287" s="72">
        <v>0</v>
      </c>
      <c r="DE287" s="72">
        <v>0</v>
      </c>
      <c r="DF287" s="72">
        <v>0</v>
      </c>
      <c r="DG287" s="72">
        <v>0</v>
      </c>
      <c r="DH287" s="72">
        <v>0</v>
      </c>
      <c r="DI287" s="72">
        <v>0</v>
      </c>
      <c r="DJ287" s="72">
        <v>0</v>
      </c>
      <c r="DK287" s="72">
        <v>0</v>
      </c>
      <c r="DL287" s="72">
        <v>0</v>
      </c>
      <c r="DM287" s="72">
        <v>0</v>
      </c>
      <c r="DN287" s="72">
        <v>0</v>
      </c>
      <c r="DO287" s="72">
        <v>0</v>
      </c>
      <c r="DP287" s="72">
        <v>0</v>
      </c>
      <c r="DQ287" s="72">
        <v>0</v>
      </c>
    </row>
    <row r="288" spans="1:121" x14ac:dyDescent="0.35">
      <c r="A288" s="7"/>
      <c r="B288" s="8" t="s">
        <v>516</v>
      </c>
      <c r="C288" s="9" t="s">
        <v>517</v>
      </c>
      <c r="D288" s="10" t="s">
        <v>513</v>
      </c>
      <c r="E288" s="8" t="s">
        <v>1205</v>
      </c>
      <c r="F288" s="10">
        <v>1002</v>
      </c>
      <c r="G288" s="10" t="s">
        <v>40</v>
      </c>
      <c r="H288" s="10" t="s">
        <v>41</v>
      </c>
      <c r="I288" s="11">
        <v>2</v>
      </c>
      <c r="J288" s="10"/>
      <c r="K288" s="10"/>
      <c r="L288" s="8"/>
      <c r="M288" s="12">
        <v>1300</v>
      </c>
      <c r="N288" s="12">
        <f t="shared" si="7"/>
        <v>2600</v>
      </c>
      <c r="O288" s="11">
        <v>2</v>
      </c>
      <c r="P288" s="11">
        <v>2</v>
      </c>
      <c r="Q288" s="11">
        <v>2</v>
      </c>
      <c r="R288" s="11">
        <v>2</v>
      </c>
      <c r="S288" s="11">
        <v>2</v>
      </c>
      <c r="T288" s="11">
        <v>2</v>
      </c>
      <c r="U288" s="11">
        <v>2</v>
      </c>
      <c r="V288" s="11">
        <v>2</v>
      </c>
      <c r="W288" s="11">
        <v>2</v>
      </c>
      <c r="X288" s="11">
        <v>2</v>
      </c>
      <c r="Y288" s="11">
        <v>2</v>
      </c>
      <c r="Z288" s="11">
        <v>2</v>
      </c>
      <c r="AA288" s="11">
        <v>2</v>
      </c>
      <c r="AB288" s="11">
        <v>2</v>
      </c>
      <c r="AC288" s="11">
        <v>2</v>
      </c>
      <c r="AD288" s="11">
        <v>2</v>
      </c>
      <c r="AE288" s="11">
        <v>2</v>
      </c>
      <c r="AF288" s="11">
        <v>2</v>
      </c>
      <c r="AG288" s="11">
        <v>2</v>
      </c>
      <c r="AH288" s="11">
        <v>2</v>
      </c>
      <c r="AI288" s="11">
        <v>2</v>
      </c>
      <c r="AJ288" s="11">
        <v>2</v>
      </c>
      <c r="AK288" s="11">
        <v>2</v>
      </c>
      <c r="AL288" s="11">
        <v>2</v>
      </c>
      <c r="AM288" s="11">
        <v>2</v>
      </c>
      <c r="AN288" s="72">
        <v>2</v>
      </c>
      <c r="AO288" s="72">
        <v>2</v>
      </c>
      <c r="AP288" s="72">
        <v>2</v>
      </c>
      <c r="AQ288" s="72">
        <v>2</v>
      </c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2</v>
      </c>
      <c r="AX288" s="72">
        <v>2</v>
      </c>
      <c r="AY288" s="72">
        <v>2</v>
      </c>
      <c r="AZ288" s="72">
        <v>2</v>
      </c>
      <c r="BA288" s="72">
        <v>2</v>
      </c>
      <c r="BB288" s="72">
        <v>2</v>
      </c>
      <c r="BC288" s="72">
        <v>2</v>
      </c>
      <c r="BD288" s="72">
        <v>2</v>
      </c>
      <c r="BE288" s="72">
        <v>2</v>
      </c>
      <c r="BF288" s="72">
        <v>2</v>
      </c>
      <c r="BG288" s="72">
        <v>2</v>
      </c>
      <c r="BH288" s="72">
        <v>2</v>
      </c>
      <c r="BI288" s="72">
        <v>2</v>
      </c>
      <c r="BJ288" s="72">
        <v>2</v>
      </c>
      <c r="BK288" s="72">
        <v>2</v>
      </c>
      <c r="BL288" s="72">
        <v>2</v>
      </c>
      <c r="BM288" s="72">
        <v>2</v>
      </c>
      <c r="BN288" s="72">
        <v>2</v>
      </c>
      <c r="BO288" s="72">
        <v>2</v>
      </c>
      <c r="BP288" s="72">
        <v>2</v>
      </c>
      <c r="BQ288" s="72">
        <v>2</v>
      </c>
      <c r="BR288" s="72">
        <v>2</v>
      </c>
      <c r="BS288" s="72">
        <v>2</v>
      </c>
      <c r="BT288" s="72">
        <v>2</v>
      </c>
      <c r="BU288" s="72">
        <v>2</v>
      </c>
      <c r="BV288" s="72">
        <v>2</v>
      </c>
      <c r="BW288" s="72">
        <v>2</v>
      </c>
      <c r="BX288" s="72">
        <v>2</v>
      </c>
      <c r="BY288" s="72">
        <v>2</v>
      </c>
      <c r="BZ288" s="72">
        <v>2</v>
      </c>
      <c r="CA288" s="72">
        <v>2</v>
      </c>
      <c r="CB288" s="72">
        <v>2</v>
      </c>
      <c r="CC288" s="72">
        <v>2</v>
      </c>
      <c r="CD288" s="72">
        <v>2</v>
      </c>
      <c r="CE288" s="72">
        <v>2</v>
      </c>
      <c r="CF288" s="72">
        <v>2</v>
      </c>
      <c r="CG288" s="72">
        <v>2</v>
      </c>
      <c r="CH288" s="72">
        <v>2</v>
      </c>
      <c r="CI288" s="72">
        <v>2</v>
      </c>
      <c r="CJ288" s="72">
        <v>2</v>
      </c>
      <c r="CK288" s="72">
        <v>2</v>
      </c>
      <c r="CL288" s="72">
        <v>2</v>
      </c>
      <c r="CM288" s="72">
        <v>2</v>
      </c>
      <c r="CN288" s="72">
        <v>2</v>
      </c>
      <c r="CO288" s="72">
        <v>2</v>
      </c>
      <c r="CP288" s="72">
        <v>2</v>
      </c>
      <c r="CQ288" s="72">
        <v>2</v>
      </c>
      <c r="CR288" s="72">
        <v>2</v>
      </c>
      <c r="CS288" s="72">
        <v>2</v>
      </c>
      <c r="CT288" s="72">
        <v>2</v>
      </c>
      <c r="CU288" s="72">
        <v>2</v>
      </c>
      <c r="CV288" s="72">
        <v>2</v>
      </c>
      <c r="CW288" s="72">
        <v>2</v>
      </c>
      <c r="CX288" s="72">
        <v>2</v>
      </c>
      <c r="CY288" s="72">
        <v>2</v>
      </c>
      <c r="CZ288" s="72">
        <v>2</v>
      </c>
      <c r="DA288" s="72">
        <v>2</v>
      </c>
      <c r="DB288" s="72">
        <v>2</v>
      </c>
      <c r="DC288" s="72">
        <v>2</v>
      </c>
      <c r="DD288" s="72">
        <v>2</v>
      </c>
      <c r="DE288" s="72">
        <v>2</v>
      </c>
      <c r="DF288" s="72">
        <v>2</v>
      </c>
      <c r="DG288" s="72">
        <v>2</v>
      </c>
      <c r="DH288" s="72">
        <v>2</v>
      </c>
      <c r="DI288" s="72">
        <v>2</v>
      </c>
      <c r="DJ288" s="72">
        <v>2</v>
      </c>
      <c r="DK288" s="72">
        <v>2</v>
      </c>
      <c r="DL288" s="72">
        <v>2</v>
      </c>
      <c r="DM288" s="72">
        <v>2</v>
      </c>
      <c r="DN288" s="72">
        <v>2</v>
      </c>
      <c r="DO288" s="72">
        <v>2</v>
      </c>
      <c r="DP288" s="72">
        <v>2</v>
      </c>
      <c r="DQ288" s="72">
        <v>2</v>
      </c>
    </row>
    <row r="289" spans="1:121" x14ac:dyDescent="0.35">
      <c r="A289" s="7"/>
      <c r="B289" s="8" t="s">
        <v>518</v>
      </c>
      <c r="C289" s="9" t="s">
        <v>519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7"/>
        <v>0</v>
      </c>
      <c r="O289" s="11"/>
      <c r="P289" s="11"/>
      <c r="Q289" s="11">
        <v>7</v>
      </c>
      <c r="R289" s="11">
        <v>7</v>
      </c>
      <c r="S289" s="11">
        <v>7</v>
      </c>
      <c r="T289" s="11">
        <v>7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>
        <v>0</v>
      </c>
    </row>
    <row r="290" spans="1:121" x14ac:dyDescent="0.35">
      <c r="A290" s="7"/>
      <c r="B290" s="8" t="s">
        <v>521</v>
      </c>
      <c r="C290" s="9" t="s">
        <v>522</v>
      </c>
      <c r="D290" s="10" t="s">
        <v>513</v>
      </c>
      <c r="E290" s="8" t="s">
        <v>1224</v>
      </c>
      <c r="F290" s="10">
        <v>1005</v>
      </c>
      <c r="G290" s="10" t="s">
        <v>40</v>
      </c>
      <c r="H290" s="10" t="s">
        <v>41</v>
      </c>
      <c r="I290" s="11">
        <v>0</v>
      </c>
      <c r="J290" s="10"/>
      <c r="K290" s="10" t="s">
        <v>520</v>
      </c>
      <c r="L290" s="8"/>
      <c r="M290" s="12"/>
      <c r="N290" s="12">
        <f t="shared" si="7"/>
        <v>0</v>
      </c>
      <c r="O290" s="11"/>
      <c r="P290" s="11"/>
      <c r="Q290" s="11">
        <v>2</v>
      </c>
      <c r="R290" s="11">
        <v>2</v>
      </c>
      <c r="S290" s="11">
        <v>2</v>
      </c>
      <c r="T290" s="11">
        <v>2</v>
      </c>
      <c r="U290" s="11">
        <v>0</v>
      </c>
      <c r="V290" s="11">
        <v>0</v>
      </c>
      <c r="W290" s="11">
        <v>0</v>
      </c>
      <c r="X290" s="11">
        <v>0</v>
      </c>
      <c r="Y290" s="11">
        <v>0</v>
      </c>
      <c r="Z290" s="11">
        <v>0</v>
      </c>
      <c r="AA290" s="11">
        <v>0</v>
      </c>
      <c r="AB290" s="11">
        <v>0</v>
      </c>
      <c r="AC290" s="11">
        <v>0</v>
      </c>
      <c r="AD290" s="11">
        <v>0</v>
      </c>
      <c r="AE290" s="11">
        <v>0</v>
      </c>
      <c r="AF290" s="11">
        <v>0</v>
      </c>
      <c r="AG290" s="11">
        <v>0</v>
      </c>
      <c r="AH290" s="11">
        <v>0</v>
      </c>
      <c r="AI290" s="11">
        <v>0</v>
      </c>
      <c r="AJ290" s="11">
        <v>0</v>
      </c>
      <c r="AK290" s="11">
        <v>0</v>
      </c>
      <c r="AL290" s="11">
        <v>0</v>
      </c>
      <c r="AM290" s="11">
        <v>0</v>
      </c>
      <c r="AN290" s="72">
        <v>0</v>
      </c>
      <c r="AO290" s="72">
        <v>0</v>
      </c>
      <c r="AP290" s="72">
        <v>0</v>
      </c>
      <c r="AQ290" s="72">
        <v>0</v>
      </c>
      <c r="AR290" s="72">
        <v>0</v>
      </c>
      <c r="AS290" s="72">
        <v>0</v>
      </c>
      <c r="AT290" s="72">
        <v>0</v>
      </c>
      <c r="AU290" s="72">
        <v>0</v>
      </c>
      <c r="AV290" s="72">
        <v>0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  <c r="DQ290" s="72">
        <v>0</v>
      </c>
    </row>
    <row r="291" spans="1:121" x14ac:dyDescent="0.35">
      <c r="A291" s="7"/>
      <c r="B291" s="8" t="s">
        <v>523</v>
      </c>
      <c r="C291" s="9" t="s">
        <v>524</v>
      </c>
      <c r="D291" s="10" t="s">
        <v>525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>
        <v>1</v>
      </c>
      <c r="K291" s="10" t="s">
        <v>526</v>
      </c>
      <c r="L291" s="8" t="s">
        <v>527</v>
      </c>
      <c r="M291" s="12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</row>
    <row r="292" spans="1:121" x14ac:dyDescent="0.35">
      <c r="A292" s="7"/>
      <c r="B292" s="8" t="s">
        <v>528</v>
      </c>
      <c r="C292" s="9" t="s">
        <v>529</v>
      </c>
      <c r="D292" s="10" t="s">
        <v>525</v>
      </c>
      <c r="E292" s="8" t="s">
        <v>1225</v>
      </c>
      <c r="F292" s="10">
        <v>1003</v>
      </c>
      <c r="G292" s="10" t="s">
        <v>40</v>
      </c>
      <c r="H292" s="10" t="s">
        <v>41</v>
      </c>
      <c r="I292" s="11">
        <v>4</v>
      </c>
      <c r="J292" s="10"/>
      <c r="K292" s="10"/>
      <c r="L292" s="8"/>
      <c r="M292" s="12"/>
      <c r="N292" s="12">
        <f t="shared" si="7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>
        <v>4</v>
      </c>
      <c r="AH292" s="11">
        <v>4</v>
      </c>
      <c r="AI292" s="11">
        <v>4</v>
      </c>
      <c r="AJ292" s="11">
        <v>4</v>
      </c>
      <c r="AK292" s="11">
        <v>4</v>
      </c>
      <c r="AL292" s="11">
        <v>4</v>
      </c>
      <c r="AM292" s="11">
        <v>3</v>
      </c>
      <c r="AN292" s="72">
        <v>3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</row>
    <row r="293" spans="1:121" x14ac:dyDescent="0.35">
      <c r="A293" s="7"/>
      <c r="B293" s="77" t="s">
        <v>1264</v>
      </c>
      <c r="C293" s="9" t="s">
        <v>1274</v>
      </c>
      <c r="D293" s="10" t="s">
        <v>525</v>
      </c>
      <c r="E293" s="8" t="s">
        <v>1225</v>
      </c>
      <c r="F293" s="10"/>
      <c r="G293" s="10"/>
      <c r="H293" s="10" t="s">
        <v>41</v>
      </c>
      <c r="I293" s="11"/>
      <c r="J293" s="10"/>
      <c r="K293" s="10"/>
      <c r="L293" s="8"/>
      <c r="M293" s="12"/>
      <c r="N293" s="12">
        <f t="shared" si="7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>
        <v>1</v>
      </c>
      <c r="AX293" s="72">
        <v>1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</row>
    <row r="294" spans="1:121" x14ac:dyDescent="0.35">
      <c r="A294" s="7"/>
      <c r="B294" s="8" t="s">
        <v>530</v>
      </c>
      <c r="C294" s="9" t="s">
        <v>531</v>
      </c>
      <c r="D294" s="10" t="s">
        <v>525</v>
      </c>
      <c r="E294" s="8" t="s">
        <v>1225</v>
      </c>
      <c r="F294" s="10">
        <v>1003</v>
      </c>
      <c r="G294" s="10" t="s">
        <v>40</v>
      </c>
      <c r="H294" s="10" t="s">
        <v>41</v>
      </c>
      <c r="I294" s="11">
        <v>4</v>
      </c>
      <c r="J294" s="10"/>
      <c r="K294" s="10"/>
      <c r="L294" s="8"/>
      <c r="M294" s="12"/>
      <c r="N294" s="12">
        <f t="shared" si="7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>
        <v>4</v>
      </c>
      <c r="AH294" s="11">
        <v>4</v>
      </c>
      <c r="AI294" s="11">
        <v>4</v>
      </c>
      <c r="AJ294" s="11">
        <v>4</v>
      </c>
      <c r="AK294" s="11">
        <v>4</v>
      </c>
      <c r="AL294" s="11">
        <v>4</v>
      </c>
      <c r="AM294" s="11">
        <v>4</v>
      </c>
      <c r="AN294" s="72">
        <v>4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</row>
    <row r="295" spans="1:121" x14ac:dyDescent="0.35">
      <c r="A295" s="7"/>
      <c r="B295" s="8" t="s">
        <v>532</v>
      </c>
      <c r="C295" s="9" t="s">
        <v>1161</v>
      </c>
      <c r="D295" s="10" t="s">
        <v>533</v>
      </c>
      <c r="E295" s="8" t="s">
        <v>1227</v>
      </c>
      <c r="F295" s="10"/>
      <c r="G295" s="10" t="s">
        <v>40</v>
      </c>
      <c r="H295" s="10" t="s">
        <v>41</v>
      </c>
      <c r="I295" s="11">
        <v>1</v>
      </c>
      <c r="J295" s="10"/>
      <c r="K295" s="10"/>
      <c r="L295" s="8"/>
      <c r="M295" s="12">
        <v>26</v>
      </c>
      <c r="N295" s="12">
        <f t="shared" si="7"/>
        <v>26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>
        <v>1</v>
      </c>
      <c r="AK295" s="11">
        <v>1</v>
      </c>
      <c r="AL295" s="11">
        <v>1</v>
      </c>
      <c r="AM295" s="11">
        <v>1</v>
      </c>
      <c r="AN295" s="72">
        <v>1</v>
      </c>
      <c r="AO295" s="72">
        <v>1</v>
      </c>
      <c r="AP295" s="72">
        <v>1</v>
      </c>
      <c r="AQ295" s="72">
        <v>1</v>
      </c>
      <c r="AR295" s="72">
        <v>1</v>
      </c>
      <c r="AS295" s="72">
        <v>1</v>
      </c>
      <c r="AT295" s="72">
        <v>1</v>
      </c>
      <c r="AU295" s="72">
        <v>1</v>
      </c>
      <c r="AV295" s="72">
        <v>1</v>
      </c>
      <c r="AW295" s="72">
        <v>1</v>
      </c>
      <c r="AX295" s="72">
        <v>1</v>
      </c>
      <c r="AY295" s="72">
        <v>1</v>
      </c>
      <c r="AZ295" s="72">
        <v>1</v>
      </c>
      <c r="BA295" s="72">
        <v>1</v>
      </c>
      <c r="BB295" s="72">
        <v>1</v>
      </c>
      <c r="BC295" s="72">
        <v>1</v>
      </c>
      <c r="BD295" s="72">
        <v>1</v>
      </c>
      <c r="BE295" s="72">
        <v>1</v>
      </c>
      <c r="BF295" s="72">
        <v>1</v>
      </c>
      <c r="BG295" s="72">
        <v>1</v>
      </c>
      <c r="BH295" s="72">
        <v>1</v>
      </c>
      <c r="BI295" s="72">
        <v>1</v>
      </c>
      <c r="BJ295" s="72">
        <v>1</v>
      </c>
      <c r="BK295" s="72">
        <v>1</v>
      </c>
      <c r="BL295" s="72">
        <v>1</v>
      </c>
      <c r="BM295" s="72">
        <v>1</v>
      </c>
      <c r="BN295" s="72">
        <v>1</v>
      </c>
      <c r="BO295" s="72">
        <v>1</v>
      </c>
      <c r="BP295" s="72">
        <v>1</v>
      </c>
      <c r="BQ295" s="72">
        <v>1</v>
      </c>
      <c r="BR295" s="72">
        <v>1</v>
      </c>
      <c r="BS295" s="72">
        <v>1</v>
      </c>
      <c r="BT295" s="72">
        <v>1</v>
      </c>
      <c r="BU295" s="72">
        <v>1</v>
      </c>
      <c r="BV295" s="72">
        <v>1</v>
      </c>
      <c r="BW295" s="72">
        <v>1</v>
      </c>
      <c r="BX295" s="72">
        <v>1</v>
      </c>
      <c r="BY295" s="72">
        <v>1</v>
      </c>
      <c r="BZ295" s="72">
        <v>1</v>
      </c>
      <c r="CA295" s="72">
        <v>1</v>
      </c>
      <c r="CB295" s="72">
        <v>1</v>
      </c>
      <c r="CC295" s="72">
        <v>1</v>
      </c>
      <c r="CD295" s="72">
        <v>1</v>
      </c>
      <c r="CE295" s="72">
        <v>1</v>
      </c>
      <c r="CF295" s="72">
        <v>1</v>
      </c>
      <c r="CG295" s="72">
        <v>1</v>
      </c>
      <c r="CH295" s="72">
        <v>1</v>
      </c>
      <c r="CI295" s="72">
        <v>1</v>
      </c>
      <c r="CJ295" s="72">
        <v>1</v>
      </c>
      <c r="CK295" s="72">
        <v>1</v>
      </c>
      <c r="CL295" s="72">
        <v>1</v>
      </c>
      <c r="CM295" s="72">
        <v>1</v>
      </c>
      <c r="CN295" s="72">
        <v>1</v>
      </c>
      <c r="CO295" s="72">
        <v>1</v>
      </c>
      <c r="CP295" s="72">
        <v>1</v>
      </c>
      <c r="CQ295" s="72">
        <v>1</v>
      </c>
      <c r="CR295" s="72">
        <v>1</v>
      </c>
      <c r="CS295" s="72">
        <v>1</v>
      </c>
      <c r="CT295" s="72">
        <v>1</v>
      </c>
      <c r="CU295" s="72">
        <v>1</v>
      </c>
      <c r="CV295" s="72">
        <v>1</v>
      </c>
      <c r="CW295" s="72">
        <v>1</v>
      </c>
      <c r="CX295" s="72">
        <v>1</v>
      </c>
      <c r="CY295" s="72">
        <v>1</v>
      </c>
      <c r="CZ295" s="72">
        <v>1</v>
      </c>
      <c r="DA295" s="72">
        <v>1</v>
      </c>
      <c r="DB295" s="72">
        <v>1</v>
      </c>
      <c r="DC295" s="72">
        <v>1</v>
      </c>
      <c r="DD295" s="72">
        <v>1</v>
      </c>
      <c r="DE295" s="72">
        <v>1</v>
      </c>
      <c r="DF295" s="72">
        <v>1</v>
      </c>
      <c r="DG295" s="72">
        <v>1</v>
      </c>
      <c r="DH295" s="72">
        <v>1</v>
      </c>
      <c r="DI295" s="72">
        <v>1</v>
      </c>
      <c r="DJ295" s="72">
        <v>1</v>
      </c>
      <c r="DK295" s="72">
        <v>1</v>
      </c>
      <c r="DL295" s="72">
        <v>1</v>
      </c>
      <c r="DM295" s="72">
        <v>1</v>
      </c>
      <c r="DN295" s="72">
        <v>1</v>
      </c>
      <c r="DO295" s="72">
        <v>1</v>
      </c>
      <c r="DP295" s="72">
        <v>1</v>
      </c>
      <c r="DQ295" s="72">
        <v>1</v>
      </c>
    </row>
    <row r="296" spans="1:121" x14ac:dyDescent="0.35">
      <c r="A296" s="7"/>
      <c r="B296" s="77" t="s">
        <v>1457</v>
      </c>
      <c r="C296" s="9" t="s">
        <v>1463</v>
      </c>
      <c r="D296" s="10" t="s">
        <v>1461</v>
      </c>
      <c r="E296" s="8" t="s">
        <v>1462</v>
      </c>
      <c r="F296" s="10"/>
      <c r="G296" s="10"/>
      <c r="H296" s="10" t="s">
        <v>41</v>
      </c>
      <c r="I296" s="11"/>
      <c r="J296" s="10"/>
      <c r="K296" s="10"/>
      <c r="L296" s="8"/>
      <c r="M296" s="12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>
        <v>0</v>
      </c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  <c r="DA296" s="72"/>
      <c r="DB296" s="72"/>
      <c r="DC296" s="72"/>
      <c r="DD296" s="72"/>
      <c r="DE296" s="72"/>
      <c r="DF296" s="72"/>
      <c r="DG296" s="72"/>
      <c r="DH296" s="72"/>
      <c r="DI296" s="72"/>
      <c r="DJ296" s="72"/>
      <c r="DK296" s="72"/>
      <c r="DL296" s="72"/>
      <c r="DM296" s="72"/>
      <c r="DN296" s="72"/>
      <c r="DO296" s="72"/>
      <c r="DP296" s="72"/>
      <c r="DQ296" s="72"/>
    </row>
    <row r="297" spans="1:121" x14ac:dyDescent="0.35">
      <c r="A297" s="7"/>
      <c r="B297" s="77" t="s">
        <v>1234</v>
      </c>
      <c r="C297" s="78" t="s">
        <v>1240</v>
      </c>
      <c r="D297" s="10" t="s">
        <v>773</v>
      </c>
      <c r="E297" s="8" t="s">
        <v>1221</v>
      </c>
      <c r="F297" s="10"/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</row>
    <row r="298" spans="1:121" x14ac:dyDescent="0.35">
      <c r="A298" s="7"/>
      <c r="B298" s="77" t="s">
        <v>1235</v>
      </c>
      <c r="C298" s="78" t="s">
        <v>1241</v>
      </c>
      <c r="D298" s="10" t="s">
        <v>773</v>
      </c>
      <c r="E298" s="8" t="s">
        <v>1203</v>
      </c>
      <c r="F298" s="10">
        <v>1002</v>
      </c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</row>
    <row r="299" spans="1:121" x14ac:dyDescent="0.35">
      <c r="A299" s="7"/>
      <c r="B299" s="77" t="s">
        <v>1236</v>
      </c>
      <c r="C299" s="78" t="s">
        <v>1242</v>
      </c>
      <c r="D299" s="10" t="s">
        <v>773</v>
      </c>
      <c r="E299" s="8" t="s">
        <v>1205</v>
      </c>
      <c r="F299" s="10"/>
      <c r="G299" s="10" t="s">
        <v>40</v>
      </c>
      <c r="H299" s="10" t="s">
        <v>41</v>
      </c>
      <c r="I299" s="11"/>
      <c r="J299" s="10"/>
      <c r="K299" s="10"/>
      <c r="L299" s="8"/>
      <c r="M299" s="12"/>
      <c r="N299" s="12">
        <f t="shared" si="7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72"/>
      <c r="AO299" s="72"/>
      <c r="AP299" s="72"/>
      <c r="AQ299" s="72"/>
      <c r="AR299" s="72">
        <v>2</v>
      </c>
      <c r="AS299" s="72">
        <v>2</v>
      </c>
      <c r="AT299" s="72">
        <v>2</v>
      </c>
      <c r="AU299" s="72">
        <v>2</v>
      </c>
      <c r="AV299" s="72">
        <v>2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</row>
    <row r="300" spans="1:121" x14ac:dyDescent="0.35">
      <c r="A300" s="7"/>
      <c r="B300" s="8">
        <v>638213</v>
      </c>
      <c r="C300" s="9" t="s">
        <v>534</v>
      </c>
      <c r="D300" s="10" t="s">
        <v>535</v>
      </c>
      <c r="E300" s="8" t="s">
        <v>1226</v>
      </c>
      <c r="F300" s="10">
        <v>1104</v>
      </c>
      <c r="G300" s="10" t="s">
        <v>40</v>
      </c>
      <c r="H300" s="10" t="s">
        <v>95</v>
      </c>
      <c r="I300" s="11">
        <v>0</v>
      </c>
      <c r="J300" s="10"/>
      <c r="K300" s="10"/>
      <c r="L300" s="8"/>
      <c r="M300" s="12"/>
      <c r="N300" s="12">
        <f t="shared" si="7"/>
        <v>0</v>
      </c>
      <c r="O300" s="11">
        <v>66</v>
      </c>
      <c r="P300" s="11">
        <v>66</v>
      </c>
      <c r="Q300" s="11">
        <v>66</v>
      </c>
      <c r="R300" s="11">
        <v>56</v>
      </c>
      <c r="S300" s="11">
        <v>56</v>
      </c>
      <c r="T300" s="11">
        <v>48</v>
      </c>
      <c r="U300" s="11">
        <v>33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</row>
    <row r="301" spans="1:121" x14ac:dyDescent="0.35">
      <c r="A301" s="7"/>
      <c r="B301" s="8" t="s">
        <v>1381</v>
      </c>
      <c r="C301" s="9" t="s">
        <v>1383</v>
      </c>
      <c r="D301" s="10" t="s">
        <v>535</v>
      </c>
      <c r="E301" s="8" t="s">
        <v>1211</v>
      </c>
      <c r="F301" s="10"/>
      <c r="G301" s="10"/>
      <c r="H301" s="10" t="s">
        <v>95</v>
      </c>
      <c r="I301" s="11">
        <v>0</v>
      </c>
      <c r="J301" s="10"/>
      <c r="K301" s="10"/>
      <c r="L301" s="8"/>
      <c r="M301" s="12">
        <v>0.42</v>
      </c>
      <c r="N301" s="12">
        <f t="shared" si="7"/>
        <v>105.83999999999999</v>
      </c>
      <c r="O301" s="11">
        <v>0</v>
      </c>
      <c r="P301" s="11">
        <v>0</v>
      </c>
      <c r="Q301" s="11">
        <v>0</v>
      </c>
      <c r="R301" s="11">
        <v>0</v>
      </c>
      <c r="S301" s="11">
        <v>0</v>
      </c>
      <c r="T301" s="11">
        <v>0</v>
      </c>
      <c r="U301" s="11">
        <v>0</v>
      </c>
      <c r="V301" s="11">
        <v>0</v>
      </c>
      <c r="W301" s="11">
        <v>0</v>
      </c>
      <c r="X301" s="11">
        <v>0</v>
      </c>
      <c r="Y301" s="11">
        <v>0</v>
      </c>
      <c r="Z301" s="11">
        <v>0</v>
      </c>
      <c r="AA301" s="11">
        <v>0</v>
      </c>
      <c r="AB301" s="11">
        <v>0</v>
      </c>
      <c r="AC301" s="11">
        <v>0</v>
      </c>
      <c r="AD301" s="11">
        <v>0</v>
      </c>
      <c r="AE301" s="11">
        <v>0</v>
      </c>
      <c r="AF301" s="11">
        <v>0</v>
      </c>
      <c r="AG301" s="11">
        <v>0</v>
      </c>
      <c r="AH301" s="11">
        <v>0</v>
      </c>
      <c r="AI301" s="11">
        <v>0</v>
      </c>
      <c r="AJ301" s="11">
        <v>0</v>
      </c>
      <c r="AK301" s="11">
        <v>0</v>
      </c>
      <c r="AL301" s="11">
        <v>0</v>
      </c>
      <c r="AM301" s="11">
        <v>0</v>
      </c>
      <c r="AN301" s="72">
        <v>0</v>
      </c>
      <c r="AO301" s="72">
        <v>0</v>
      </c>
      <c r="AP301" s="72">
        <v>0</v>
      </c>
      <c r="AQ301" s="72">
        <v>0</v>
      </c>
      <c r="AR301" s="72">
        <v>0</v>
      </c>
      <c r="AS301" s="72">
        <v>0</v>
      </c>
      <c r="AT301" s="72">
        <v>0</v>
      </c>
      <c r="AU301" s="72">
        <v>0</v>
      </c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3000</v>
      </c>
      <c r="BS301" s="72">
        <v>500</v>
      </c>
      <c r="BT301" s="72">
        <v>500</v>
      </c>
      <c r="BU301" s="72">
        <v>500</v>
      </c>
      <c r="BV301" s="72">
        <v>500</v>
      </c>
      <c r="BW301" s="72">
        <v>500</v>
      </c>
      <c r="BX301" s="72">
        <v>500</v>
      </c>
      <c r="BY301" s="72">
        <v>500</v>
      </c>
      <c r="BZ301" s="72">
        <v>500</v>
      </c>
      <c r="CA301" s="72">
        <v>500</v>
      </c>
      <c r="CB301" s="72">
        <v>500</v>
      </c>
      <c r="CC301" s="72">
        <v>500</v>
      </c>
      <c r="CD301" s="72">
        <v>500</v>
      </c>
      <c r="CE301" s="72">
        <v>500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2500</v>
      </c>
      <c r="DF301" s="72">
        <v>2500</v>
      </c>
      <c r="DG301" s="72">
        <v>2500</v>
      </c>
      <c r="DH301" s="72">
        <v>2252</v>
      </c>
      <c r="DI301" s="72">
        <v>2252</v>
      </c>
      <c r="DJ301" s="72">
        <v>252</v>
      </c>
      <c r="DK301" s="72">
        <v>252</v>
      </c>
      <c r="DL301" s="72">
        <v>252</v>
      </c>
      <c r="DM301" s="72">
        <v>252</v>
      </c>
      <c r="DN301" s="72">
        <v>252</v>
      </c>
      <c r="DO301" s="72">
        <v>252</v>
      </c>
      <c r="DP301" s="72">
        <v>252</v>
      </c>
      <c r="DQ301" s="72">
        <v>252</v>
      </c>
    </row>
    <row r="302" spans="1:121" x14ac:dyDescent="0.35">
      <c r="A302" s="7"/>
      <c r="B302" s="8" t="s">
        <v>1509</v>
      </c>
      <c r="C302" s="9" t="s">
        <v>1513</v>
      </c>
      <c r="D302" s="10" t="s">
        <v>535</v>
      </c>
      <c r="E302" s="8" t="s">
        <v>1211</v>
      </c>
      <c r="F302" s="10">
        <v>1101</v>
      </c>
      <c r="G302" s="10" t="s">
        <v>40</v>
      </c>
      <c r="H302" s="10" t="s">
        <v>95</v>
      </c>
      <c r="I302" s="11"/>
      <c r="J302" s="10"/>
      <c r="K302" s="10"/>
      <c r="L302" s="8"/>
      <c r="M302" s="12">
        <v>0.74</v>
      </c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>
        <v>240</v>
      </c>
      <c r="CW302" s="72">
        <v>240</v>
      </c>
      <c r="CX302" s="72">
        <v>240</v>
      </c>
      <c r="CY302" s="72">
        <v>240</v>
      </c>
      <c r="CZ302" s="72">
        <v>240</v>
      </c>
      <c r="DA302" s="72">
        <v>240</v>
      </c>
      <c r="DB302" s="72">
        <v>240</v>
      </c>
      <c r="DC302" s="72">
        <v>240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</row>
    <row r="303" spans="1:121" x14ac:dyDescent="0.35">
      <c r="A303" s="7"/>
      <c r="B303" s="130">
        <v>632850</v>
      </c>
      <c r="C303" s="78" t="s">
        <v>1590</v>
      </c>
      <c r="D303" s="97" t="s">
        <v>535</v>
      </c>
      <c r="E303" s="92" t="s">
        <v>1213</v>
      </c>
      <c r="F303" s="10"/>
      <c r="G303" s="10"/>
      <c r="H303" s="10"/>
      <c r="I303" s="11"/>
      <c r="J303" s="10"/>
      <c r="K303" s="10"/>
      <c r="L303" s="8"/>
      <c r="M303" s="12">
        <v>14</v>
      </c>
      <c r="N303" s="12">
        <f t="shared" si="7"/>
        <v>42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  <c r="DA303" s="72"/>
      <c r="DB303" s="72"/>
      <c r="DC303" s="72"/>
      <c r="DD303" s="72"/>
      <c r="DE303" s="72"/>
      <c r="DF303" s="72"/>
      <c r="DG303" s="72"/>
      <c r="DH303" s="72"/>
      <c r="DI303" s="72"/>
      <c r="DJ303" s="72"/>
      <c r="DK303" s="72"/>
      <c r="DL303" s="72"/>
      <c r="DM303" s="72"/>
      <c r="DN303" s="72"/>
      <c r="DO303" s="72"/>
      <c r="DP303" s="72"/>
      <c r="DQ303" s="72">
        <v>3</v>
      </c>
    </row>
    <row r="304" spans="1:121" x14ac:dyDescent="0.35">
      <c r="A304" s="7"/>
      <c r="B304" s="77" t="s">
        <v>1265</v>
      </c>
      <c r="C304" s="9" t="s">
        <v>1275</v>
      </c>
      <c r="D304" s="10" t="s">
        <v>537</v>
      </c>
      <c r="E304" s="8" t="s">
        <v>1224</v>
      </c>
      <c r="F304" s="10"/>
      <c r="G304" s="10"/>
      <c r="H304" s="10" t="s">
        <v>41</v>
      </c>
      <c r="I304" s="11"/>
      <c r="J304" s="10"/>
      <c r="K304" s="10"/>
      <c r="L304" s="8"/>
      <c r="M304" s="12"/>
      <c r="N304" s="12">
        <f t="shared" si="7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</row>
    <row r="305" spans="1:121" x14ac:dyDescent="0.35">
      <c r="A305" s="7"/>
      <c r="B305" s="8" t="s">
        <v>536</v>
      </c>
      <c r="C305" s="78" t="s">
        <v>1345</v>
      </c>
      <c r="D305" s="10" t="s">
        <v>537</v>
      </c>
      <c r="E305" s="8" t="s">
        <v>1229</v>
      </c>
      <c r="F305" s="10"/>
      <c r="G305" s="10" t="s">
        <v>40</v>
      </c>
      <c r="H305" s="10" t="s">
        <v>41</v>
      </c>
      <c r="I305" s="11">
        <v>2</v>
      </c>
      <c r="J305" s="10"/>
      <c r="K305" s="10"/>
      <c r="L305" s="8"/>
      <c r="M305" s="12"/>
      <c r="N305" s="12">
        <f t="shared" si="7"/>
        <v>0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>
        <v>2</v>
      </c>
      <c r="AJ305" s="11">
        <v>2</v>
      </c>
      <c r="AK305" s="11">
        <v>2</v>
      </c>
      <c r="AL305" s="11">
        <v>2</v>
      </c>
      <c r="AM305" s="11">
        <v>2</v>
      </c>
      <c r="AN305" s="72">
        <v>2</v>
      </c>
      <c r="AO305" s="72">
        <v>2</v>
      </c>
      <c r="AP305" s="72">
        <v>2</v>
      </c>
      <c r="AQ305" s="72">
        <v>2</v>
      </c>
      <c r="AR305" s="72">
        <v>2</v>
      </c>
      <c r="AS305" s="72">
        <v>2</v>
      </c>
      <c r="AT305" s="72">
        <v>2</v>
      </c>
      <c r="AU305" s="72">
        <v>2</v>
      </c>
      <c r="AV305" s="72">
        <v>2</v>
      </c>
      <c r="AW305" s="72">
        <v>2</v>
      </c>
      <c r="AX305" s="72">
        <v>2</v>
      </c>
      <c r="AY305" s="72">
        <v>2</v>
      </c>
      <c r="AZ305" s="72">
        <v>2</v>
      </c>
      <c r="BA305" s="72">
        <v>2</v>
      </c>
      <c r="BB305" s="72">
        <v>2</v>
      </c>
      <c r="BC305" s="72">
        <v>2</v>
      </c>
      <c r="BD305" s="72">
        <v>2</v>
      </c>
      <c r="BE305" s="72">
        <v>2</v>
      </c>
      <c r="BF305" s="72">
        <v>2</v>
      </c>
      <c r="BG305" s="72">
        <v>2</v>
      </c>
      <c r="BH305" s="72">
        <v>2</v>
      </c>
      <c r="BI305" s="72">
        <v>2</v>
      </c>
      <c r="BJ305" s="72">
        <v>2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0</v>
      </c>
      <c r="DJ305" s="72">
        <v>0</v>
      </c>
      <c r="DK305" s="72">
        <v>0</v>
      </c>
      <c r="DL305" s="72">
        <v>0</v>
      </c>
      <c r="DM305" s="72">
        <v>0</v>
      </c>
      <c r="DN305" s="72">
        <v>0</v>
      </c>
      <c r="DO305" s="72">
        <v>0</v>
      </c>
      <c r="DP305" s="72">
        <v>0</v>
      </c>
      <c r="DQ305" s="72">
        <v>0</v>
      </c>
    </row>
    <row r="306" spans="1:121" x14ac:dyDescent="0.35">
      <c r="A306" s="7"/>
      <c r="B306" s="77" t="s">
        <v>1246</v>
      </c>
      <c r="C306" s="9" t="s">
        <v>1250</v>
      </c>
      <c r="D306" s="10" t="s">
        <v>537</v>
      </c>
      <c r="E306" s="8" t="s">
        <v>1251</v>
      </c>
      <c r="F306" s="10"/>
      <c r="G306" s="10" t="s">
        <v>40</v>
      </c>
      <c r="H306" s="10" t="s">
        <v>41</v>
      </c>
      <c r="I306" s="11"/>
      <c r="J306" s="10"/>
      <c r="K306" s="10"/>
      <c r="L306" s="8"/>
      <c r="M306" s="12"/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>
        <v>4</v>
      </c>
      <c r="AV306" s="72">
        <v>4</v>
      </c>
      <c r="AW306" s="72">
        <v>3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</row>
    <row r="307" spans="1:121" x14ac:dyDescent="0.35">
      <c r="A307" s="7"/>
      <c r="B307" s="77" t="s">
        <v>1504</v>
      </c>
      <c r="C307" s="78" t="s">
        <v>542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1600</v>
      </c>
      <c r="N307" s="12">
        <f t="shared" si="7"/>
        <v>3200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4</v>
      </c>
      <c r="CV307" s="72">
        <v>4</v>
      </c>
      <c r="CW307" s="72">
        <v>4</v>
      </c>
      <c r="CX307" s="72">
        <v>4</v>
      </c>
      <c r="CY307" s="72">
        <v>4</v>
      </c>
      <c r="CZ307" s="72">
        <v>4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  <c r="DI307" s="72">
        <v>3</v>
      </c>
      <c r="DJ307" s="72">
        <v>3</v>
      </c>
      <c r="DK307" s="72">
        <v>3</v>
      </c>
      <c r="DL307" s="72">
        <v>3</v>
      </c>
      <c r="DM307" s="72">
        <v>3</v>
      </c>
      <c r="DN307" s="72">
        <v>2</v>
      </c>
      <c r="DO307" s="72">
        <v>2</v>
      </c>
      <c r="DP307" s="72">
        <v>2</v>
      </c>
      <c r="DQ307" s="72">
        <v>2</v>
      </c>
    </row>
    <row r="308" spans="1:121" x14ac:dyDescent="0.35">
      <c r="A308" s="7"/>
      <c r="B308" s="77" t="s">
        <v>1505</v>
      </c>
      <c r="C308" s="78" t="s">
        <v>539</v>
      </c>
      <c r="D308" s="97" t="s">
        <v>540</v>
      </c>
      <c r="E308" s="92" t="s">
        <v>1224</v>
      </c>
      <c r="F308" s="97">
        <v>1005</v>
      </c>
      <c r="G308" s="97" t="s">
        <v>40</v>
      </c>
      <c r="H308" s="97" t="s">
        <v>41</v>
      </c>
      <c r="I308" s="11">
        <v>0</v>
      </c>
      <c r="J308" s="10"/>
      <c r="K308" s="10" t="s">
        <v>520</v>
      </c>
      <c r="L308" s="8"/>
      <c r="M308" s="12">
        <v>1380</v>
      </c>
      <c r="N308" s="12">
        <f t="shared" si="7"/>
        <v>4140</v>
      </c>
      <c r="O308" s="11">
        <v>0</v>
      </c>
      <c r="P308" s="11">
        <v>0</v>
      </c>
      <c r="Q308" s="11">
        <v>0</v>
      </c>
      <c r="R308" s="11">
        <v>0</v>
      </c>
      <c r="S308" s="11">
        <v>0</v>
      </c>
      <c r="T308" s="11">
        <v>0</v>
      </c>
      <c r="U308" s="11">
        <v>0</v>
      </c>
      <c r="V308" s="11">
        <v>0</v>
      </c>
      <c r="W308" s="11">
        <v>0</v>
      </c>
      <c r="X308" s="11">
        <v>0</v>
      </c>
      <c r="Y308" s="11">
        <v>0</v>
      </c>
      <c r="Z308" s="11">
        <v>0</v>
      </c>
      <c r="AA308" s="11">
        <v>0</v>
      </c>
      <c r="AB308" s="11">
        <v>0</v>
      </c>
      <c r="AC308" s="11">
        <v>0</v>
      </c>
      <c r="AD308" s="11">
        <v>0</v>
      </c>
      <c r="AE308" s="11">
        <v>0</v>
      </c>
      <c r="AF308" s="11">
        <v>0</v>
      </c>
      <c r="AG308" s="11">
        <v>0</v>
      </c>
      <c r="AH308" s="11">
        <v>0</v>
      </c>
      <c r="AI308" s="11">
        <v>0</v>
      </c>
      <c r="AJ308" s="11">
        <v>0</v>
      </c>
      <c r="AK308" s="11">
        <v>0</v>
      </c>
      <c r="AL308" s="11">
        <v>0</v>
      </c>
      <c r="AM308" s="11">
        <v>0</v>
      </c>
      <c r="AN308" s="72">
        <v>0</v>
      </c>
      <c r="AO308" s="72">
        <v>0</v>
      </c>
      <c r="AP308" s="72">
        <v>0</v>
      </c>
      <c r="AQ308" s="72">
        <v>0</v>
      </c>
      <c r="AR308" s="72">
        <v>0</v>
      </c>
      <c r="AS308" s="72">
        <v>0</v>
      </c>
      <c r="AT308" s="72">
        <v>0</v>
      </c>
      <c r="AU308" s="72">
        <v>0</v>
      </c>
      <c r="AV308" s="72">
        <v>0</v>
      </c>
      <c r="AW308" s="72">
        <v>0</v>
      </c>
      <c r="AX308" s="72">
        <v>0</v>
      </c>
      <c r="AY308" s="72">
        <v>0</v>
      </c>
      <c r="AZ308" s="72">
        <v>0</v>
      </c>
      <c r="BA308" s="72">
        <v>0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4</v>
      </c>
      <c r="CV308" s="72">
        <v>4</v>
      </c>
      <c r="CW308" s="72">
        <v>4</v>
      </c>
      <c r="CX308" s="72">
        <v>4</v>
      </c>
      <c r="CY308" s="72">
        <v>4</v>
      </c>
      <c r="CZ308" s="72">
        <v>4</v>
      </c>
      <c r="DA308" s="72">
        <v>3</v>
      </c>
      <c r="DB308" s="72">
        <v>3</v>
      </c>
      <c r="DC308" s="72">
        <v>3</v>
      </c>
      <c r="DD308" s="72">
        <v>3</v>
      </c>
      <c r="DE308" s="72">
        <v>3</v>
      </c>
      <c r="DF308" s="72">
        <v>3</v>
      </c>
      <c r="DG308" s="72">
        <v>3</v>
      </c>
      <c r="DH308" s="72">
        <v>3</v>
      </c>
      <c r="DI308" s="72">
        <v>3</v>
      </c>
      <c r="DJ308" s="72">
        <v>3</v>
      </c>
      <c r="DK308" s="72">
        <v>3</v>
      </c>
      <c r="DL308" s="72">
        <v>3</v>
      </c>
      <c r="DM308" s="72">
        <v>3</v>
      </c>
      <c r="DN308" s="72">
        <v>3</v>
      </c>
      <c r="DO308" s="72">
        <v>3</v>
      </c>
      <c r="DP308" s="72">
        <v>3</v>
      </c>
      <c r="DQ308" s="72">
        <v>3</v>
      </c>
    </row>
    <row r="309" spans="1:121" x14ac:dyDescent="0.35">
      <c r="A309" s="7"/>
      <c r="B309" s="77" t="s">
        <v>1506</v>
      </c>
      <c r="C309" s="78" t="s">
        <v>547</v>
      </c>
      <c r="D309" s="97" t="s">
        <v>540</v>
      </c>
      <c r="E309" s="92" t="s">
        <v>1224</v>
      </c>
      <c r="F309" s="97">
        <v>1005</v>
      </c>
      <c r="G309" s="97" t="s">
        <v>40</v>
      </c>
      <c r="H309" s="97" t="s">
        <v>41</v>
      </c>
      <c r="I309" s="11">
        <v>0</v>
      </c>
      <c r="J309" s="10"/>
      <c r="K309" s="10" t="s">
        <v>520</v>
      </c>
      <c r="L309" s="8"/>
      <c r="M309" s="12">
        <v>520</v>
      </c>
      <c r="N309" s="12">
        <f t="shared" si="7"/>
        <v>0</v>
      </c>
      <c r="O309" s="11">
        <v>0</v>
      </c>
      <c r="P309" s="11">
        <v>0</v>
      </c>
      <c r="Q309" s="11">
        <v>0</v>
      </c>
      <c r="R309" s="11">
        <v>0</v>
      </c>
      <c r="S309" s="11">
        <v>0</v>
      </c>
      <c r="T309" s="11">
        <v>0</v>
      </c>
      <c r="U309" s="11">
        <v>0</v>
      </c>
      <c r="V309" s="11">
        <v>0</v>
      </c>
      <c r="W309" s="11">
        <v>0</v>
      </c>
      <c r="X309" s="11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0</v>
      </c>
      <c r="AG309" s="11">
        <v>0</v>
      </c>
      <c r="AH309" s="11">
        <v>0</v>
      </c>
      <c r="AI309" s="11">
        <v>0</v>
      </c>
      <c r="AJ309" s="11">
        <v>0</v>
      </c>
      <c r="AK309" s="11">
        <v>0</v>
      </c>
      <c r="AL309" s="11">
        <v>0</v>
      </c>
      <c r="AM309" s="11">
        <v>0</v>
      </c>
      <c r="AN309" s="72">
        <v>0</v>
      </c>
      <c r="AO309" s="72">
        <v>0</v>
      </c>
      <c r="AP309" s="72">
        <v>0</v>
      </c>
      <c r="AQ309" s="72">
        <v>0</v>
      </c>
      <c r="AR309" s="72">
        <v>0</v>
      </c>
      <c r="AS309" s="72">
        <v>0</v>
      </c>
      <c r="AT309" s="72">
        <v>0</v>
      </c>
      <c r="AU309" s="72">
        <v>0</v>
      </c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1</v>
      </c>
      <c r="CV309" s="72">
        <v>1</v>
      </c>
      <c r="CW309" s="72">
        <v>1</v>
      </c>
      <c r="CX309" s="72">
        <v>1</v>
      </c>
      <c r="CY309" s="72">
        <v>1</v>
      </c>
      <c r="CZ309" s="72">
        <v>1</v>
      </c>
      <c r="DA309" s="72">
        <v>1</v>
      </c>
      <c r="DB309" s="72">
        <v>1</v>
      </c>
      <c r="DC309" s="72">
        <v>1</v>
      </c>
      <c r="DD309" s="72">
        <v>1</v>
      </c>
      <c r="DE309" s="72">
        <v>1</v>
      </c>
      <c r="DF309" s="72">
        <v>1</v>
      </c>
      <c r="DG309" s="72">
        <v>1</v>
      </c>
      <c r="DH309" s="72">
        <v>1</v>
      </c>
      <c r="DI309" s="72">
        <v>1</v>
      </c>
      <c r="DJ309" s="72">
        <v>1</v>
      </c>
      <c r="DK309" s="72">
        <v>1</v>
      </c>
      <c r="DL309" s="72">
        <v>1</v>
      </c>
      <c r="DM309" s="72">
        <v>1</v>
      </c>
      <c r="DN309" s="72">
        <v>1</v>
      </c>
      <c r="DO309" s="72">
        <v>1</v>
      </c>
      <c r="DP309" s="72">
        <v>0</v>
      </c>
      <c r="DQ309" s="72">
        <v>0</v>
      </c>
    </row>
    <row r="310" spans="1:121" x14ac:dyDescent="0.35">
      <c r="A310" s="7"/>
      <c r="B310" s="77" t="s">
        <v>1363</v>
      </c>
      <c r="C310" s="8" t="s">
        <v>548</v>
      </c>
      <c r="D310" s="10" t="s">
        <v>549</v>
      </c>
      <c r="E310" s="8" t="s">
        <v>1215</v>
      </c>
      <c r="F310" s="10"/>
      <c r="G310" s="10" t="s">
        <v>40</v>
      </c>
      <c r="H310" s="10" t="s">
        <v>41</v>
      </c>
      <c r="I310" s="11">
        <v>6</v>
      </c>
      <c r="J310" s="10">
        <v>1</v>
      </c>
      <c r="K310" s="10" t="s">
        <v>550</v>
      </c>
      <c r="L310" s="8" t="s">
        <v>551</v>
      </c>
      <c r="M310" s="12">
        <v>3800</v>
      </c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>
        <v>6</v>
      </c>
      <c r="AJ310" s="11">
        <v>6</v>
      </c>
      <c r="AK310" s="11">
        <v>6</v>
      </c>
      <c r="AL310" s="11">
        <v>6</v>
      </c>
      <c r="AM310" s="11">
        <v>6</v>
      </c>
      <c r="AN310" s="72">
        <v>5</v>
      </c>
      <c r="AO310" s="72">
        <v>5</v>
      </c>
      <c r="AP310" s="72">
        <v>5</v>
      </c>
      <c r="AQ310" s="72">
        <v>5</v>
      </c>
      <c r="AR310" s="72">
        <v>5</v>
      </c>
      <c r="AS310" s="72">
        <v>5</v>
      </c>
      <c r="AT310" s="72">
        <v>5</v>
      </c>
      <c r="AU310" s="72">
        <v>5</v>
      </c>
      <c r="AV310" s="72">
        <v>5</v>
      </c>
      <c r="AW310" s="72">
        <v>5</v>
      </c>
      <c r="AX310" s="72">
        <v>5</v>
      </c>
      <c r="AY310" s="72">
        <v>5</v>
      </c>
      <c r="AZ310" s="72">
        <v>5</v>
      </c>
      <c r="BA310" s="72">
        <v>5</v>
      </c>
      <c r="BB310" s="72">
        <v>5</v>
      </c>
      <c r="BC310" s="72">
        <v>5</v>
      </c>
      <c r="BD310" s="72">
        <v>4</v>
      </c>
      <c r="BE310" s="72">
        <v>5</v>
      </c>
      <c r="BF310" s="72">
        <v>5</v>
      </c>
      <c r="BG310" s="72">
        <v>5</v>
      </c>
      <c r="BH310" s="72">
        <v>5</v>
      </c>
      <c r="BI310" s="72">
        <v>5</v>
      </c>
      <c r="BJ310" s="72">
        <v>5</v>
      </c>
      <c r="BK310" s="72">
        <v>5</v>
      </c>
      <c r="BL310" s="72">
        <v>5</v>
      </c>
      <c r="BM310" s="72">
        <v>5</v>
      </c>
      <c r="BN310" s="72">
        <v>5</v>
      </c>
      <c r="BO310" s="72">
        <v>5</v>
      </c>
      <c r="BP310" s="72">
        <v>5</v>
      </c>
      <c r="BQ310" s="72">
        <v>5</v>
      </c>
      <c r="BR310" s="72">
        <v>5</v>
      </c>
      <c r="BS310" s="72">
        <v>3</v>
      </c>
      <c r="BT310" s="72">
        <v>3</v>
      </c>
      <c r="BU310" s="72">
        <v>3</v>
      </c>
      <c r="BV310" s="72">
        <v>3</v>
      </c>
      <c r="BW310" s="72">
        <v>3</v>
      </c>
      <c r="BX310" s="72">
        <v>3</v>
      </c>
      <c r="BY310" s="72">
        <v>3</v>
      </c>
      <c r="BZ310" s="72">
        <v>1</v>
      </c>
      <c r="CA310" s="72">
        <v>1</v>
      </c>
      <c r="CB310" s="72">
        <v>1</v>
      </c>
      <c r="CC310" s="72">
        <v>1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</row>
    <row r="311" spans="1:121" x14ac:dyDescent="0.35">
      <c r="A311" s="7"/>
      <c r="B311" s="77" t="s">
        <v>1255</v>
      </c>
      <c r="C311" s="9" t="s">
        <v>552</v>
      </c>
      <c r="D311" s="10" t="s">
        <v>549</v>
      </c>
      <c r="E311" s="8" t="s">
        <v>1215</v>
      </c>
      <c r="F311" s="10"/>
      <c r="G311" s="10" t="s">
        <v>40</v>
      </c>
      <c r="H311" s="10" t="s">
        <v>41</v>
      </c>
      <c r="I311" s="11"/>
      <c r="J311" s="10"/>
      <c r="K311" s="10"/>
      <c r="L311" s="8"/>
      <c r="M311" s="12"/>
      <c r="N311" s="12">
        <f t="shared" si="7"/>
        <v>0</v>
      </c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72"/>
      <c r="AO311" s="72"/>
      <c r="AP311" s="72"/>
      <c r="AQ311" s="72"/>
      <c r="AR311" s="72"/>
      <c r="AS311" s="72"/>
      <c r="AT311" s="72"/>
      <c r="AU311" s="72"/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</row>
    <row r="312" spans="1:121" x14ac:dyDescent="0.35">
      <c r="A312" s="7"/>
      <c r="B312" s="8" t="s">
        <v>1256</v>
      </c>
      <c r="C312" s="78" t="s">
        <v>1346</v>
      </c>
      <c r="D312" s="10" t="s">
        <v>549</v>
      </c>
      <c r="E312" s="8" t="s">
        <v>1215</v>
      </c>
      <c r="F312" s="10">
        <v>1104</v>
      </c>
      <c r="G312" s="10" t="s">
        <v>92</v>
      </c>
      <c r="H312" s="10" t="s">
        <v>95</v>
      </c>
      <c r="I312" s="11">
        <v>100</v>
      </c>
      <c r="J312" s="10"/>
      <c r="K312" s="10"/>
      <c r="L312" s="8"/>
      <c r="M312" s="12"/>
      <c r="N312" s="12">
        <f t="shared" si="7"/>
        <v>0</v>
      </c>
      <c r="O312" s="11">
        <v>100</v>
      </c>
      <c r="P312" s="11">
        <v>100</v>
      </c>
      <c r="Q312" s="11">
        <v>100</v>
      </c>
      <c r="R312" s="11">
        <v>100</v>
      </c>
      <c r="S312" s="11">
        <v>100</v>
      </c>
      <c r="T312" s="11">
        <v>100</v>
      </c>
      <c r="U312" s="11">
        <v>100</v>
      </c>
      <c r="V312" s="11">
        <v>100</v>
      </c>
      <c r="W312" s="11">
        <v>100</v>
      </c>
      <c r="X312" s="11">
        <v>100</v>
      </c>
      <c r="Y312" s="11">
        <v>100</v>
      </c>
      <c r="Z312" s="11">
        <v>100</v>
      </c>
      <c r="AA312" s="11">
        <v>100</v>
      </c>
      <c r="AB312" s="11">
        <v>100</v>
      </c>
      <c r="AC312" s="11">
        <v>100</v>
      </c>
      <c r="AD312" s="11">
        <v>100</v>
      </c>
      <c r="AE312" s="11">
        <v>100</v>
      </c>
      <c r="AF312" s="11">
        <v>100</v>
      </c>
      <c r="AG312" s="11">
        <v>100</v>
      </c>
      <c r="AH312" s="11">
        <v>100</v>
      </c>
      <c r="AI312" s="11">
        <v>100</v>
      </c>
      <c r="AJ312" s="11">
        <v>100</v>
      </c>
      <c r="AK312" s="11">
        <v>100</v>
      </c>
      <c r="AL312" s="11">
        <v>100</v>
      </c>
      <c r="AM312" s="11">
        <v>100</v>
      </c>
      <c r="AN312" s="72">
        <v>100</v>
      </c>
      <c r="AO312" s="72">
        <v>100</v>
      </c>
      <c r="AP312" s="72">
        <v>100</v>
      </c>
      <c r="AQ312" s="72">
        <v>100</v>
      </c>
      <c r="AR312" s="72">
        <v>100</v>
      </c>
      <c r="AS312" s="72">
        <v>100</v>
      </c>
      <c r="AT312" s="72">
        <v>100</v>
      </c>
      <c r="AU312" s="72">
        <v>100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0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</row>
    <row r="313" spans="1:121" x14ac:dyDescent="0.35">
      <c r="A313" s="7"/>
      <c r="B313" s="92" t="s">
        <v>1322</v>
      </c>
      <c r="C313" s="9" t="s">
        <v>1262</v>
      </c>
      <c r="D313" s="10" t="s">
        <v>549</v>
      </c>
      <c r="E313" s="8" t="s">
        <v>1215</v>
      </c>
      <c r="F313" s="10"/>
      <c r="G313" s="10" t="s">
        <v>92</v>
      </c>
      <c r="H313" s="10" t="s">
        <v>95</v>
      </c>
      <c r="I313" s="11">
        <v>50</v>
      </c>
      <c r="J313" s="10"/>
      <c r="K313" s="10" t="s">
        <v>553</v>
      </c>
      <c r="L313" s="8"/>
      <c r="M313" s="12"/>
      <c r="N313" s="12">
        <f t="shared" si="7"/>
        <v>0</v>
      </c>
      <c r="O313" s="11"/>
      <c r="P313" s="11"/>
      <c r="Q313" s="11"/>
      <c r="R313" s="11"/>
      <c r="S313" s="11"/>
      <c r="T313" s="11"/>
      <c r="U313" s="11">
        <v>50</v>
      </c>
      <c r="V313" s="11">
        <v>50</v>
      </c>
      <c r="W313" s="11">
        <v>50</v>
      </c>
      <c r="X313" s="11">
        <v>50</v>
      </c>
      <c r="Y313" s="11">
        <v>50</v>
      </c>
      <c r="Z313" s="11">
        <v>50</v>
      </c>
      <c r="AA313" s="11">
        <v>50</v>
      </c>
      <c r="AB313" s="11">
        <v>50</v>
      </c>
      <c r="AC313" s="11">
        <v>50</v>
      </c>
      <c r="AD313" s="11">
        <v>50</v>
      </c>
      <c r="AE313" s="11">
        <v>50</v>
      </c>
      <c r="AF313" s="11">
        <v>50</v>
      </c>
      <c r="AG313" s="11">
        <v>50</v>
      </c>
      <c r="AH313" s="11">
        <v>50</v>
      </c>
      <c r="AI313" s="11">
        <v>50</v>
      </c>
      <c r="AJ313" s="11">
        <v>50</v>
      </c>
      <c r="AK313" s="11">
        <v>50</v>
      </c>
      <c r="AL313" s="11">
        <v>50</v>
      </c>
      <c r="AM313" s="11">
        <v>50</v>
      </c>
      <c r="AN313" s="72">
        <v>50</v>
      </c>
      <c r="AO313" s="72">
        <v>50</v>
      </c>
      <c r="AP313" s="72">
        <v>50</v>
      </c>
      <c r="AQ313" s="72">
        <v>50</v>
      </c>
      <c r="AR313" s="72">
        <v>50</v>
      </c>
      <c r="AS313" s="72">
        <v>50</v>
      </c>
      <c r="AT313" s="72">
        <v>50</v>
      </c>
      <c r="AU313" s="72">
        <v>50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0</v>
      </c>
      <c r="CV313" s="72">
        <v>0</v>
      </c>
      <c r="CW313" s="72">
        <v>0</v>
      </c>
      <c r="CX313" s="72">
        <v>0</v>
      </c>
      <c r="CY313" s="72">
        <v>0</v>
      </c>
      <c r="CZ313" s="72">
        <v>0</v>
      </c>
      <c r="DA313" s="72">
        <v>0</v>
      </c>
      <c r="DB313" s="72">
        <v>0</v>
      </c>
      <c r="DC313" s="72">
        <v>0</v>
      </c>
      <c r="DD313" s="72">
        <v>0</v>
      </c>
      <c r="DE313" s="72">
        <v>0</v>
      </c>
      <c r="DF313" s="72">
        <v>0</v>
      </c>
      <c r="DG313" s="72">
        <v>0</v>
      </c>
      <c r="DH313" s="72">
        <v>0</v>
      </c>
      <c r="DI313" s="72">
        <v>0</v>
      </c>
      <c r="DJ313" s="72">
        <v>0</v>
      </c>
      <c r="DK313" s="72">
        <v>0</v>
      </c>
      <c r="DL313" s="72">
        <v>0</v>
      </c>
      <c r="DM313" s="72">
        <v>0</v>
      </c>
      <c r="DN313" s="72">
        <v>0</v>
      </c>
      <c r="DO313" s="72">
        <v>0</v>
      </c>
      <c r="DP313" s="72">
        <v>0</v>
      </c>
      <c r="DQ313" s="72">
        <v>0</v>
      </c>
    </row>
    <row r="314" spans="1:121" x14ac:dyDescent="0.35">
      <c r="A314" s="7"/>
      <c r="B314" s="8" t="s">
        <v>554</v>
      </c>
      <c r="C314" s="9"/>
      <c r="D314" s="10" t="s">
        <v>549</v>
      </c>
      <c r="E314" s="8" t="s">
        <v>1215</v>
      </c>
      <c r="F314" s="10">
        <v>1104</v>
      </c>
      <c r="G314" s="10" t="s">
        <v>40</v>
      </c>
      <c r="H314" s="10" t="s">
        <v>41</v>
      </c>
      <c r="I314" s="11">
        <v>1</v>
      </c>
      <c r="J314" s="10"/>
      <c r="K314" s="10"/>
      <c r="L314" s="8"/>
      <c r="M314" s="12"/>
      <c r="N314" s="12">
        <f t="shared" si="7"/>
        <v>0</v>
      </c>
      <c r="O314" s="11">
        <v>1</v>
      </c>
      <c r="P314" s="11">
        <v>1</v>
      </c>
      <c r="Q314" s="11">
        <v>1</v>
      </c>
      <c r="R314" s="11">
        <v>1</v>
      </c>
      <c r="S314" s="11">
        <v>1</v>
      </c>
      <c r="T314" s="11">
        <v>1</v>
      </c>
      <c r="U314" s="11">
        <v>1</v>
      </c>
      <c r="V314" s="11">
        <v>1</v>
      </c>
      <c r="W314" s="11">
        <v>1</v>
      </c>
      <c r="X314" s="11">
        <v>1</v>
      </c>
      <c r="Y314" s="11">
        <v>1</v>
      </c>
      <c r="Z314" s="11">
        <v>1</v>
      </c>
      <c r="AA314" s="11">
        <v>1</v>
      </c>
      <c r="AB314" s="11">
        <v>1</v>
      </c>
      <c r="AC314" s="11">
        <v>1</v>
      </c>
      <c r="AD314" s="11">
        <v>1</v>
      </c>
      <c r="AE314" s="11">
        <v>1</v>
      </c>
      <c r="AF314" s="11">
        <v>1</v>
      </c>
      <c r="AG314" s="11">
        <v>1</v>
      </c>
      <c r="AH314" s="11">
        <v>1</v>
      </c>
      <c r="AI314" s="11">
        <v>1</v>
      </c>
      <c r="AJ314" s="11">
        <v>1</v>
      </c>
      <c r="AK314" s="11">
        <v>1</v>
      </c>
      <c r="AL314" s="11">
        <v>1</v>
      </c>
      <c r="AM314" s="11">
        <v>1</v>
      </c>
      <c r="AN314" s="72">
        <v>1</v>
      </c>
      <c r="AO314" s="72">
        <v>1</v>
      </c>
      <c r="AP314" s="72">
        <v>1</v>
      </c>
      <c r="AQ314" s="72">
        <v>1</v>
      </c>
      <c r="AR314" s="72">
        <v>1</v>
      </c>
      <c r="AS314" s="72">
        <v>1</v>
      </c>
      <c r="AT314" s="72">
        <v>1</v>
      </c>
      <c r="AU314" s="72">
        <v>1</v>
      </c>
      <c r="AV314" s="72">
        <v>1</v>
      </c>
      <c r="AW314" s="72">
        <v>1</v>
      </c>
      <c r="AX314" s="72">
        <v>1</v>
      </c>
      <c r="AY314" s="72">
        <v>1</v>
      </c>
      <c r="AZ314" s="72">
        <v>1</v>
      </c>
      <c r="BA314" s="72">
        <v>1</v>
      </c>
      <c r="BB314" s="72">
        <v>1</v>
      </c>
      <c r="BC314" s="72">
        <v>1</v>
      </c>
      <c r="BD314" s="72">
        <v>1</v>
      </c>
      <c r="BE314" s="72">
        <v>1</v>
      </c>
      <c r="BF314" s="72">
        <v>1</v>
      </c>
      <c r="BG314" s="72">
        <v>1</v>
      </c>
      <c r="BH314" s="72">
        <v>1</v>
      </c>
      <c r="BI314" s="72">
        <v>1</v>
      </c>
      <c r="BJ314" s="72">
        <v>1</v>
      </c>
      <c r="BK314" s="72">
        <v>1</v>
      </c>
      <c r="BL314" s="72">
        <v>1</v>
      </c>
      <c r="BM314" s="72">
        <v>1</v>
      </c>
      <c r="BN314" s="72">
        <v>1</v>
      </c>
      <c r="BO314" s="72">
        <v>1</v>
      </c>
      <c r="BP314" s="72">
        <v>1</v>
      </c>
      <c r="BQ314" s="72">
        <v>1</v>
      </c>
      <c r="BR314" s="72">
        <v>1</v>
      </c>
      <c r="BS314" s="72">
        <v>1</v>
      </c>
      <c r="BT314" s="72">
        <v>1</v>
      </c>
      <c r="BU314" s="72">
        <v>1</v>
      </c>
      <c r="BV314" s="72">
        <v>1</v>
      </c>
      <c r="BW314" s="72">
        <v>1</v>
      </c>
      <c r="BX314" s="72">
        <v>1</v>
      </c>
      <c r="BY314" s="72">
        <v>1</v>
      </c>
      <c r="BZ314" s="72">
        <v>1</v>
      </c>
      <c r="CA314" s="72">
        <v>1</v>
      </c>
      <c r="CB314" s="72">
        <v>1</v>
      </c>
      <c r="CC314" s="72">
        <v>1</v>
      </c>
      <c r="CD314" s="72">
        <v>1</v>
      </c>
      <c r="CE314" s="72">
        <v>1</v>
      </c>
      <c r="CF314" s="72">
        <v>1</v>
      </c>
      <c r="CG314" s="72">
        <v>1</v>
      </c>
      <c r="CH314" s="72">
        <v>1</v>
      </c>
      <c r="CI314" s="72">
        <v>1</v>
      </c>
      <c r="CJ314" s="72">
        <v>1</v>
      </c>
      <c r="CK314" s="72">
        <v>1</v>
      </c>
      <c r="CL314" s="72">
        <v>1</v>
      </c>
      <c r="CM314" s="72">
        <v>1</v>
      </c>
      <c r="CN314" s="72">
        <v>1</v>
      </c>
      <c r="CO314" s="72">
        <v>1</v>
      </c>
      <c r="CP314" s="72">
        <v>1</v>
      </c>
      <c r="CQ314" s="72">
        <v>1</v>
      </c>
      <c r="CR314" s="72">
        <v>1</v>
      </c>
      <c r="CS314" s="72">
        <v>1</v>
      </c>
      <c r="CT314" s="72">
        <v>1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  <c r="DN314" s="72">
        <v>1</v>
      </c>
      <c r="DO314" s="72">
        <v>1</v>
      </c>
      <c r="DP314" s="72">
        <v>1</v>
      </c>
      <c r="DQ314" s="72">
        <v>1</v>
      </c>
    </row>
    <row r="315" spans="1:121" x14ac:dyDescent="0.35">
      <c r="A315" s="7"/>
      <c r="B315" s="77" t="s">
        <v>1574</v>
      </c>
      <c r="C315" s="9" t="s">
        <v>1577</v>
      </c>
      <c r="D315" s="10" t="s">
        <v>1579</v>
      </c>
      <c r="E315" s="8" t="s">
        <v>1452</v>
      </c>
      <c r="F315" s="10"/>
      <c r="G315" s="10"/>
      <c r="H315" s="10"/>
      <c r="I315" s="11"/>
      <c r="J315" s="10"/>
      <c r="K315" s="10"/>
      <c r="L315" s="8"/>
      <c r="M315" s="12">
        <v>448.05</v>
      </c>
      <c r="N315" s="12">
        <f t="shared" si="7"/>
        <v>3584.4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/>
      <c r="DI315" s="72"/>
      <c r="DJ315" s="72"/>
      <c r="DK315" s="72"/>
      <c r="DL315" s="72"/>
      <c r="DM315" s="72"/>
      <c r="DN315" s="72"/>
      <c r="DO315" s="72">
        <v>8</v>
      </c>
      <c r="DP315" s="72">
        <v>8</v>
      </c>
      <c r="DQ315" s="72">
        <v>8</v>
      </c>
    </row>
    <row r="316" spans="1:121" ht="26.55" x14ac:dyDescent="0.35">
      <c r="A316" s="7"/>
      <c r="B316" s="77" t="s">
        <v>1575</v>
      </c>
      <c r="C316" s="9" t="s">
        <v>1578</v>
      </c>
      <c r="D316" s="10" t="s">
        <v>1579</v>
      </c>
      <c r="E316" s="8" t="s">
        <v>1519</v>
      </c>
      <c r="F316" s="10"/>
      <c r="G316" s="10"/>
      <c r="H316" s="10"/>
      <c r="I316" s="11"/>
      <c r="J316" s="10"/>
      <c r="K316" s="10"/>
      <c r="L316" s="8"/>
      <c r="M316" s="12">
        <v>54.59</v>
      </c>
      <c r="N316" s="12">
        <f t="shared" si="7"/>
        <v>436.72</v>
      </c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  <c r="DA316" s="72"/>
      <c r="DB316" s="72"/>
      <c r="DC316" s="72"/>
      <c r="DD316" s="72"/>
      <c r="DE316" s="72"/>
      <c r="DF316" s="72"/>
      <c r="DG316" s="72"/>
      <c r="DH316" s="72"/>
      <c r="DI316" s="72"/>
      <c r="DJ316" s="72"/>
      <c r="DK316" s="72"/>
      <c r="DL316" s="72"/>
      <c r="DM316" s="72"/>
      <c r="DN316" s="72"/>
      <c r="DO316" s="72">
        <v>8</v>
      </c>
      <c r="DP316" s="72">
        <v>8</v>
      </c>
      <c r="DQ316" s="72">
        <v>8</v>
      </c>
    </row>
    <row r="317" spans="1:121" x14ac:dyDescent="0.35">
      <c r="A317" s="7"/>
      <c r="B317" s="77" t="s">
        <v>1538</v>
      </c>
      <c r="C317" s="9" t="s">
        <v>1545</v>
      </c>
      <c r="D317" s="10" t="s">
        <v>1076</v>
      </c>
      <c r="E317" s="8" t="s">
        <v>1226</v>
      </c>
      <c r="F317" s="10"/>
      <c r="G317" s="10"/>
      <c r="H317" s="10"/>
      <c r="I317" s="11"/>
      <c r="J317" s="10"/>
      <c r="K317" s="10"/>
      <c r="L317" s="8"/>
      <c r="M317" s="12">
        <v>0.64319999999999999</v>
      </c>
      <c r="N317" s="12">
        <f t="shared" si="7"/>
        <v>38.591999999999999</v>
      </c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  <c r="DA317" s="72"/>
      <c r="DB317" s="72"/>
      <c r="DC317" s="72"/>
      <c r="DD317" s="72"/>
      <c r="DE317" s="72"/>
      <c r="DF317" s="72"/>
      <c r="DG317" s="72"/>
      <c r="DH317" s="72">
        <v>60</v>
      </c>
      <c r="DI317" s="72">
        <v>60</v>
      </c>
      <c r="DJ317" s="72">
        <v>60</v>
      </c>
      <c r="DK317" s="72">
        <v>60</v>
      </c>
      <c r="DL317" s="72">
        <v>60</v>
      </c>
      <c r="DM317" s="72">
        <v>60</v>
      </c>
      <c r="DN317" s="72">
        <v>60</v>
      </c>
      <c r="DO317" s="72">
        <v>60</v>
      </c>
      <c r="DP317" s="72">
        <v>60</v>
      </c>
      <c r="DQ317" s="72">
        <v>60</v>
      </c>
    </row>
    <row r="318" spans="1:121" x14ac:dyDescent="0.35">
      <c r="A318" s="7"/>
      <c r="B318" s="8" t="s">
        <v>1230</v>
      </c>
      <c r="C318" s="9" t="s">
        <v>555</v>
      </c>
      <c r="D318" s="10" t="s">
        <v>549</v>
      </c>
      <c r="E318" s="8" t="s">
        <v>1215</v>
      </c>
      <c r="F318" s="10">
        <v>1002</v>
      </c>
      <c r="G318" s="10" t="s">
        <v>503</v>
      </c>
      <c r="H318" s="10" t="s">
        <v>41</v>
      </c>
      <c r="I318" s="11">
        <v>1</v>
      </c>
      <c r="J318" s="10"/>
      <c r="K318" s="10" t="s">
        <v>556</v>
      </c>
      <c r="L318" s="8"/>
      <c r="M318" s="12"/>
      <c r="N318" s="12">
        <f t="shared" si="7"/>
        <v>0</v>
      </c>
      <c r="O318" s="11">
        <v>4</v>
      </c>
      <c r="P318" s="11">
        <v>4</v>
      </c>
      <c r="Q318" s="11">
        <v>4</v>
      </c>
      <c r="R318" s="11">
        <v>4</v>
      </c>
      <c r="S318" s="11">
        <v>4</v>
      </c>
      <c r="T318" s="11">
        <v>4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</row>
    <row r="319" spans="1:121" x14ac:dyDescent="0.35">
      <c r="A319" s="7"/>
      <c r="B319" s="8" t="s">
        <v>1230</v>
      </c>
      <c r="C319" s="9" t="s">
        <v>557</v>
      </c>
      <c r="D319" s="10" t="s">
        <v>549</v>
      </c>
      <c r="E319" s="8" t="s">
        <v>1215</v>
      </c>
      <c r="F319" s="10">
        <v>1006</v>
      </c>
      <c r="G319" s="10" t="s">
        <v>503</v>
      </c>
      <c r="H319" s="10" t="s">
        <v>41</v>
      </c>
      <c r="I319" s="11">
        <v>3</v>
      </c>
      <c r="J319" s="10"/>
      <c r="K319" s="10" t="s">
        <v>556</v>
      </c>
      <c r="L319" s="8"/>
      <c r="M319" s="12"/>
      <c r="N319" s="12">
        <f t="shared" si="7"/>
        <v>0</v>
      </c>
      <c r="O319" s="11">
        <v>14</v>
      </c>
      <c r="P319" s="11">
        <v>14</v>
      </c>
      <c r="Q319" s="11">
        <v>14</v>
      </c>
      <c r="R319" s="11">
        <v>14</v>
      </c>
      <c r="S319" s="11">
        <v>10</v>
      </c>
      <c r="T319" s="11">
        <v>10</v>
      </c>
      <c r="U319" s="11">
        <v>6</v>
      </c>
      <c r="V319" s="11">
        <v>6</v>
      </c>
      <c r="W319" s="11">
        <v>6</v>
      </c>
      <c r="X319" s="11">
        <v>6</v>
      </c>
      <c r="Y319" s="11">
        <v>6</v>
      </c>
      <c r="Z319" s="11">
        <v>6</v>
      </c>
      <c r="AA319" s="11">
        <v>6</v>
      </c>
      <c r="AB319" s="11">
        <v>6</v>
      </c>
      <c r="AC319" s="11">
        <v>6</v>
      </c>
      <c r="AD319" s="11">
        <v>6</v>
      </c>
      <c r="AE319" s="11">
        <v>3</v>
      </c>
      <c r="AF319" s="11">
        <v>3</v>
      </c>
      <c r="AG319" s="11">
        <v>3</v>
      </c>
      <c r="AH319" s="11">
        <v>3</v>
      </c>
      <c r="AI319" s="11">
        <v>3</v>
      </c>
      <c r="AJ319" s="11">
        <v>3</v>
      </c>
      <c r="AK319" s="11">
        <v>3</v>
      </c>
      <c r="AL319" s="11">
        <v>3</v>
      </c>
      <c r="AM319" s="11">
        <v>3</v>
      </c>
      <c r="AN319" s="72">
        <v>3</v>
      </c>
      <c r="AO319" s="72">
        <v>3</v>
      </c>
      <c r="AP319" s="72">
        <v>3</v>
      </c>
      <c r="AQ319" s="72">
        <v>3</v>
      </c>
      <c r="AR319" s="72">
        <v>3</v>
      </c>
      <c r="AS319" s="72">
        <v>3</v>
      </c>
      <c r="AT319" s="72">
        <v>3</v>
      </c>
      <c r="AU319" s="72">
        <v>3</v>
      </c>
      <c r="AV319" s="72">
        <v>3</v>
      </c>
      <c r="AW319" s="72">
        <v>3</v>
      </c>
      <c r="AX319" s="72">
        <v>3</v>
      </c>
      <c r="AY319" s="72">
        <v>3</v>
      </c>
      <c r="AZ319" s="72">
        <v>3</v>
      </c>
      <c r="BA319" s="72">
        <v>3</v>
      </c>
      <c r="BB319" s="72">
        <v>3</v>
      </c>
      <c r="BC319" s="72">
        <v>3</v>
      </c>
      <c r="BD319" s="72">
        <v>3</v>
      </c>
      <c r="BE319" s="72">
        <v>3</v>
      </c>
      <c r="BF319" s="72">
        <v>3</v>
      </c>
      <c r="BG319" s="72">
        <v>3</v>
      </c>
      <c r="BH319" s="72">
        <v>3</v>
      </c>
      <c r="BI319" s="72">
        <v>3</v>
      </c>
      <c r="BJ319" s="72">
        <v>3</v>
      </c>
      <c r="BK319" s="72">
        <v>3</v>
      </c>
      <c r="BL319" s="72">
        <v>3</v>
      </c>
      <c r="BM319" s="72">
        <v>3</v>
      </c>
      <c r="BN319" s="72">
        <v>3</v>
      </c>
      <c r="BO319" s="72">
        <v>3</v>
      </c>
      <c r="BP319" s="72">
        <v>3</v>
      </c>
      <c r="BQ319" s="72">
        <v>3</v>
      </c>
      <c r="BR319" s="72">
        <v>3</v>
      </c>
      <c r="BS319" s="72">
        <v>3</v>
      </c>
      <c r="BT319" s="72">
        <v>3</v>
      </c>
      <c r="BU319" s="72">
        <v>3</v>
      </c>
      <c r="BV319" s="72">
        <v>3</v>
      </c>
      <c r="BW319" s="72">
        <v>3</v>
      </c>
      <c r="BX319" s="72">
        <v>3</v>
      </c>
      <c r="BY319" s="72">
        <v>3</v>
      </c>
      <c r="BZ319" s="72">
        <v>3</v>
      </c>
      <c r="CA319" s="72">
        <v>3</v>
      </c>
      <c r="CB319" s="72">
        <v>3</v>
      </c>
      <c r="CC319" s="72">
        <v>3</v>
      </c>
      <c r="CD319" s="72">
        <v>3</v>
      </c>
      <c r="CE319" s="72">
        <v>3</v>
      </c>
      <c r="CF319" s="72">
        <v>3</v>
      </c>
      <c r="CG319" s="72">
        <v>3</v>
      </c>
      <c r="CH319" s="72">
        <v>3</v>
      </c>
      <c r="CI319" s="72">
        <v>3</v>
      </c>
      <c r="CJ319" s="72">
        <v>3</v>
      </c>
      <c r="CK319" s="72">
        <v>3</v>
      </c>
      <c r="CL319" s="72">
        <v>3</v>
      </c>
      <c r="CM319" s="72">
        <v>3</v>
      </c>
      <c r="CN319" s="72">
        <v>3</v>
      </c>
      <c r="CO319" s="72">
        <v>3</v>
      </c>
      <c r="CP319" s="72">
        <v>3</v>
      </c>
      <c r="CQ319" s="72">
        <v>3</v>
      </c>
      <c r="CR319" s="72">
        <v>3</v>
      </c>
      <c r="CS319" s="72">
        <v>3</v>
      </c>
      <c r="CT319" s="72">
        <v>3</v>
      </c>
      <c r="CU319" s="72">
        <v>3</v>
      </c>
      <c r="CV319" s="72">
        <v>3</v>
      </c>
      <c r="CW319" s="72">
        <v>3</v>
      </c>
      <c r="CX319" s="72">
        <v>3</v>
      </c>
      <c r="CY319" s="72">
        <v>3</v>
      </c>
      <c r="CZ319" s="72">
        <v>3</v>
      </c>
      <c r="DA319" s="72">
        <v>3</v>
      </c>
      <c r="DB319" s="72">
        <v>3</v>
      </c>
      <c r="DC319" s="72">
        <v>3</v>
      </c>
      <c r="DD319" s="72">
        <v>3</v>
      </c>
      <c r="DE319" s="72">
        <v>3</v>
      </c>
      <c r="DF319" s="72">
        <v>3</v>
      </c>
      <c r="DG319" s="72">
        <v>3</v>
      </c>
      <c r="DH319" s="72">
        <v>3</v>
      </c>
      <c r="DI319" s="72">
        <v>3</v>
      </c>
      <c r="DJ319" s="72">
        <v>3</v>
      </c>
      <c r="DK319" s="72">
        <v>3</v>
      </c>
      <c r="DL319" s="72">
        <v>3</v>
      </c>
      <c r="DM319" s="72">
        <v>3</v>
      </c>
      <c r="DN319" s="72">
        <v>3</v>
      </c>
      <c r="DO319" s="72">
        <v>3</v>
      </c>
      <c r="DP319" s="72">
        <v>3</v>
      </c>
      <c r="DQ319" s="72">
        <v>3</v>
      </c>
    </row>
    <row r="320" spans="1:121" x14ac:dyDescent="0.35">
      <c r="A320" s="7"/>
      <c r="B320" s="92" t="s">
        <v>1323</v>
      </c>
      <c r="C320" s="9" t="s">
        <v>558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61</v>
      </c>
      <c r="J320" s="10"/>
      <c r="K320" s="10" t="s">
        <v>556</v>
      </c>
      <c r="L320" s="8"/>
      <c r="M320" s="12"/>
      <c r="N320" s="12">
        <f t="shared" si="7"/>
        <v>0</v>
      </c>
      <c r="O320" s="11">
        <v>61</v>
      </c>
      <c r="P320" s="11">
        <v>61</v>
      </c>
      <c r="Q320" s="11">
        <v>61</v>
      </c>
      <c r="R320" s="11">
        <v>61</v>
      </c>
      <c r="S320" s="11">
        <v>61</v>
      </c>
      <c r="T320" s="11">
        <v>61</v>
      </c>
      <c r="U320" s="11">
        <v>61</v>
      </c>
      <c r="V320" s="11">
        <v>61</v>
      </c>
      <c r="W320" s="11">
        <v>61</v>
      </c>
      <c r="X320" s="11">
        <v>61</v>
      </c>
      <c r="Y320" s="11">
        <v>61</v>
      </c>
      <c r="Z320" s="11">
        <v>61</v>
      </c>
      <c r="AA320" s="11">
        <v>61</v>
      </c>
      <c r="AB320" s="11">
        <v>61</v>
      </c>
      <c r="AC320" s="11">
        <v>61</v>
      </c>
      <c r="AD320" s="11">
        <v>61</v>
      </c>
      <c r="AE320" s="11">
        <v>61</v>
      </c>
      <c r="AF320" s="11">
        <v>61</v>
      </c>
      <c r="AG320" s="11">
        <v>61</v>
      </c>
      <c r="AH320" s="11">
        <v>61</v>
      </c>
      <c r="AI320" s="11">
        <v>61</v>
      </c>
      <c r="AJ320" s="11">
        <v>61</v>
      </c>
      <c r="AK320" s="11">
        <v>61</v>
      </c>
      <c r="AL320" s="11">
        <v>61</v>
      </c>
      <c r="AM320" s="11">
        <v>61</v>
      </c>
      <c r="AN320" s="72">
        <v>61</v>
      </c>
      <c r="AO320" s="72">
        <v>61</v>
      </c>
      <c r="AP320" s="72">
        <v>61</v>
      </c>
      <c r="AQ320" s="72">
        <v>61</v>
      </c>
      <c r="AR320" s="72">
        <v>61</v>
      </c>
      <c r="AS320" s="72">
        <v>61</v>
      </c>
      <c r="AT320" s="72">
        <v>61</v>
      </c>
      <c r="AU320" s="72">
        <v>61</v>
      </c>
      <c r="AV320" s="72">
        <v>61</v>
      </c>
      <c r="AW320" s="72">
        <v>61</v>
      </c>
      <c r="AX320" s="72">
        <v>61</v>
      </c>
      <c r="AY320" s="72">
        <v>61</v>
      </c>
      <c r="AZ320" s="72">
        <v>61</v>
      </c>
      <c r="BA320" s="72">
        <v>61</v>
      </c>
      <c r="BB320" s="72">
        <v>61</v>
      </c>
      <c r="BC320" s="72">
        <v>61</v>
      </c>
      <c r="BD320" s="72">
        <v>61</v>
      </c>
      <c r="BE320" s="72">
        <v>61</v>
      </c>
      <c r="BF320" s="72">
        <v>61</v>
      </c>
      <c r="BG320" s="72">
        <v>61</v>
      </c>
      <c r="BH320" s="72">
        <v>61</v>
      </c>
      <c r="BI320" s="72">
        <v>61</v>
      </c>
      <c r="BJ320" s="72">
        <v>61</v>
      </c>
      <c r="BK320" s="72">
        <v>61</v>
      </c>
      <c r="BL320" s="72">
        <v>61</v>
      </c>
      <c r="BM320" s="72">
        <v>61</v>
      </c>
      <c r="BN320" s="72">
        <v>61</v>
      </c>
      <c r="BO320" s="72">
        <v>61</v>
      </c>
      <c r="BP320" s="72">
        <v>61</v>
      </c>
      <c r="BQ320" s="72">
        <v>61</v>
      </c>
      <c r="BR320" s="72">
        <v>61</v>
      </c>
      <c r="BS320" s="72">
        <v>61</v>
      </c>
      <c r="BT320" s="72">
        <v>61</v>
      </c>
      <c r="BU320" s="72">
        <v>61</v>
      </c>
      <c r="BV320" s="72">
        <v>61</v>
      </c>
      <c r="BW320" s="72">
        <v>61</v>
      </c>
      <c r="BX320" s="72">
        <v>61</v>
      </c>
      <c r="BY320" s="72">
        <v>61</v>
      </c>
      <c r="BZ320" s="72">
        <v>61</v>
      </c>
      <c r="CA320" s="72">
        <v>61</v>
      </c>
      <c r="CB320" s="72">
        <v>61</v>
      </c>
      <c r="CC320" s="72">
        <v>61</v>
      </c>
      <c r="CD320" s="72">
        <v>61</v>
      </c>
      <c r="CE320" s="72">
        <v>61</v>
      </c>
      <c r="CF320" s="72">
        <v>61</v>
      </c>
      <c r="CG320" s="72">
        <v>61</v>
      </c>
      <c r="CH320" s="72">
        <v>61</v>
      </c>
      <c r="CI320" s="72">
        <v>61</v>
      </c>
      <c r="CJ320" s="72">
        <v>61</v>
      </c>
      <c r="CK320" s="72">
        <v>61</v>
      </c>
      <c r="CL320" s="72">
        <v>61</v>
      </c>
      <c r="CM320" s="72">
        <v>61</v>
      </c>
      <c r="CN320" s="72">
        <v>61</v>
      </c>
      <c r="CO320" s="72">
        <v>61</v>
      </c>
      <c r="CP320" s="72">
        <v>61</v>
      </c>
      <c r="CQ320" s="72">
        <v>61</v>
      </c>
      <c r="CR320" s="72">
        <v>61</v>
      </c>
      <c r="CS320" s="72">
        <v>61</v>
      </c>
      <c r="CT320" s="72">
        <v>61</v>
      </c>
      <c r="CU320" s="72">
        <v>61</v>
      </c>
      <c r="CV320" s="72">
        <v>61</v>
      </c>
      <c r="CW320" s="72">
        <v>61</v>
      </c>
      <c r="CX320" s="72">
        <v>61</v>
      </c>
      <c r="CY320" s="72">
        <v>61</v>
      </c>
      <c r="CZ320" s="72">
        <v>61</v>
      </c>
      <c r="DA320" s="72">
        <v>61</v>
      </c>
      <c r="DB320" s="72">
        <v>61</v>
      </c>
      <c r="DC320" s="72">
        <v>61</v>
      </c>
      <c r="DD320" s="72">
        <v>61</v>
      </c>
      <c r="DE320" s="72">
        <v>61</v>
      </c>
      <c r="DF320" s="72">
        <v>61</v>
      </c>
      <c r="DG320" s="72">
        <v>61</v>
      </c>
      <c r="DH320" s="72">
        <v>61</v>
      </c>
      <c r="DI320" s="72">
        <v>61</v>
      </c>
      <c r="DJ320" s="72">
        <v>61</v>
      </c>
      <c r="DK320" s="72">
        <v>61</v>
      </c>
      <c r="DL320" s="72">
        <v>61</v>
      </c>
      <c r="DM320" s="72">
        <v>61</v>
      </c>
      <c r="DN320" s="72">
        <v>61</v>
      </c>
      <c r="DO320" s="72">
        <v>61</v>
      </c>
      <c r="DP320" s="72">
        <v>61</v>
      </c>
      <c r="DQ320" s="72">
        <v>61</v>
      </c>
    </row>
    <row r="321" spans="1:121" x14ac:dyDescent="0.35">
      <c r="A321" s="7"/>
      <c r="B321" s="92" t="s">
        <v>1324</v>
      </c>
      <c r="C321" s="9" t="s">
        <v>559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53</v>
      </c>
      <c r="J321" s="10"/>
      <c r="K321" s="10" t="s">
        <v>556</v>
      </c>
      <c r="L321" s="8"/>
      <c r="M321" s="12"/>
      <c r="N321" s="12">
        <f t="shared" si="7"/>
        <v>0</v>
      </c>
      <c r="O321" s="11">
        <v>53</v>
      </c>
      <c r="P321" s="11">
        <v>53</v>
      </c>
      <c r="Q321" s="11">
        <v>53</v>
      </c>
      <c r="R321" s="11">
        <v>53</v>
      </c>
      <c r="S321" s="11">
        <v>53</v>
      </c>
      <c r="T321" s="11">
        <v>53</v>
      </c>
      <c r="U321" s="11">
        <v>53</v>
      </c>
      <c r="V321" s="11">
        <v>53</v>
      </c>
      <c r="W321" s="11">
        <v>53</v>
      </c>
      <c r="X321" s="11">
        <v>53</v>
      </c>
      <c r="Y321" s="11">
        <v>53</v>
      </c>
      <c r="Z321" s="11">
        <v>53</v>
      </c>
      <c r="AA321" s="11">
        <v>53</v>
      </c>
      <c r="AB321" s="11">
        <v>53</v>
      </c>
      <c r="AC321" s="11">
        <v>53</v>
      </c>
      <c r="AD321" s="11">
        <v>53</v>
      </c>
      <c r="AE321" s="11">
        <v>53</v>
      </c>
      <c r="AF321" s="11">
        <v>53</v>
      </c>
      <c r="AG321" s="11">
        <v>53</v>
      </c>
      <c r="AH321" s="11">
        <v>53</v>
      </c>
      <c r="AI321" s="11">
        <v>53</v>
      </c>
      <c r="AJ321" s="11">
        <v>53</v>
      </c>
      <c r="AK321" s="11">
        <v>53</v>
      </c>
      <c r="AL321" s="11">
        <v>53</v>
      </c>
      <c r="AM321" s="11">
        <v>53</v>
      </c>
      <c r="AN321" s="72">
        <v>53</v>
      </c>
      <c r="AO321" s="72">
        <v>53</v>
      </c>
      <c r="AP321" s="72">
        <v>53</v>
      </c>
      <c r="AQ321" s="72">
        <v>53</v>
      </c>
      <c r="AR321" s="72">
        <v>53</v>
      </c>
      <c r="AS321" s="72">
        <v>53</v>
      </c>
      <c r="AT321" s="72">
        <v>53</v>
      </c>
      <c r="AU321" s="72">
        <v>53</v>
      </c>
      <c r="AV321" s="72">
        <v>53</v>
      </c>
      <c r="AW321" s="72">
        <v>53</v>
      </c>
      <c r="AX321" s="72">
        <v>53</v>
      </c>
      <c r="AY321" s="72">
        <v>53</v>
      </c>
      <c r="AZ321" s="72">
        <v>53</v>
      </c>
      <c r="BA321" s="72">
        <v>53</v>
      </c>
      <c r="BB321" s="72">
        <v>53</v>
      </c>
      <c r="BC321" s="72">
        <v>53</v>
      </c>
      <c r="BD321" s="72">
        <v>53</v>
      </c>
      <c r="BE321" s="72">
        <v>53</v>
      </c>
      <c r="BF321" s="72">
        <v>53</v>
      </c>
      <c r="BG321" s="72">
        <v>53</v>
      </c>
      <c r="BH321" s="72">
        <v>53</v>
      </c>
      <c r="BI321" s="72">
        <v>53</v>
      </c>
      <c r="BJ321" s="72">
        <v>53</v>
      </c>
      <c r="BK321" s="72">
        <v>53</v>
      </c>
      <c r="BL321" s="72">
        <v>53</v>
      </c>
      <c r="BM321" s="72">
        <v>53</v>
      </c>
      <c r="BN321" s="72">
        <v>53</v>
      </c>
      <c r="BO321" s="72">
        <v>53</v>
      </c>
      <c r="BP321" s="72">
        <v>53</v>
      </c>
      <c r="BQ321" s="72">
        <v>53</v>
      </c>
      <c r="BR321" s="72">
        <v>53</v>
      </c>
      <c r="BS321" s="72">
        <v>53</v>
      </c>
      <c r="BT321" s="72">
        <v>53</v>
      </c>
      <c r="BU321" s="72">
        <v>53</v>
      </c>
      <c r="BV321" s="72">
        <v>53</v>
      </c>
      <c r="BW321" s="72">
        <v>53</v>
      </c>
      <c r="BX321" s="72">
        <v>53</v>
      </c>
      <c r="BY321" s="72">
        <v>53</v>
      </c>
      <c r="BZ321" s="72">
        <v>53</v>
      </c>
      <c r="CA321" s="72">
        <v>53</v>
      </c>
      <c r="CB321" s="72">
        <v>53</v>
      </c>
      <c r="CC321" s="72">
        <v>53</v>
      </c>
      <c r="CD321" s="72">
        <v>53</v>
      </c>
      <c r="CE321" s="72">
        <v>53</v>
      </c>
      <c r="CF321" s="72">
        <v>53</v>
      </c>
      <c r="CG321" s="72">
        <v>53</v>
      </c>
      <c r="CH321" s="72">
        <v>53</v>
      </c>
      <c r="CI321" s="72">
        <v>53</v>
      </c>
      <c r="CJ321" s="72">
        <v>53</v>
      </c>
      <c r="CK321" s="72">
        <v>53</v>
      </c>
      <c r="CL321" s="72">
        <v>53</v>
      </c>
      <c r="CM321" s="72">
        <v>53</v>
      </c>
      <c r="CN321" s="72">
        <v>53</v>
      </c>
      <c r="CO321" s="72">
        <v>53</v>
      </c>
      <c r="CP321" s="72">
        <v>53</v>
      </c>
      <c r="CQ321" s="72">
        <v>53</v>
      </c>
      <c r="CR321" s="72">
        <v>53</v>
      </c>
      <c r="CS321" s="72">
        <v>53</v>
      </c>
      <c r="CT321" s="72">
        <v>53</v>
      </c>
      <c r="CU321" s="72">
        <v>53</v>
      </c>
      <c r="CV321" s="72">
        <v>53</v>
      </c>
      <c r="CW321" s="72">
        <v>53</v>
      </c>
      <c r="CX321" s="72">
        <v>53</v>
      </c>
      <c r="CY321" s="72">
        <v>53</v>
      </c>
      <c r="CZ321" s="72">
        <v>53</v>
      </c>
      <c r="DA321" s="72">
        <v>53</v>
      </c>
      <c r="DB321" s="72">
        <v>53</v>
      </c>
      <c r="DC321" s="72">
        <v>53</v>
      </c>
      <c r="DD321" s="72">
        <v>53</v>
      </c>
      <c r="DE321" s="72">
        <v>53</v>
      </c>
      <c r="DF321" s="72">
        <v>53</v>
      </c>
      <c r="DG321" s="72">
        <v>53</v>
      </c>
      <c r="DH321" s="72">
        <v>53</v>
      </c>
      <c r="DI321" s="72">
        <v>53</v>
      </c>
      <c r="DJ321" s="72">
        <v>53</v>
      </c>
      <c r="DK321" s="72">
        <v>53</v>
      </c>
      <c r="DL321" s="72">
        <v>53</v>
      </c>
      <c r="DM321" s="72">
        <v>53</v>
      </c>
      <c r="DN321" s="72">
        <v>53</v>
      </c>
      <c r="DO321" s="72">
        <v>53</v>
      </c>
      <c r="DP321" s="72">
        <v>53</v>
      </c>
      <c r="DQ321" s="72">
        <v>53</v>
      </c>
    </row>
    <row r="322" spans="1:121" x14ac:dyDescent="0.35">
      <c r="A322" s="7"/>
      <c r="B322" s="92" t="s">
        <v>1325</v>
      </c>
      <c r="C322" s="9" t="s">
        <v>560</v>
      </c>
      <c r="D322" s="10" t="s">
        <v>549</v>
      </c>
      <c r="E322" s="8" t="s">
        <v>1209</v>
      </c>
      <c r="F322" s="10">
        <v>1101</v>
      </c>
      <c r="G322" s="10" t="s">
        <v>40</v>
      </c>
      <c r="H322" s="10" t="s">
        <v>41</v>
      </c>
      <c r="I322" s="11">
        <v>28</v>
      </c>
      <c r="J322" s="10"/>
      <c r="K322" s="10" t="s">
        <v>556</v>
      </c>
      <c r="L322" s="8"/>
      <c r="M322" s="12"/>
      <c r="N322" s="12">
        <f t="shared" si="7"/>
        <v>0</v>
      </c>
      <c r="O322" s="11">
        <v>28</v>
      </c>
      <c r="P322" s="11">
        <v>28</v>
      </c>
      <c r="Q322" s="11">
        <v>28</v>
      </c>
      <c r="R322" s="11">
        <v>28</v>
      </c>
      <c r="S322" s="11">
        <v>28</v>
      </c>
      <c r="T322" s="11">
        <v>28</v>
      </c>
      <c r="U322" s="11">
        <v>28</v>
      </c>
      <c r="V322" s="11">
        <v>28</v>
      </c>
      <c r="W322" s="11">
        <v>28</v>
      </c>
      <c r="X322" s="11">
        <v>28</v>
      </c>
      <c r="Y322" s="11">
        <v>28</v>
      </c>
      <c r="Z322" s="11">
        <v>28</v>
      </c>
      <c r="AA322" s="11">
        <v>28</v>
      </c>
      <c r="AB322" s="11">
        <v>28</v>
      </c>
      <c r="AC322" s="11">
        <v>28</v>
      </c>
      <c r="AD322" s="11">
        <v>28</v>
      </c>
      <c r="AE322" s="11">
        <v>28</v>
      </c>
      <c r="AF322" s="11">
        <v>28</v>
      </c>
      <c r="AG322" s="11">
        <v>28</v>
      </c>
      <c r="AH322" s="11">
        <v>28</v>
      </c>
      <c r="AI322" s="11">
        <v>28</v>
      </c>
      <c r="AJ322" s="11">
        <v>28</v>
      </c>
      <c r="AK322" s="11">
        <v>28</v>
      </c>
      <c r="AL322" s="11">
        <v>28</v>
      </c>
      <c r="AM322" s="11">
        <v>28</v>
      </c>
      <c r="AN322" s="72">
        <v>28</v>
      </c>
      <c r="AO322" s="72">
        <v>28</v>
      </c>
      <c r="AP322" s="72">
        <v>28</v>
      </c>
      <c r="AQ322" s="72">
        <v>28</v>
      </c>
      <c r="AR322" s="72">
        <v>28</v>
      </c>
      <c r="AS322" s="72">
        <v>28</v>
      </c>
      <c r="AT322" s="72">
        <v>28</v>
      </c>
      <c r="AU322" s="72">
        <v>28</v>
      </c>
      <c r="AV322" s="72">
        <v>28</v>
      </c>
      <c r="AW322" s="72">
        <v>28</v>
      </c>
      <c r="AX322" s="72">
        <v>28</v>
      </c>
      <c r="AY322" s="72">
        <v>28</v>
      </c>
      <c r="AZ322" s="72">
        <v>28</v>
      </c>
      <c r="BA322" s="72">
        <v>28</v>
      </c>
      <c r="BB322" s="72">
        <v>28</v>
      </c>
      <c r="BC322" s="72">
        <v>28</v>
      </c>
      <c r="BD322" s="72">
        <v>28</v>
      </c>
      <c r="BE322" s="72">
        <v>28</v>
      </c>
      <c r="BF322" s="72">
        <v>28</v>
      </c>
      <c r="BG322" s="72">
        <v>28</v>
      </c>
      <c r="BH322" s="72">
        <v>28</v>
      </c>
      <c r="BI322" s="72">
        <v>28</v>
      </c>
      <c r="BJ322" s="72">
        <v>28</v>
      </c>
      <c r="BK322" s="72">
        <v>28</v>
      </c>
      <c r="BL322" s="72">
        <v>28</v>
      </c>
      <c r="BM322" s="72">
        <v>28</v>
      </c>
      <c r="BN322" s="72">
        <v>28</v>
      </c>
      <c r="BO322" s="72">
        <v>28</v>
      </c>
      <c r="BP322" s="72">
        <v>28</v>
      </c>
      <c r="BQ322" s="72">
        <v>28</v>
      </c>
      <c r="BR322" s="72">
        <v>28</v>
      </c>
      <c r="BS322" s="72">
        <v>28</v>
      </c>
      <c r="BT322" s="72">
        <v>28</v>
      </c>
      <c r="BU322" s="72">
        <v>28</v>
      </c>
      <c r="BV322" s="72">
        <v>28</v>
      </c>
      <c r="BW322" s="72">
        <v>28</v>
      </c>
      <c r="BX322" s="72">
        <v>28</v>
      </c>
      <c r="BY322" s="72">
        <v>28</v>
      </c>
      <c r="BZ322" s="72">
        <v>28</v>
      </c>
      <c r="CA322" s="72">
        <v>28</v>
      </c>
      <c r="CB322" s="72">
        <v>28</v>
      </c>
      <c r="CC322" s="72">
        <v>28</v>
      </c>
      <c r="CD322" s="72">
        <v>28</v>
      </c>
      <c r="CE322" s="72">
        <v>28</v>
      </c>
      <c r="CF322" s="72">
        <v>28</v>
      </c>
      <c r="CG322" s="72">
        <v>28</v>
      </c>
      <c r="CH322" s="72">
        <v>28</v>
      </c>
      <c r="CI322" s="72">
        <v>28</v>
      </c>
      <c r="CJ322" s="72">
        <v>28</v>
      </c>
      <c r="CK322" s="72">
        <v>28</v>
      </c>
      <c r="CL322" s="72">
        <v>28</v>
      </c>
      <c r="CM322" s="72">
        <v>28</v>
      </c>
      <c r="CN322" s="72">
        <v>28</v>
      </c>
      <c r="CO322" s="72">
        <v>28</v>
      </c>
      <c r="CP322" s="72">
        <v>28</v>
      </c>
      <c r="CQ322" s="72">
        <v>28</v>
      </c>
      <c r="CR322" s="72">
        <v>28</v>
      </c>
      <c r="CS322" s="72">
        <v>28</v>
      </c>
      <c r="CT322" s="72">
        <v>28</v>
      </c>
      <c r="CU322" s="72">
        <v>28</v>
      </c>
      <c r="CV322" s="72">
        <v>28</v>
      </c>
      <c r="CW322" s="72">
        <v>28</v>
      </c>
      <c r="CX322" s="72">
        <v>28</v>
      </c>
      <c r="CY322" s="72">
        <v>28</v>
      </c>
      <c r="CZ322" s="72">
        <v>28</v>
      </c>
      <c r="DA322" s="72">
        <v>28</v>
      </c>
      <c r="DB322" s="72">
        <v>28</v>
      </c>
      <c r="DC322" s="72">
        <v>28</v>
      </c>
      <c r="DD322" s="72">
        <v>28</v>
      </c>
      <c r="DE322" s="72">
        <v>28</v>
      </c>
      <c r="DF322" s="72">
        <v>28</v>
      </c>
      <c r="DG322" s="72">
        <v>28</v>
      </c>
      <c r="DH322" s="72">
        <v>28</v>
      </c>
      <c r="DI322" s="72">
        <v>28</v>
      </c>
      <c r="DJ322" s="72">
        <v>28</v>
      </c>
      <c r="DK322" s="72">
        <v>28</v>
      </c>
      <c r="DL322" s="72">
        <v>28</v>
      </c>
      <c r="DM322" s="72">
        <v>28</v>
      </c>
      <c r="DN322" s="72">
        <v>28</v>
      </c>
      <c r="DO322" s="72">
        <v>28</v>
      </c>
      <c r="DP322" s="72">
        <v>28</v>
      </c>
      <c r="DQ322" s="72">
        <v>28</v>
      </c>
    </row>
    <row r="323" spans="1:121" x14ac:dyDescent="0.35">
      <c r="A323" s="7"/>
      <c r="B323" s="92" t="s">
        <v>1326</v>
      </c>
      <c r="C323" s="9" t="s">
        <v>561</v>
      </c>
      <c r="D323" s="10" t="s">
        <v>549</v>
      </c>
      <c r="E323" s="8" t="s">
        <v>1209</v>
      </c>
      <c r="F323" s="10">
        <v>1101</v>
      </c>
      <c r="G323" s="10" t="s">
        <v>40</v>
      </c>
      <c r="H323" s="10" t="s">
        <v>41</v>
      </c>
      <c r="I323" s="11">
        <v>267</v>
      </c>
      <c r="J323" s="10"/>
      <c r="K323" s="10" t="s">
        <v>556</v>
      </c>
      <c r="L323" s="8"/>
      <c r="M323" s="12"/>
      <c r="N323" s="12">
        <f t="shared" ref="N323:N386" si="8">M323*DQ323</f>
        <v>0</v>
      </c>
      <c r="O323" s="11">
        <v>267</v>
      </c>
      <c r="P323" s="11">
        <v>267</v>
      </c>
      <c r="Q323" s="11">
        <v>267</v>
      </c>
      <c r="R323" s="11">
        <v>267</v>
      </c>
      <c r="S323" s="11">
        <v>267</v>
      </c>
      <c r="T323" s="11">
        <v>267</v>
      </c>
      <c r="U323" s="11">
        <v>267</v>
      </c>
      <c r="V323" s="11">
        <v>267</v>
      </c>
      <c r="W323" s="11">
        <v>267</v>
      </c>
      <c r="X323" s="11">
        <v>267</v>
      </c>
      <c r="Y323" s="11">
        <v>267</v>
      </c>
      <c r="Z323" s="11">
        <v>267</v>
      </c>
      <c r="AA323" s="11">
        <v>267</v>
      </c>
      <c r="AB323" s="11">
        <v>267</v>
      </c>
      <c r="AC323" s="11">
        <v>267</v>
      </c>
      <c r="AD323" s="11">
        <v>267</v>
      </c>
      <c r="AE323" s="11">
        <v>267</v>
      </c>
      <c r="AF323" s="11">
        <v>267</v>
      </c>
      <c r="AG323" s="11">
        <v>267</v>
      </c>
      <c r="AH323" s="11">
        <v>267</v>
      </c>
      <c r="AI323" s="11">
        <v>267</v>
      </c>
      <c r="AJ323" s="11">
        <v>267</v>
      </c>
      <c r="AK323" s="11">
        <v>267</v>
      </c>
      <c r="AL323" s="11">
        <v>267</v>
      </c>
      <c r="AM323" s="11">
        <v>267</v>
      </c>
      <c r="AN323" s="72">
        <v>267</v>
      </c>
      <c r="AO323" s="72">
        <v>267</v>
      </c>
      <c r="AP323" s="72">
        <v>267</v>
      </c>
      <c r="AQ323" s="72">
        <v>267</v>
      </c>
      <c r="AR323" s="72">
        <v>267</v>
      </c>
      <c r="AS323" s="72">
        <v>267</v>
      </c>
      <c r="AT323" s="72">
        <v>267</v>
      </c>
      <c r="AU323" s="72">
        <v>267</v>
      </c>
      <c r="AV323" s="72">
        <v>267</v>
      </c>
      <c r="AW323" s="72">
        <v>267</v>
      </c>
      <c r="AX323" s="72">
        <v>267</v>
      </c>
      <c r="AY323" s="72">
        <v>267</v>
      </c>
      <c r="AZ323" s="72">
        <v>267</v>
      </c>
      <c r="BA323" s="72">
        <v>267</v>
      </c>
      <c r="BB323" s="72">
        <v>267</v>
      </c>
      <c r="BC323" s="72">
        <v>267</v>
      </c>
      <c r="BD323" s="72">
        <v>267</v>
      </c>
      <c r="BE323" s="72">
        <v>267</v>
      </c>
      <c r="BF323" s="72">
        <v>267</v>
      </c>
      <c r="BG323" s="72">
        <v>267</v>
      </c>
      <c r="BH323" s="72">
        <v>267</v>
      </c>
      <c r="BI323" s="72">
        <v>267</v>
      </c>
      <c r="BJ323" s="72">
        <v>267</v>
      </c>
      <c r="BK323" s="72">
        <v>267</v>
      </c>
      <c r="BL323" s="72">
        <v>267</v>
      </c>
      <c r="BM323" s="72">
        <v>267</v>
      </c>
      <c r="BN323" s="72">
        <v>267</v>
      </c>
      <c r="BO323" s="72">
        <v>267</v>
      </c>
      <c r="BP323" s="72">
        <v>267</v>
      </c>
      <c r="BQ323" s="72">
        <v>267</v>
      </c>
      <c r="BR323" s="72">
        <v>267</v>
      </c>
      <c r="BS323" s="72">
        <v>267</v>
      </c>
      <c r="BT323" s="72">
        <v>267</v>
      </c>
      <c r="BU323" s="72">
        <v>267</v>
      </c>
      <c r="BV323" s="72">
        <v>267</v>
      </c>
      <c r="BW323" s="72">
        <v>267</v>
      </c>
      <c r="BX323" s="72">
        <v>267</v>
      </c>
      <c r="BY323" s="72">
        <v>267</v>
      </c>
      <c r="BZ323" s="72">
        <v>267</v>
      </c>
      <c r="CA323" s="72">
        <v>267</v>
      </c>
      <c r="CB323" s="72">
        <v>267</v>
      </c>
      <c r="CC323" s="72">
        <v>267</v>
      </c>
      <c r="CD323" s="72">
        <v>267</v>
      </c>
      <c r="CE323" s="72">
        <v>267</v>
      </c>
      <c r="CF323" s="72">
        <v>267</v>
      </c>
      <c r="CG323" s="72">
        <v>267</v>
      </c>
      <c r="CH323" s="72">
        <v>267</v>
      </c>
      <c r="CI323" s="72">
        <v>267</v>
      </c>
      <c r="CJ323" s="72">
        <v>267</v>
      </c>
      <c r="CK323" s="72">
        <v>267</v>
      </c>
      <c r="CL323" s="72">
        <v>267</v>
      </c>
      <c r="CM323" s="72">
        <v>267</v>
      </c>
      <c r="CN323" s="72">
        <v>267</v>
      </c>
      <c r="CO323" s="72">
        <v>267</v>
      </c>
      <c r="CP323" s="72">
        <v>267</v>
      </c>
      <c r="CQ323" s="72">
        <v>267</v>
      </c>
      <c r="CR323" s="72">
        <v>267</v>
      </c>
      <c r="CS323" s="72">
        <v>267</v>
      </c>
      <c r="CT323" s="72">
        <v>267</v>
      </c>
      <c r="CU323" s="72">
        <v>267</v>
      </c>
      <c r="CV323" s="72">
        <v>267</v>
      </c>
      <c r="CW323" s="72">
        <v>267</v>
      </c>
      <c r="CX323" s="72">
        <v>267</v>
      </c>
      <c r="CY323" s="72">
        <v>267</v>
      </c>
      <c r="CZ323" s="72">
        <v>267</v>
      </c>
      <c r="DA323" s="72">
        <v>267</v>
      </c>
      <c r="DB323" s="72">
        <v>267</v>
      </c>
      <c r="DC323" s="72">
        <v>267</v>
      </c>
      <c r="DD323" s="72">
        <v>267</v>
      </c>
      <c r="DE323" s="72">
        <v>267</v>
      </c>
      <c r="DF323" s="72">
        <v>267</v>
      </c>
      <c r="DG323" s="72">
        <v>267</v>
      </c>
      <c r="DH323" s="72">
        <v>267</v>
      </c>
      <c r="DI323" s="72">
        <v>267</v>
      </c>
      <c r="DJ323" s="72">
        <v>267</v>
      </c>
      <c r="DK323" s="72">
        <v>267</v>
      </c>
      <c r="DL323" s="72">
        <v>267</v>
      </c>
      <c r="DM323" s="72">
        <v>267</v>
      </c>
      <c r="DN323" s="72">
        <v>267</v>
      </c>
      <c r="DO323" s="72">
        <v>267</v>
      </c>
      <c r="DP323" s="72">
        <v>267</v>
      </c>
      <c r="DQ323" s="72">
        <v>267</v>
      </c>
    </row>
    <row r="324" spans="1:121" x14ac:dyDescent="0.35">
      <c r="A324" s="7"/>
      <c r="B324" s="92" t="s">
        <v>1327</v>
      </c>
      <c r="C324" s="8" t="s">
        <v>562</v>
      </c>
      <c r="D324" s="10" t="s">
        <v>549</v>
      </c>
      <c r="E324" s="8" t="s">
        <v>1219</v>
      </c>
      <c r="F324" s="10">
        <v>1102</v>
      </c>
      <c r="G324" s="10" t="s">
        <v>40</v>
      </c>
      <c r="H324" s="10" t="s">
        <v>41</v>
      </c>
      <c r="I324" s="11">
        <v>2</v>
      </c>
      <c r="J324" s="10"/>
      <c r="K324" s="10" t="s">
        <v>563</v>
      </c>
      <c r="L324" s="8"/>
      <c r="M324" s="12"/>
      <c r="N324" s="12">
        <f t="shared" si="8"/>
        <v>0</v>
      </c>
      <c r="O324" s="11">
        <v>2</v>
      </c>
      <c r="P324" s="11">
        <v>2</v>
      </c>
      <c r="Q324" s="11">
        <v>2</v>
      </c>
      <c r="R324" s="11">
        <v>2</v>
      </c>
      <c r="S324" s="11">
        <v>2</v>
      </c>
      <c r="T324" s="11">
        <v>2</v>
      </c>
      <c r="U324" s="11">
        <v>2</v>
      </c>
      <c r="V324" s="11">
        <v>2</v>
      </c>
      <c r="W324" s="11">
        <v>2</v>
      </c>
      <c r="X324" s="11">
        <v>2</v>
      </c>
      <c r="Y324" s="11">
        <v>2</v>
      </c>
      <c r="Z324" s="11">
        <v>2</v>
      </c>
      <c r="AA324" s="11">
        <v>2</v>
      </c>
      <c r="AB324" s="11">
        <v>2</v>
      </c>
      <c r="AC324" s="11">
        <v>2</v>
      </c>
      <c r="AD324" s="11">
        <v>2</v>
      </c>
      <c r="AE324" s="11">
        <v>2</v>
      </c>
      <c r="AF324" s="11">
        <v>2</v>
      </c>
      <c r="AG324" s="11">
        <v>2</v>
      </c>
      <c r="AH324" s="11">
        <v>2</v>
      </c>
      <c r="AI324" s="11">
        <v>2</v>
      </c>
      <c r="AJ324" s="11">
        <v>2</v>
      </c>
      <c r="AK324" s="11">
        <v>2</v>
      </c>
      <c r="AL324" s="11">
        <v>2</v>
      </c>
      <c r="AM324" s="11">
        <v>2</v>
      </c>
      <c r="AN324" s="72">
        <v>2</v>
      </c>
      <c r="AO324" s="72">
        <v>2</v>
      </c>
      <c r="AP324" s="72">
        <v>2</v>
      </c>
      <c r="AQ324" s="72">
        <v>2</v>
      </c>
      <c r="AR324" s="72">
        <v>2</v>
      </c>
      <c r="AS324" s="72">
        <v>2</v>
      </c>
      <c r="AT324" s="72">
        <v>2</v>
      </c>
      <c r="AU324" s="72">
        <v>2</v>
      </c>
      <c r="AV324" s="72">
        <v>2</v>
      </c>
      <c r="AW324" s="72">
        <v>2</v>
      </c>
      <c r="AX324" s="72">
        <v>2</v>
      </c>
      <c r="AY324" s="72">
        <v>2</v>
      </c>
      <c r="AZ324" s="72">
        <v>2</v>
      </c>
      <c r="BA324" s="72">
        <v>2</v>
      </c>
      <c r="BB324" s="72">
        <v>2</v>
      </c>
      <c r="BC324" s="72">
        <v>2</v>
      </c>
      <c r="BD324" s="72">
        <v>2</v>
      </c>
      <c r="BE324" s="72">
        <v>2</v>
      </c>
      <c r="BF324" s="72">
        <v>2</v>
      </c>
      <c r="BG324" s="72">
        <v>2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</row>
    <row r="325" spans="1:121" x14ac:dyDescent="0.35">
      <c r="A325" s="7"/>
      <c r="B325" s="92" t="s">
        <v>1328</v>
      </c>
      <c r="C325" s="8" t="s">
        <v>564</v>
      </c>
      <c r="D325" s="10" t="s">
        <v>549</v>
      </c>
      <c r="E325" s="8" t="s">
        <v>1219</v>
      </c>
      <c r="F325" s="10">
        <v>1102</v>
      </c>
      <c r="G325" s="10" t="s">
        <v>40</v>
      </c>
      <c r="H325" s="10" t="s">
        <v>41</v>
      </c>
      <c r="I325" s="11">
        <v>2</v>
      </c>
      <c r="J325" s="10"/>
      <c r="K325" s="10" t="s">
        <v>563</v>
      </c>
      <c r="L325" s="8"/>
      <c r="M325" s="12"/>
      <c r="N325" s="12">
        <f t="shared" si="8"/>
        <v>0</v>
      </c>
      <c r="O325" s="11">
        <v>2</v>
      </c>
      <c r="P325" s="11">
        <v>2</v>
      </c>
      <c r="Q325" s="11">
        <v>2</v>
      </c>
      <c r="R325" s="11">
        <v>2</v>
      </c>
      <c r="S325" s="11">
        <v>2</v>
      </c>
      <c r="T325" s="11">
        <v>2</v>
      </c>
      <c r="U325" s="11">
        <v>2</v>
      </c>
      <c r="V325" s="11">
        <v>2</v>
      </c>
      <c r="W325" s="11">
        <v>2</v>
      </c>
      <c r="X325" s="11">
        <v>2</v>
      </c>
      <c r="Y325" s="11">
        <v>2</v>
      </c>
      <c r="Z325" s="11">
        <v>2</v>
      </c>
      <c r="AA325" s="11">
        <v>2</v>
      </c>
      <c r="AB325" s="11">
        <v>2</v>
      </c>
      <c r="AC325" s="11">
        <v>2</v>
      </c>
      <c r="AD325" s="11">
        <v>2</v>
      </c>
      <c r="AE325" s="11">
        <v>2</v>
      </c>
      <c r="AF325" s="11">
        <v>2</v>
      </c>
      <c r="AG325" s="11">
        <v>2</v>
      </c>
      <c r="AH325" s="11">
        <v>2</v>
      </c>
      <c r="AI325" s="11">
        <v>2</v>
      </c>
      <c r="AJ325" s="11">
        <v>2</v>
      </c>
      <c r="AK325" s="11">
        <v>2</v>
      </c>
      <c r="AL325" s="11">
        <v>2</v>
      </c>
      <c r="AM325" s="11">
        <v>2</v>
      </c>
      <c r="AN325" s="72">
        <v>2</v>
      </c>
      <c r="AO325" s="72">
        <v>2</v>
      </c>
      <c r="AP325" s="72">
        <v>2</v>
      </c>
      <c r="AQ325" s="72">
        <v>2</v>
      </c>
      <c r="AR325" s="72">
        <v>2</v>
      </c>
      <c r="AS325" s="72">
        <v>2</v>
      </c>
      <c r="AT325" s="72">
        <v>2</v>
      </c>
      <c r="AU325" s="72">
        <v>2</v>
      </c>
      <c r="AV325" s="72">
        <v>2</v>
      </c>
      <c r="AW325" s="72">
        <v>2</v>
      </c>
      <c r="AX325" s="72">
        <v>2</v>
      </c>
      <c r="AY325" s="72">
        <v>2</v>
      </c>
      <c r="AZ325" s="72">
        <v>2</v>
      </c>
      <c r="BA325" s="72">
        <v>2</v>
      </c>
      <c r="BB325" s="72">
        <v>2</v>
      </c>
      <c r="BC325" s="72">
        <v>2</v>
      </c>
      <c r="BD325" s="72">
        <v>2</v>
      </c>
      <c r="BE325" s="72">
        <v>2</v>
      </c>
      <c r="BF325" s="72">
        <v>2</v>
      </c>
      <c r="BG325" s="72">
        <v>2</v>
      </c>
      <c r="BH325" s="72">
        <v>2</v>
      </c>
      <c r="BI325" s="72">
        <v>2</v>
      </c>
      <c r="BJ325" s="72">
        <v>2</v>
      </c>
      <c r="BK325" s="72">
        <v>2</v>
      </c>
      <c r="BL325" s="72">
        <v>2</v>
      </c>
      <c r="BM325" s="72">
        <v>2</v>
      </c>
      <c r="BN325" s="72">
        <v>2</v>
      </c>
      <c r="BO325" s="72">
        <v>2</v>
      </c>
      <c r="BP325" s="72">
        <v>2</v>
      </c>
      <c r="BQ325" s="72">
        <v>2</v>
      </c>
      <c r="BR325" s="72">
        <v>2</v>
      </c>
      <c r="BS325" s="72">
        <v>2</v>
      </c>
      <c r="BT325" s="72">
        <v>2</v>
      </c>
      <c r="BU325" s="72">
        <v>2</v>
      </c>
      <c r="BV325" s="72">
        <v>2</v>
      </c>
      <c r="BW325" s="72">
        <v>2</v>
      </c>
      <c r="BX325" s="72">
        <v>2</v>
      </c>
      <c r="BY325" s="72">
        <v>2</v>
      </c>
      <c r="BZ325" s="72">
        <v>2</v>
      </c>
      <c r="CA325" s="72">
        <v>2</v>
      </c>
      <c r="CB325" s="72">
        <v>2</v>
      </c>
      <c r="CC325" s="72">
        <v>2</v>
      </c>
      <c r="CD325" s="72">
        <v>2</v>
      </c>
      <c r="CE325" s="72">
        <v>2</v>
      </c>
      <c r="CF325" s="72">
        <v>2</v>
      </c>
      <c r="CG325" s="72">
        <v>2</v>
      </c>
      <c r="CH325" s="72">
        <v>2</v>
      </c>
      <c r="CI325" s="72">
        <v>2</v>
      </c>
      <c r="CJ325" s="72">
        <v>2</v>
      </c>
      <c r="CK325" s="72">
        <v>2</v>
      </c>
      <c r="CL325" s="72">
        <v>2</v>
      </c>
      <c r="CM325" s="72">
        <v>2</v>
      </c>
      <c r="CN325" s="72">
        <v>2</v>
      </c>
      <c r="CO325" s="72">
        <v>2</v>
      </c>
      <c r="CP325" s="72">
        <v>2</v>
      </c>
      <c r="CQ325" s="72">
        <v>2</v>
      </c>
      <c r="CR325" s="72">
        <v>2</v>
      </c>
      <c r="CS325" s="72">
        <v>2</v>
      </c>
      <c r="CT325" s="72">
        <v>2</v>
      </c>
      <c r="CU325" s="72">
        <v>2</v>
      </c>
      <c r="CV325" s="72">
        <v>2</v>
      </c>
      <c r="CW325" s="72">
        <v>2</v>
      </c>
      <c r="CX325" s="72">
        <v>2</v>
      </c>
      <c r="CY325" s="72">
        <v>2</v>
      </c>
      <c r="CZ325" s="72">
        <v>2</v>
      </c>
      <c r="DA325" s="72">
        <v>2</v>
      </c>
      <c r="DB325" s="72">
        <v>2</v>
      </c>
      <c r="DC325" s="72">
        <v>2</v>
      </c>
      <c r="DD325" s="72">
        <v>2</v>
      </c>
      <c r="DE325" s="72">
        <v>2</v>
      </c>
      <c r="DF325" s="72">
        <v>2</v>
      </c>
      <c r="DG325" s="72">
        <v>2</v>
      </c>
      <c r="DH325" s="72">
        <v>2</v>
      </c>
      <c r="DI325" s="72">
        <v>2</v>
      </c>
      <c r="DJ325" s="72">
        <v>2</v>
      </c>
      <c r="DK325" s="72">
        <v>2</v>
      </c>
      <c r="DL325" s="72">
        <v>2</v>
      </c>
      <c r="DM325" s="72">
        <v>2</v>
      </c>
      <c r="DN325" s="72">
        <v>2</v>
      </c>
      <c r="DO325" s="72">
        <v>2</v>
      </c>
      <c r="DP325" s="72">
        <v>2</v>
      </c>
      <c r="DQ325" s="72">
        <v>2</v>
      </c>
    </row>
    <row r="326" spans="1:121" x14ac:dyDescent="0.35">
      <c r="A326" s="7"/>
      <c r="B326" s="92" t="s">
        <v>1329</v>
      </c>
      <c r="C326" s="8" t="s">
        <v>565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7</v>
      </c>
      <c r="J326" s="10"/>
      <c r="K326" s="10" t="s">
        <v>566</v>
      </c>
      <c r="L326" s="8"/>
      <c r="M326" s="12"/>
      <c r="N326" s="12">
        <f t="shared" si="8"/>
        <v>0</v>
      </c>
      <c r="O326" s="11">
        <v>7</v>
      </c>
      <c r="P326" s="11">
        <v>7</v>
      </c>
      <c r="Q326" s="11">
        <v>7</v>
      </c>
      <c r="R326" s="11">
        <v>7</v>
      </c>
      <c r="S326" s="11">
        <v>7</v>
      </c>
      <c r="T326" s="11">
        <v>7</v>
      </c>
      <c r="U326" s="11">
        <v>7</v>
      </c>
      <c r="V326" s="11">
        <v>7</v>
      </c>
      <c r="W326" s="11">
        <v>7</v>
      </c>
      <c r="X326" s="11">
        <v>7</v>
      </c>
      <c r="Y326" s="11">
        <v>7</v>
      </c>
      <c r="Z326" s="11">
        <v>7</v>
      </c>
      <c r="AA326" s="11">
        <v>7</v>
      </c>
      <c r="AB326" s="11">
        <v>7</v>
      </c>
      <c r="AC326" s="11">
        <v>7</v>
      </c>
      <c r="AD326" s="11">
        <v>7</v>
      </c>
      <c r="AE326" s="11">
        <v>7</v>
      </c>
      <c r="AF326" s="11">
        <v>7</v>
      </c>
      <c r="AG326" s="11">
        <v>7</v>
      </c>
      <c r="AH326" s="11">
        <v>7</v>
      </c>
      <c r="AI326" s="11">
        <v>7</v>
      </c>
      <c r="AJ326" s="11">
        <v>7</v>
      </c>
      <c r="AK326" s="11">
        <v>7</v>
      </c>
      <c r="AL326" s="11">
        <v>7</v>
      </c>
      <c r="AM326" s="11">
        <v>7</v>
      </c>
      <c r="AN326" s="72">
        <v>7</v>
      </c>
      <c r="AO326" s="72">
        <v>7</v>
      </c>
      <c r="AP326" s="72">
        <v>7</v>
      </c>
      <c r="AQ326" s="72">
        <v>7</v>
      </c>
      <c r="AR326" s="72">
        <v>7</v>
      </c>
      <c r="AS326" s="72">
        <v>7</v>
      </c>
      <c r="AT326" s="72">
        <v>7</v>
      </c>
      <c r="AU326" s="72">
        <v>7</v>
      </c>
      <c r="AV326" s="72">
        <v>7</v>
      </c>
      <c r="AW326" s="72">
        <v>7</v>
      </c>
      <c r="AX326" s="72">
        <v>7</v>
      </c>
      <c r="AY326" s="72">
        <v>7</v>
      </c>
      <c r="AZ326" s="72">
        <v>7</v>
      </c>
      <c r="BA326" s="72">
        <v>7</v>
      </c>
      <c r="BB326" s="72">
        <v>7</v>
      </c>
      <c r="BC326" s="72">
        <v>7</v>
      </c>
      <c r="BD326" s="72">
        <v>7</v>
      </c>
      <c r="BE326" s="72">
        <v>7</v>
      </c>
      <c r="BF326" s="72">
        <v>7</v>
      </c>
      <c r="BG326" s="72">
        <v>7</v>
      </c>
      <c r="BH326" s="72">
        <v>7</v>
      </c>
      <c r="BI326" s="72">
        <v>7</v>
      </c>
      <c r="BJ326" s="72">
        <v>7</v>
      </c>
      <c r="BK326" s="72">
        <v>7</v>
      </c>
      <c r="BL326" s="72">
        <v>7</v>
      </c>
      <c r="BM326" s="72">
        <v>7</v>
      </c>
      <c r="BN326" s="72">
        <v>7</v>
      </c>
      <c r="BO326" s="72">
        <v>7</v>
      </c>
      <c r="BP326" s="72">
        <v>7</v>
      </c>
      <c r="BQ326" s="72">
        <v>7</v>
      </c>
      <c r="BR326" s="72">
        <v>7</v>
      </c>
      <c r="BS326" s="72">
        <v>7</v>
      </c>
      <c r="BT326" s="72">
        <v>7</v>
      </c>
      <c r="BU326" s="72">
        <v>7</v>
      </c>
      <c r="BV326" s="72">
        <v>7</v>
      </c>
      <c r="BW326" s="72">
        <v>7</v>
      </c>
      <c r="BX326" s="72">
        <v>7</v>
      </c>
      <c r="BY326" s="72">
        <v>7</v>
      </c>
      <c r="BZ326" s="72">
        <v>7</v>
      </c>
      <c r="CA326" s="72">
        <v>7</v>
      </c>
      <c r="CB326" s="72">
        <v>7</v>
      </c>
      <c r="CC326" s="72">
        <v>7</v>
      </c>
      <c r="CD326" s="72">
        <v>7</v>
      </c>
      <c r="CE326" s="72">
        <v>7</v>
      </c>
      <c r="CF326" s="72">
        <v>7</v>
      </c>
      <c r="CG326" s="72">
        <v>7</v>
      </c>
      <c r="CH326" s="72">
        <v>7</v>
      </c>
      <c r="CI326" s="72">
        <v>7</v>
      </c>
      <c r="CJ326" s="72">
        <v>7</v>
      </c>
      <c r="CK326" s="72">
        <v>7</v>
      </c>
      <c r="CL326" s="72">
        <v>7</v>
      </c>
      <c r="CM326" s="72">
        <v>7</v>
      </c>
      <c r="CN326" s="72">
        <v>7</v>
      </c>
      <c r="CO326" s="72">
        <v>7</v>
      </c>
      <c r="CP326" s="72">
        <v>7</v>
      </c>
      <c r="CQ326" s="72">
        <v>7</v>
      </c>
      <c r="CR326" s="72">
        <v>7</v>
      </c>
      <c r="CS326" s="72">
        <v>7</v>
      </c>
      <c r="CT326" s="72">
        <v>7</v>
      </c>
      <c r="CU326" s="72">
        <v>7</v>
      </c>
      <c r="CV326" s="72">
        <v>7</v>
      </c>
      <c r="CW326" s="72">
        <v>7</v>
      </c>
      <c r="CX326" s="72">
        <v>7</v>
      </c>
      <c r="CY326" s="72">
        <v>7</v>
      </c>
      <c r="CZ326" s="72">
        <v>7</v>
      </c>
      <c r="DA326" s="72">
        <v>7</v>
      </c>
      <c r="DB326" s="72">
        <v>7</v>
      </c>
      <c r="DC326" s="72">
        <v>7</v>
      </c>
      <c r="DD326" s="72">
        <v>7</v>
      </c>
      <c r="DE326" s="72">
        <v>7</v>
      </c>
      <c r="DF326" s="72">
        <v>7</v>
      </c>
      <c r="DG326" s="72">
        <v>7</v>
      </c>
      <c r="DH326" s="72">
        <v>7</v>
      </c>
      <c r="DI326" s="72">
        <v>7</v>
      </c>
      <c r="DJ326" s="72">
        <v>7</v>
      </c>
      <c r="DK326" s="72">
        <v>7</v>
      </c>
      <c r="DL326" s="72">
        <v>7</v>
      </c>
      <c r="DM326" s="72">
        <v>7</v>
      </c>
      <c r="DN326" s="72">
        <v>7</v>
      </c>
      <c r="DO326" s="72">
        <v>7</v>
      </c>
      <c r="DP326" s="72">
        <v>7</v>
      </c>
      <c r="DQ326" s="72">
        <v>7</v>
      </c>
    </row>
    <row r="327" spans="1:121" x14ac:dyDescent="0.35">
      <c r="A327" s="7"/>
      <c r="B327" s="92" t="s">
        <v>1330</v>
      </c>
      <c r="C327" s="8" t="s">
        <v>567</v>
      </c>
      <c r="D327" s="10" t="s">
        <v>549</v>
      </c>
      <c r="E327" s="8" t="s">
        <v>1208</v>
      </c>
      <c r="F327" s="10">
        <v>1102</v>
      </c>
      <c r="G327" s="10" t="s">
        <v>40</v>
      </c>
      <c r="H327" s="10" t="s">
        <v>41</v>
      </c>
      <c r="I327" s="11">
        <v>5</v>
      </c>
      <c r="J327" s="10"/>
      <c r="K327" s="10" t="s">
        <v>566</v>
      </c>
      <c r="L327" s="8"/>
      <c r="M327" s="12"/>
      <c r="N327" s="12">
        <f t="shared" si="8"/>
        <v>0</v>
      </c>
      <c r="O327" s="11">
        <v>5</v>
      </c>
      <c r="P327" s="11">
        <v>5</v>
      </c>
      <c r="Q327" s="11">
        <v>5</v>
      </c>
      <c r="R327" s="11">
        <v>5</v>
      </c>
      <c r="S327" s="11">
        <v>5</v>
      </c>
      <c r="T327" s="11">
        <v>5</v>
      </c>
      <c r="U327" s="11">
        <v>5</v>
      </c>
      <c r="V327" s="11">
        <v>5</v>
      </c>
      <c r="W327" s="11">
        <v>5</v>
      </c>
      <c r="X327" s="11">
        <v>5</v>
      </c>
      <c r="Y327" s="11">
        <v>5</v>
      </c>
      <c r="Z327" s="11">
        <v>5</v>
      </c>
      <c r="AA327" s="11">
        <v>5</v>
      </c>
      <c r="AB327" s="11">
        <v>5</v>
      </c>
      <c r="AC327" s="11">
        <v>5</v>
      </c>
      <c r="AD327" s="11">
        <v>5</v>
      </c>
      <c r="AE327" s="11">
        <v>5</v>
      </c>
      <c r="AF327" s="11">
        <v>5</v>
      </c>
      <c r="AG327" s="11">
        <v>5</v>
      </c>
      <c r="AH327" s="11">
        <v>5</v>
      </c>
      <c r="AI327" s="11">
        <v>5</v>
      </c>
      <c r="AJ327" s="11">
        <v>5</v>
      </c>
      <c r="AK327" s="11">
        <v>5</v>
      </c>
      <c r="AL327" s="11">
        <v>5</v>
      </c>
      <c r="AM327" s="11">
        <v>5</v>
      </c>
      <c r="AN327" s="72">
        <v>5</v>
      </c>
      <c r="AO327" s="72">
        <v>5</v>
      </c>
      <c r="AP327" s="72">
        <v>5</v>
      </c>
      <c r="AQ327" s="72">
        <v>5</v>
      </c>
      <c r="AR327" s="72">
        <v>5</v>
      </c>
      <c r="AS327" s="72">
        <v>5</v>
      </c>
      <c r="AT327" s="72">
        <v>5</v>
      </c>
      <c r="AU327" s="72">
        <v>5</v>
      </c>
      <c r="AV327" s="72">
        <v>5</v>
      </c>
      <c r="AW327" s="72">
        <v>5</v>
      </c>
      <c r="AX327" s="72">
        <v>5</v>
      </c>
      <c r="AY327" s="72">
        <v>5</v>
      </c>
      <c r="AZ327" s="72">
        <v>5</v>
      </c>
      <c r="BA327" s="72">
        <v>5</v>
      </c>
      <c r="BB327" s="72">
        <v>5</v>
      </c>
      <c r="BC327" s="72">
        <v>5</v>
      </c>
      <c r="BD327" s="72">
        <v>5</v>
      </c>
      <c r="BE327" s="72">
        <v>5</v>
      </c>
      <c r="BF327" s="72">
        <v>5</v>
      </c>
      <c r="BG327" s="72">
        <v>5</v>
      </c>
      <c r="BH327" s="72">
        <v>5</v>
      </c>
      <c r="BI327" s="72">
        <v>5</v>
      </c>
      <c r="BJ327" s="72">
        <v>5</v>
      </c>
      <c r="BK327" s="72">
        <v>5</v>
      </c>
      <c r="BL327" s="72">
        <v>5</v>
      </c>
      <c r="BM327" s="72">
        <v>5</v>
      </c>
      <c r="BN327" s="72">
        <v>5</v>
      </c>
      <c r="BO327" s="72">
        <v>5</v>
      </c>
      <c r="BP327" s="72">
        <v>5</v>
      </c>
      <c r="BQ327" s="72">
        <v>5</v>
      </c>
      <c r="BR327" s="72">
        <v>5</v>
      </c>
      <c r="BS327" s="72">
        <v>5</v>
      </c>
      <c r="BT327" s="72">
        <v>5</v>
      </c>
      <c r="BU327" s="72">
        <v>5</v>
      </c>
      <c r="BV327" s="72">
        <v>5</v>
      </c>
      <c r="BW327" s="72">
        <v>5</v>
      </c>
      <c r="BX327" s="72">
        <v>5</v>
      </c>
      <c r="BY327" s="72">
        <v>5</v>
      </c>
      <c r="BZ327" s="72">
        <v>5</v>
      </c>
      <c r="CA327" s="72">
        <v>5</v>
      </c>
      <c r="CB327" s="72">
        <v>5</v>
      </c>
      <c r="CC327" s="72">
        <v>5</v>
      </c>
      <c r="CD327" s="72">
        <v>5</v>
      </c>
      <c r="CE327" s="72">
        <v>5</v>
      </c>
      <c r="CF327" s="72">
        <v>5</v>
      </c>
      <c r="CG327" s="72">
        <v>5</v>
      </c>
      <c r="CH327" s="72">
        <v>5</v>
      </c>
      <c r="CI327" s="72">
        <v>5</v>
      </c>
      <c r="CJ327" s="72">
        <v>5</v>
      </c>
      <c r="CK327" s="72">
        <v>5</v>
      </c>
      <c r="CL327" s="72">
        <v>5</v>
      </c>
      <c r="CM327" s="72">
        <v>5</v>
      </c>
      <c r="CN327" s="72">
        <v>5</v>
      </c>
      <c r="CO327" s="72">
        <v>5</v>
      </c>
      <c r="CP327" s="72">
        <v>5</v>
      </c>
      <c r="CQ327" s="72">
        <v>5</v>
      </c>
      <c r="CR327" s="72">
        <v>5</v>
      </c>
      <c r="CS327" s="72">
        <v>5</v>
      </c>
      <c r="CT327" s="72">
        <v>5</v>
      </c>
      <c r="CU327" s="72">
        <v>5</v>
      </c>
      <c r="CV327" s="72">
        <v>5</v>
      </c>
      <c r="CW327" s="72">
        <v>5</v>
      </c>
      <c r="CX327" s="72">
        <v>5</v>
      </c>
      <c r="CY327" s="72">
        <v>5</v>
      </c>
      <c r="CZ327" s="72">
        <v>5</v>
      </c>
      <c r="DA327" s="72">
        <v>5</v>
      </c>
      <c r="DB327" s="72">
        <v>5</v>
      </c>
      <c r="DC327" s="72">
        <v>5</v>
      </c>
      <c r="DD327" s="72">
        <v>5</v>
      </c>
      <c r="DE327" s="72">
        <v>5</v>
      </c>
      <c r="DF327" s="72">
        <v>5</v>
      </c>
      <c r="DG327" s="72">
        <v>5</v>
      </c>
      <c r="DH327" s="72">
        <v>5</v>
      </c>
      <c r="DI327" s="72">
        <v>5</v>
      </c>
      <c r="DJ327" s="72">
        <v>5</v>
      </c>
      <c r="DK327" s="72">
        <v>5</v>
      </c>
      <c r="DL327" s="72">
        <v>5</v>
      </c>
      <c r="DM327" s="72">
        <v>5</v>
      </c>
      <c r="DN327" s="72">
        <v>5</v>
      </c>
      <c r="DO327" s="72">
        <v>5</v>
      </c>
      <c r="DP327" s="72">
        <v>5</v>
      </c>
      <c r="DQ327" s="72">
        <v>5</v>
      </c>
    </row>
    <row r="328" spans="1:121" x14ac:dyDescent="0.35">
      <c r="A328" s="7"/>
      <c r="B328" s="92" t="s">
        <v>1331</v>
      </c>
      <c r="C328" s="8" t="s">
        <v>568</v>
      </c>
      <c r="D328" s="10" t="s">
        <v>549</v>
      </c>
      <c r="E328" s="8" t="s">
        <v>1208</v>
      </c>
      <c r="F328" s="10">
        <v>1102</v>
      </c>
      <c r="G328" s="10" t="s">
        <v>40</v>
      </c>
      <c r="H328" s="10" t="s">
        <v>41</v>
      </c>
      <c r="I328" s="11">
        <v>10</v>
      </c>
      <c r="J328" s="10"/>
      <c r="K328" s="10"/>
      <c r="L328" s="8"/>
      <c r="M328" s="12"/>
      <c r="N328" s="12">
        <f t="shared" si="8"/>
        <v>0</v>
      </c>
      <c r="O328" s="11">
        <v>10</v>
      </c>
      <c r="P328" s="11">
        <v>10</v>
      </c>
      <c r="Q328" s="11">
        <v>10</v>
      </c>
      <c r="R328" s="11">
        <v>10</v>
      </c>
      <c r="S328" s="11">
        <v>10</v>
      </c>
      <c r="T328" s="11">
        <v>10</v>
      </c>
      <c r="U328" s="11">
        <v>10</v>
      </c>
      <c r="V328" s="11">
        <v>10</v>
      </c>
      <c r="W328" s="11">
        <v>10</v>
      </c>
      <c r="X328" s="11">
        <v>10</v>
      </c>
      <c r="Y328" s="11">
        <v>10</v>
      </c>
      <c r="Z328" s="11">
        <v>10</v>
      </c>
      <c r="AA328" s="11">
        <v>10</v>
      </c>
      <c r="AB328" s="11">
        <v>10</v>
      </c>
      <c r="AC328" s="11">
        <v>10</v>
      </c>
      <c r="AD328" s="11">
        <v>10</v>
      </c>
      <c r="AE328" s="11">
        <v>10</v>
      </c>
      <c r="AF328" s="11">
        <v>10</v>
      </c>
      <c r="AG328" s="11">
        <v>10</v>
      </c>
      <c r="AH328" s="11">
        <v>10</v>
      </c>
      <c r="AI328" s="11">
        <v>10</v>
      </c>
      <c r="AJ328" s="11">
        <v>10</v>
      </c>
      <c r="AK328" s="11">
        <v>10</v>
      </c>
      <c r="AL328" s="11">
        <v>10</v>
      </c>
      <c r="AM328" s="11">
        <v>10</v>
      </c>
      <c r="AN328" s="72">
        <v>10</v>
      </c>
      <c r="AO328" s="72">
        <v>10</v>
      </c>
      <c r="AP328" s="72">
        <v>10</v>
      </c>
      <c r="AQ328" s="72">
        <v>10</v>
      </c>
      <c r="AR328" s="72">
        <v>10</v>
      </c>
      <c r="AS328" s="72">
        <v>10</v>
      </c>
      <c r="AT328" s="72">
        <v>10</v>
      </c>
      <c r="AU328" s="72">
        <v>10</v>
      </c>
      <c r="AV328" s="72">
        <v>10</v>
      </c>
      <c r="AW328" s="72">
        <v>10</v>
      </c>
      <c r="AX328" s="72">
        <v>10</v>
      </c>
      <c r="AY328" s="72">
        <v>10</v>
      </c>
      <c r="AZ328" s="72">
        <v>10</v>
      </c>
      <c r="BA328" s="72">
        <v>10</v>
      </c>
      <c r="BB328" s="72">
        <v>10</v>
      </c>
      <c r="BC328" s="72">
        <v>10</v>
      </c>
      <c r="BD328" s="72">
        <v>10</v>
      </c>
      <c r="BE328" s="72">
        <v>10</v>
      </c>
      <c r="BF328" s="72">
        <v>10</v>
      </c>
      <c r="BG328" s="72">
        <v>10</v>
      </c>
      <c r="BH328" s="72">
        <v>10</v>
      </c>
      <c r="BI328" s="72">
        <v>10</v>
      </c>
      <c r="BJ328" s="72">
        <v>10</v>
      </c>
      <c r="BK328" s="72">
        <v>10</v>
      </c>
      <c r="BL328" s="72">
        <v>10</v>
      </c>
      <c r="BM328" s="72">
        <v>10</v>
      </c>
      <c r="BN328" s="72">
        <v>10</v>
      </c>
      <c r="BO328" s="72">
        <v>10</v>
      </c>
      <c r="BP328" s="72">
        <v>10</v>
      </c>
      <c r="BQ328" s="72">
        <v>10</v>
      </c>
      <c r="BR328" s="72">
        <v>10</v>
      </c>
      <c r="BS328" s="72">
        <v>10</v>
      </c>
      <c r="BT328" s="72">
        <v>10</v>
      </c>
      <c r="BU328" s="72">
        <v>10</v>
      </c>
      <c r="BV328" s="72">
        <v>10</v>
      </c>
      <c r="BW328" s="72">
        <v>10</v>
      </c>
      <c r="BX328" s="72">
        <v>10</v>
      </c>
      <c r="BY328" s="72">
        <v>10</v>
      </c>
      <c r="BZ328" s="72">
        <v>10</v>
      </c>
      <c r="CA328" s="72">
        <v>10</v>
      </c>
      <c r="CB328" s="72">
        <v>10</v>
      </c>
      <c r="CC328" s="72">
        <v>10</v>
      </c>
      <c r="CD328" s="72">
        <v>10</v>
      </c>
      <c r="CE328" s="72">
        <v>10</v>
      </c>
      <c r="CF328" s="72">
        <v>10</v>
      </c>
      <c r="CG328" s="72">
        <v>10</v>
      </c>
      <c r="CH328" s="72">
        <v>10</v>
      </c>
      <c r="CI328" s="72">
        <v>10</v>
      </c>
      <c r="CJ328" s="72">
        <v>10</v>
      </c>
      <c r="CK328" s="72">
        <v>10</v>
      </c>
      <c r="CL328" s="72">
        <v>10</v>
      </c>
      <c r="CM328" s="72">
        <v>10</v>
      </c>
      <c r="CN328" s="72">
        <v>10</v>
      </c>
      <c r="CO328" s="72">
        <v>10</v>
      </c>
      <c r="CP328" s="72">
        <v>10</v>
      </c>
      <c r="CQ328" s="72">
        <v>10</v>
      </c>
      <c r="CR328" s="72">
        <v>10</v>
      </c>
      <c r="CS328" s="72">
        <v>10</v>
      </c>
      <c r="CT328" s="72">
        <v>10</v>
      </c>
      <c r="CU328" s="72">
        <v>10</v>
      </c>
      <c r="CV328" s="72">
        <v>10</v>
      </c>
      <c r="CW328" s="72">
        <v>10</v>
      </c>
      <c r="CX328" s="72">
        <v>10</v>
      </c>
      <c r="CY328" s="72">
        <v>10</v>
      </c>
      <c r="CZ328" s="72">
        <v>10</v>
      </c>
      <c r="DA328" s="72">
        <v>10</v>
      </c>
      <c r="DB328" s="72">
        <v>10</v>
      </c>
      <c r="DC328" s="72">
        <v>10</v>
      </c>
      <c r="DD328" s="72">
        <v>10</v>
      </c>
      <c r="DE328" s="72">
        <v>10</v>
      </c>
      <c r="DF328" s="72">
        <v>10</v>
      </c>
      <c r="DG328" s="72">
        <v>10</v>
      </c>
      <c r="DH328" s="72">
        <v>10</v>
      </c>
      <c r="DI328" s="72">
        <v>10</v>
      </c>
      <c r="DJ328" s="72">
        <v>10</v>
      </c>
      <c r="DK328" s="72">
        <v>10</v>
      </c>
      <c r="DL328" s="72">
        <v>10</v>
      </c>
      <c r="DM328" s="72">
        <v>10</v>
      </c>
      <c r="DN328" s="72">
        <v>10</v>
      </c>
      <c r="DO328" s="72">
        <v>10</v>
      </c>
      <c r="DP328" s="72">
        <v>10</v>
      </c>
      <c r="DQ328" s="72">
        <v>10</v>
      </c>
    </row>
    <row r="329" spans="1:121" x14ac:dyDescent="0.35">
      <c r="A329" s="7"/>
      <c r="B329" s="92" t="s">
        <v>1332</v>
      </c>
      <c r="C329" s="9" t="s">
        <v>569</v>
      </c>
      <c r="D329" s="10" t="s">
        <v>549</v>
      </c>
      <c r="E329" s="8" t="s">
        <v>1215</v>
      </c>
      <c r="F329" s="10">
        <v>1104</v>
      </c>
      <c r="G329" s="10" t="s">
        <v>40</v>
      </c>
      <c r="H329" s="10" t="s">
        <v>41</v>
      </c>
      <c r="I329" s="11">
        <v>223</v>
      </c>
      <c r="J329" s="10"/>
      <c r="K329" s="10" t="s">
        <v>556</v>
      </c>
      <c r="L329" s="8"/>
      <c r="M329" s="12"/>
      <c r="N329" s="12">
        <f t="shared" si="8"/>
        <v>0</v>
      </c>
      <c r="O329" s="11">
        <v>223</v>
      </c>
      <c r="P329" s="11">
        <v>223</v>
      </c>
      <c r="Q329" s="11">
        <v>223</v>
      </c>
      <c r="R329" s="11">
        <v>223</v>
      </c>
      <c r="S329" s="11">
        <v>223</v>
      </c>
      <c r="T329" s="11">
        <v>223</v>
      </c>
      <c r="U329" s="11">
        <v>223</v>
      </c>
      <c r="V329" s="11">
        <v>223</v>
      </c>
      <c r="W329" s="11">
        <v>223</v>
      </c>
      <c r="X329" s="11">
        <v>223</v>
      </c>
      <c r="Y329" s="11">
        <v>223</v>
      </c>
      <c r="Z329" s="11">
        <v>223</v>
      </c>
      <c r="AA329" s="11">
        <v>223</v>
      </c>
      <c r="AB329" s="11">
        <v>223</v>
      </c>
      <c r="AC329" s="11">
        <v>223</v>
      </c>
      <c r="AD329" s="11">
        <v>223</v>
      </c>
      <c r="AE329" s="11">
        <v>223</v>
      </c>
      <c r="AF329" s="11">
        <v>223</v>
      </c>
      <c r="AG329" s="11">
        <v>223</v>
      </c>
      <c r="AH329" s="11">
        <v>223</v>
      </c>
      <c r="AI329" s="11">
        <v>223</v>
      </c>
      <c r="AJ329" s="11">
        <v>223</v>
      </c>
      <c r="AK329" s="11">
        <v>223</v>
      </c>
      <c r="AL329" s="11">
        <v>223</v>
      </c>
      <c r="AM329" s="11">
        <v>223</v>
      </c>
      <c r="AN329" s="72">
        <v>223</v>
      </c>
      <c r="AO329" s="72">
        <v>223</v>
      </c>
      <c r="AP329" s="72">
        <v>223</v>
      </c>
      <c r="AQ329" s="72">
        <v>223</v>
      </c>
      <c r="AR329" s="72">
        <v>223</v>
      </c>
      <c r="AS329" s="72">
        <v>223</v>
      </c>
      <c r="AT329" s="72">
        <v>223</v>
      </c>
      <c r="AU329" s="72">
        <v>223</v>
      </c>
      <c r="AV329" s="72">
        <v>223</v>
      </c>
      <c r="AW329" s="72">
        <v>223</v>
      </c>
      <c r="AX329" s="72">
        <v>223</v>
      </c>
      <c r="AY329" s="72">
        <v>223</v>
      </c>
      <c r="AZ329" s="72">
        <v>223</v>
      </c>
      <c r="BA329" s="72">
        <v>223</v>
      </c>
      <c r="BB329" s="72">
        <v>223</v>
      </c>
      <c r="BC329" s="72">
        <v>223</v>
      </c>
      <c r="BD329" s="72">
        <v>223</v>
      </c>
      <c r="BE329" s="72">
        <v>223</v>
      </c>
      <c r="BF329" s="72">
        <v>223</v>
      </c>
      <c r="BG329" s="72">
        <v>223</v>
      </c>
      <c r="BH329" s="72">
        <v>223</v>
      </c>
      <c r="BI329" s="72">
        <v>223</v>
      </c>
      <c r="BJ329" s="72">
        <v>223</v>
      </c>
      <c r="BK329" s="72">
        <v>223</v>
      </c>
      <c r="BL329" s="72">
        <v>223</v>
      </c>
      <c r="BM329" s="72">
        <v>223</v>
      </c>
      <c r="BN329" s="72">
        <v>223</v>
      </c>
      <c r="BO329" s="72">
        <v>223</v>
      </c>
      <c r="BP329" s="72">
        <v>223</v>
      </c>
      <c r="BQ329" s="72">
        <v>223</v>
      </c>
      <c r="BR329" s="72">
        <v>223</v>
      </c>
      <c r="BS329" s="72">
        <v>223</v>
      </c>
      <c r="BT329" s="72">
        <v>223</v>
      </c>
      <c r="BU329" s="72">
        <v>223</v>
      </c>
      <c r="BV329" s="72">
        <v>223</v>
      </c>
      <c r="BW329" s="72">
        <v>223</v>
      </c>
      <c r="BX329" s="72">
        <v>223</v>
      </c>
      <c r="BY329" s="72">
        <v>223</v>
      </c>
      <c r="BZ329" s="72">
        <v>223</v>
      </c>
      <c r="CA329" s="72">
        <v>223</v>
      </c>
      <c r="CB329" s="72">
        <v>223</v>
      </c>
      <c r="CC329" s="72">
        <v>223</v>
      </c>
      <c r="CD329" s="72">
        <v>223</v>
      </c>
      <c r="CE329" s="72">
        <v>223</v>
      </c>
      <c r="CF329" s="72">
        <v>223</v>
      </c>
      <c r="CG329" s="72">
        <v>223</v>
      </c>
      <c r="CH329" s="72">
        <v>223</v>
      </c>
      <c r="CI329" s="72">
        <v>223</v>
      </c>
      <c r="CJ329" s="72">
        <v>223</v>
      </c>
      <c r="CK329" s="72">
        <v>223</v>
      </c>
      <c r="CL329" s="72">
        <v>223</v>
      </c>
      <c r="CM329" s="72">
        <v>223</v>
      </c>
      <c r="CN329" s="72">
        <v>223</v>
      </c>
      <c r="CO329" s="72">
        <v>223</v>
      </c>
      <c r="CP329" s="72">
        <v>223</v>
      </c>
      <c r="CQ329" s="72">
        <v>223</v>
      </c>
      <c r="CR329" s="72">
        <v>223</v>
      </c>
      <c r="CS329" s="72">
        <v>223</v>
      </c>
      <c r="CT329" s="72">
        <v>223</v>
      </c>
      <c r="CU329" s="72">
        <v>223</v>
      </c>
      <c r="CV329" s="72">
        <v>223</v>
      </c>
      <c r="CW329" s="72">
        <v>223</v>
      </c>
      <c r="CX329" s="72">
        <v>223</v>
      </c>
      <c r="CY329" s="72">
        <v>223</v>
      </c>
      <c r="CZ329" s="72">
        <v>223</v>
      </c>
      <c r="DA329" s="72">
        <v>223</v>
      </c>
      <c r="DB329" s="72">
        <v>223</v>
      </c>
      <c r="DC329" s="72">
        <v>223</v>
      </c>
      <c r="DD329" s="72">
        <v>223</v>
      </c>
      <c r="DE329" s="72">
        <v>223</v>
      </c>
      <c r="DF329" s="72">
        <v>223</v>
      </c>
      <c r="DG329" s="72">
        <v>223</v>
      </c>
      <c r="DH329" s="72">
        <v>223</v>
      </c>
      <c r="DI329" s="72">
        <v>223</v>
      </c>
      <c r="DJ329" s="72">
        <v>223</v>
      </c>
      <c r="DK329" s="72">
        <v>223</v>
      </c>
      <c r="DL329" s="72">
        <v>223</v>
      </c>
      <c r="DM329" s="72">
        <v>223</v>
      </c>
      <c r="DN329" s="72">
        <v>223</v>
      </c>
      <c r="DO329" s="72">
        <v>223</v>
      </c>
      <c r="DP329" s="72">
        <v>223</v>
      </c>
      <c r="DQ329" s="72">
        <v>223</v>
      </c>
    </row>
    <row r="330" spans="1:121" x14ac:dyDescent="0.35">
      <c r="A330" s="7"/>
      <c r="B330" s="92" t="s">
        <v>1333</v>
      </c>
      <c r="C330" s="9" t="s">
        <v>570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7</v>
      </c>
      <c r="J330" s="10"/>
      <c r="K330" s="10" t="s">
        <v>556</v>
      </c>
      <c r="L330" s="8"/>
      <c r="M330" s="12"/>
      <c r="N330" s="12">
        <f t="shared" si="8"/>
        <v>0</v>
      </c>
      <c r="O330" s="11">
        <v>7</v>
      </c>
      <c r="P330" s="11">
        <v>7</v>
      </c>
      <c r="Q330" s="11">
        <v>7</v>
      </c>
      <c r="R330" s="11">
        <v>7</v>
      </c>
      <c r="S330" s="11">
        <v>7</v>
      </c>
      <c r="T330" s="11">
        <v>7</v>
      </c>
      <c r="U330" s="11">
        <v>7</v>
      </c>
      <c r="V330" s="11">
        <v>7</v>
      </c>
      <c r="W330" s="11">
        <v>7</v>
      </c>
      <c r="X330" s="11">
        <v>7</v>
      </c>
      <c r="Y330" s="11">
        <v>7</v>
      </c>
      <c r="Z330" s="11">
        <v>7</v>
      </c>
      <c r="AA330" s="11">
        <v>7</v>
      </c>
      <c r="AB330" s="11">
        <v>7</v>
      </c>
      <c r="AC330" s="11">
        <v>7</v>
      </c>
      <c r="AD330" s="11">
        <v>7</v>
      </c>
      <c r="AE330" s="11">
        <v>7</v>
      </c>
      <c r="AF330" s="11">
        <v>7</v>
      </c>
      <c r="AG330" s="11">
        <v>7</v>
      </c>
      <c r="AH330" s="11">
        <v>7</v>
      </c>
      <c r="AI330" s="11">
        <v>7</v>
      </c>
      <c r="AJ330" s="11">
        <v>7</v>
      </c>
      <c r="AK330" s="11">
        <v>7</v>
      </c>
      <c r="AL330" s="11">
        <v>7</v>
      </c>
      <c r="AM330" s="11">
        <v>7</v>
      </c>
      <c r="AN330" s="72">
        <v>7</v>
      </c>
      <c r="AO330" s="72">
        <v>7</v>
      </c>
      <c r="AP330" s="72">
        <v>7</v>
      </c>
      <c r="AQ330" s="72">
        <v>7</v>
      </c>
      <c r="AR330" s="72">
        <v>7</v>
      </c>
      <c r="AS330" s="72">
        <v>7</v>
      </c>
      <c r="AT330" s="72">
        <v>7</v>
      </c>
      <c r="AU330" s="72">
        <v>7</v>
      </c>
      <c r="AV330" s="72">
        <v>7</v>
      </c>
      <c r="AW330" s="72">
        <v>7</v>
      </c>
      <c r="AX330" s="72">
        <v>7</v>
      </c>
      <c r="AY330" s="72">
        <v>7</v>
      </c>
      <c r="AZ330" s="72">
        <v>7</v>
      </c>
      <c r="BA330" s="72">
        <v>7</v>
      </c>
      <c r="BB330" s="72">
        <v>7</v>
      </c>
      <c r="BC330" s="72">
        <v>7</v>
      </c>
      <c r="BD330" s="72">
        <v>7</v>
      </c>
      <c r="BE330" s="72">
        <v>7</v>
      </c>
      <c r="BF330" s="72">
        <v>7</v>
      </c>
      <c r="BG330" s="72">
        <v>7</v>
      </c>
      <c r="BH330" s="72">
        <v>7</v>
      </c>
      <c r="BI330" s="72">
        <v>7</v>
      </c>
      <c r="BJ330" s="72">
        <v>7</v>
      </c>
      <c r="BK330" s="72">
        <v>7</v>
      </c>
      <c r="BL330" s="72">
        <v>7</v>
      </c>
      <c r="BM330" s="72">
        <v>7</v>
      </c>
      <c r="BN330" s="72">
        <v>7</v>
      </c>
      <c r="BO330" s="72">
        <v>7</v>
      </c>
      <c r="BP330" s="72">
        <v>7</v>
      </c>
      <c r="BQ330" s="72">
        <v>7</v>
      </c>
      <c r="BR330" s="72">
        <v>7</v>
      </c>
      <c r="BS330" s="72">
        <v>7</v>
      </c>
      <c r="BT330" s="72">
        <v>7</v>
      </c>
      <c r="BU330" s="72">
        <v>7</v>
      </c>
      <c r="BV330" s="72">
        <v>7</v>
      </c>
      <c r="BW330" s="72">
        <v>7</v>
      </c>
      <c r="BX330" s="72">
        <v>7</v>
      </c>
      <c r="BY330" s="72">
        <v>7</v>
      </c>
      <c r="BZ330" s="72">
        <v>7</v>
      </c>
      <c r="CA330" s="72">
        <v>7</v>
      </c>
      <c r="CB330" s="72">
        <v>7</v>
      </c>
      <c r="CC330" s="72">
        <v>7</v>
      </c>
      <c r="CD330" s="72">
        <v>7</v>
      </c>
      <c r="CE330" s="72">
        <v>7</v>
      </c>
      <c r="CF330" s="72">
        <v>7</v>
      </c>
      <c r="CG330" s="72">
        <v>7</v>
      </c>
      <c r="CH330" s="72">
        <v>7</v>
      </c>
      <c r="CI330" s="72">
        <v>7</v>
      </c>
      <c r="CJ330" s="72">
        <v>7</v>
      </c>
      <c r="CK330" s="72">
        <v>7</v>
      </c>
      <c r="CL330" s="72">
        <v>7</v>
      </c>
      <c r="CM330" s="72">
        <v>7</v>
      </c>
      <c r="CN330" s="72">
        <v>7</v>
      </c>
      <c r="CO330" s="72">
        <v>7</v>
      </c>
      <c r="CP330" s="72">
        <v>7</v>
      </c>
      <c r="CQ330" s="72">
        <v>7</v>
      </c>
      <c r="CR330" s="72">
        <v>7</v>
      </c>
      <c r="CS330" s="72">
        <v>7</v>
      </c>
      <c r="CT330" s="72">
        <v>7</v>
      </c>
      <c r="CU330" s="72">
        <v>7</v>
      </c>
      <c r="CV330" s="72">
        <v>7</v>
      </c>
      <c r="CW330" s="72">
        <v>7</v>
      </c>
      <c r="CX330" s="72">
        <v>7</v>
      </c>
      <c r="CY330" s="72">
        <v>7</v>
      </c>
      <c r="CZ330" s="72">
        <v>7</v>
      </c>
      <c r="DA330" s="72">
        <v>7</v>
      </c>
      <c r="DB330" s="72">
        <v>7</v>
      </c>
      <c r="DC330" s="72">
        <v>7</v>
      </c>
      <c r="DD330" s="72">
        <v>7</v>
      </c>
      <c r="DE330" s="72">
        <v>7</v>
      </c>
      <c r="DF330" s="72">
        <v>7</v>
      </c>
      <c r="DG330" s="72">
        <v>7</v>
      </c>
      <c r="DH330" s="72">
        <v>7</v>
      </c>
      <c r="DI330" s="72">
        <v>7</v>
      </c>
      <c r="DJ330" s="72">
        <v>7</v>
      </c>
      <c r="DK330" s="72">
        <v>7</v>
      </c>
      <c r="DL330" s="72">
        <v>7</v>
      </c>
      <c r="DM330" s="72">
        <v>7</v>
      </c>
      <c r="DN330" s="72">
        <v>7</v>
      </c>
      <c r="DO330" s="72">
        <v>7</v>
      </c>
      <c r="DP330" s="72">
        <v>7</v>
      </c>
      <c r="DQ330" s="72">
        <v>7</v>
      </c>
    </row>
    <row r="331" spans="1:121" x14ac:dyDescent="0.35">
      <c r="A331" s="7"/>
      <c r="B331" s="92" t="s">
        <v>1334</v>
      </c>
      <c r="C331" s="9" t="s">
        <v>571</v>
      </c>
      <c r="D331" s="10" t="s">
        <v>549</v>
      </c>
      <c r="E331" s="8" t="s">
        <v>1215</v>
      </c>
      <c r="F331" s="10">
        <v>1103</v>
      </c>
      <c r="G331" s="10" t="s">
        <v>40</v>
      </c>
      <c r="H331" s="10" t="s">
        <v>41</v>
      </c>
      <c r="I331" s="11">
        <v>1</v>
      </c>
      <c r="J331" s="10"/>
      <c r="K331" s="10" t="s">
        <v>153</v>
      </c>
      <c r="L331" s="8"/>
      <c r="M331" s="12"/>
      <c r="N331" s="12">
        <f t="shared" si="8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  <c r="DQ331" s="72">
        <v>1</v>
      </c>
    </row>
    <row r="332" spans="1:121" x14ac:dyDescent="0.35">
      <c r="A332" s="7"/>
      <c r="B332" s="92" t="s">
        <v>1335</v>
      </c>
      <c r="C332" s="9" t="s">
        <v>572</v>
      </c>
      <c r="D332" s="10" t="s">
        <v>549</v>
      </c>
      <c r="E332" s="8" t="s">
        <v>1215</v>
      </c>
      <c r="F332" s="10">
        <v>1103</v>
      </c>
      <c r="G332" s="10" t="s">
        <v>40</v>
      </c>
      <c r="H332" s="10" t="s">
        <v>41</v>
      </c>
      <c r="I332" s="11">
        <v>1</v>
      </c>
      <c r="J332" s="10"/>
      <c r="K332" s="10" t="s">
        <v>556</v>
      </c>
      <c r="L332" s="8"/>
      <c r="M332" s="12"/>
      <c r="N332" s="12">
        <f t="shared" si="8"/>
        <v>0</v>
      </c>
      <c r="O332" s="11">
        <v>1</v>
      </c>
      <c r="P332" s="11">
        <v>1</v>
      </c>
      <c r="Q332" s="11">
        <v>1</v>
      </c>
      <c r="R332" s="11">
        <v>1</v>
      </c>
      <c r="S332" s="11">
        <v>1</v>
      </c>
      <c r="T332" s="11">
        <v>1</v>
      </c>
      <c r="U332" s="11">
        <v>1</v>
      </c>
      <c r="V332" s="11">
        <v>1</v>
      </c>
      <c r="W332" s="11">
        <v>1</v>
      </c>
      <c r="X332" s="11">
        <v>1</v>
      </c>
      <c r="Y332" s="11">
        <v>1</v>
      </c>
      <c r="Z332" s="11">
        <v>1</v>
      </c>
      <c r="AA332" s="11">
        <v>1</v>
      </c>
      <c r="AB332" s="11">
        <v>1</v>
      </c>
      <c r="AC332" s="11">
        <v>1</v>
      </c>
      <c r="AD332" s="11">
        <v>1</v>
      </c>
      <c r="AE332" s="11">
        <v>1</v>
      </c>
      <c r="AF332" s="11">
        <v>1</v>
      </c>
      <c r="AG332" s="11">
        <v>1</v>
      </c>
      <c r="AH332" s="11">
        <v>1</v>
      </c>
      <c r="AI332" s="11">
        <v>1</v>
      </c>
      <c r="AJ332" s="11">
        <v>1</v>
      </c>
      <c r="AK332" s="11">
        <v>1</v>
      </c>
      <c r="AL332" s="11">
        <v>1</v>
      </c>
      <c r="AM332" s="11">
        <v>1</v>
      </c>
      <c r="AN332" s="72">
        <v>1</v>
      </c>
      <c r="AO332" s="72">
        <v>1</v>
      </c>
      <c r="AP332" s="72">
        <v>1</v>
      </c>
      <c r="AQ332" s="72">
        <v>1</v>
      </c>
      <c r="AR332" s="72">
        <v>1</v>
      </c>
      <c r="AS332" s="72">
        <v>1</v>
      </c>
      <c r="AT332" s="72">
        <v>1</v>
      </c>
      <c r="AU332" s="72">
        <v>1</v>
      </c>
      <c r="AV332" s="72">
        <v>1</v>
      </c>
      <c r="AW332" s="72">
        <v>1</v>
      </c>
      <c r="AX332" s="72">
        <v>1</v>
      </c>
      <c r="AY332" s="72">
        <v>1</v>
      </c>
      <c r="AZ332" s="72">
        <v>1</v>
      </c>
      <c r="BA332" s="72">
        <v>1</v>
      </c>
      <c r="BB332" s="72">
        <v>1</v>
      </c>
      <c r="BC332" s="72">
        <v>1</v>
      </c>
      <c r="BD332" s="72">
        <v>1</v>
      </c>
      <c r="BE332" s="72">
        <v>1</v>
      </c>
      <c r="BF332" s="72">
        <v>1</v>
      </c>
      <c r="BG332" s="72">
        <v>1</v>
      </c>
      <c r="BH332" s="72">
        <v>1</v>
      </c>
      <c r="BI332" s="72">
        <v>1</v>
      </c>
      <c r="BJ332" s="72">
        <v>1</v>
      </c>
      <c r="BK332" s="72">
        <v>1</v>
      </c>
      <c r="BL332" s="72">
        <v>1</v>
      </c>
      <c r="BM332" s="72">
        <v>1</v>
      </c>
      <c r="BN332" s="72">
        <v>1</v>
      </c>
      <c r="BO332" s="72">
        <v>1</v>
      </c>
      <c r="BP332" s="72">
        <v>1</v>
      </c>
      <c r="BQ332" s="72">
        <v>1</v>
      </c>
      <c r="BR332" s="72">
        <v>1</v>
      </c>
      <c r="BS332" s="72">
        <v>1</v>
      </c>
      <c r="BT332" s="72">
        <v>1</v>
      </c>
      <c r="BU332" s="72">
        <v>1</v>
      </c>
      <c r="BV332" s="72">
        <v>1</v>
      </c>
      <c r="BW332" s="72">
        <v>1</v>
      </c>
      <c r="BX332" s="72">
        <v>1</v>
      </c>
      <c r="BY332" s="72">
        <v>1</v>
      </c>
      <c r="BZ332" s="72">
        <v>1</v>
      </c>
      <c r="CA332" s="72">
        <v>1</v>
      </c>
      <c r="CB332" s="72">
        <v>1</v>
      </c>
      <c r="CC332" s="72">
        <v>1</v>
      </c>
      <c r="CD332" s="72">
        <v>1</v>
      </c>
      <c r="CE332" s="72">
        <v>1</v>
      </c>
      <c r="CF332" s="72">
        <v>1</v>
      </c>
      <c r="CG332" s="72">
        <v>1</v>
      </c>
      <c r="CH332" s="72">
        <v>1</v>
      </c>
      <c r="CI332" s="72">
        <v>1</v>
      </c>
      <c r="CJ332" s="72">
        <v>1</v>
      </c>
      <c r="CK332" s="72">
        <v>1</v>
      </c>
      <c r="CL332" s="72">
        <v>1</v>
      </c>
      <c r="CM332" s="72">
        <v>1</v>
      </c>
      <c r="CN332" s="72">
        <v>1</v>
      </c>
      <c r="CO332" s="72">
        <v>1</v>
      </c>
      <c r="CP332" s="72">
        <v>1</v>
      </c>
      <c r="CQ332" s="72">
        <v>1</v>
      </c>
      <c r="CR332" s="72">
        <v>1</v>
      </c>
      <c r="CS332" s="72">
        <v>1</v>
      </c>
      <c r="CT332" s="72">
        <v>1</v>
      </c>
      <c r="CU332" s="72">
        <v>1</v>
      </c>
      <c r="CV332" s="72">
        <v>1</v>
      </c>
      <c r="CW332" s="72">
        <v>1</v>
      </c>
      <c r="CX332" s="72">
        <v>1</v>
      </c>
      <c r="CY332" s="72">
        <v>1</v>
      </c>
      <c r="CZ332" s="72">
        <v>1</v>
      </c>
      <c r="DA332" s="72">
        <v>1</v>
      </c>
      <c r="DB332" s="72">
        <v>1</v>
      </c>
      <c r="DC332" s="72">
        <v>1</v>
      </c>
      <c r="DD332" s="72">
        <v>1</v>
      </c>
      <c r="DE332" s="72">
        <v>1</v>
      </c>
      <c r="DF332" s="72">
        <v>1</v>
      </c>
      <c r="DG332" s="72">
        <v>1</v>
      </c>
      <c r="DH332" s="72">
        <v>1</v>
      </c>
      <c r="DI332" s="72">
        <v>1</v>
      </c>
      <c r="DJ332" s="72">
        <v>1</v>
      </c>
      <c r="DK332" s="72">
        <v>1</v>
      </c>
      <c r="DL332" s="72">
        <v>1</v>
      </c>
      <c r="DM332" s="72">
        <v>1</v>
      </c>
      <c r="DN332" s="72">
        <v>1</v>
      </c>
      <c r="DO332" s="72">
        <v>1</v>
      </c>
      <c r="DP332" s="72">
        <v>1</v>
      </c>
      <c r="DQ332" s="72">
        <v>1</v>
      </c>
    </row>
    <row r="333" spans="1:121" x14ac:dyDescent="0.35">
      <c r="A333" s="7"/>
      <c r="B333" s="92" t="s">
        <v>1336</v>
      </c>
      <c r="C333" s="8" t="s">
        <v>573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</v>
      </c>
      <c r="J333" s="10"/>
      <c r="K333" s="10" t="s">
        <v>556</v>
      </c>
      <c r="L333" s="8"/>
      <c r="M333" s="12"/>
      <c r="N333" s="12">
        <f t="shared" si="8"/>
        <v>0</v>
      </c>
      <c r="O333" s="11">
        <v>1</v>
      </c>
      <c r="P333" s="11">
        <v>1</v>
      </c>
      <c r="Q333" s="11">
        <v>1</v>
      </c>
      <c r="R333" s="11">
        <v>1</v>
      </c>
      <c r="S333" s="11">
        <v>1</v>
      </c>
      <c r="T333" s="11">
        <v>1</v>
      </c>
      <c r="U333" s="11">
        <v>1</v>
      </c>
      <c r="V333" s="11">
        <v>1</v>
      </c>
      <c r="W333" s="11">
        <v>1</v>
      </c>
      <c r="X333" s="11">
        <v>1</v>
      </c>
      <c r="Y333" s="11">
        <v>1</v>
      </c>
      <c r="Z333" s="11">
        <v>1</v>
      </c>
      <c r="AA333" s="11">
        <v>1</v>
      </c>
      <c r="AB333" s="11">
        <v>1</v>
      </c>
      <c r="AC333" s="11">
        <v>1</v>
      </c>
      <c r="AD333" s="11">
        <v>1</v>
      </c>
      <c r="AE333" s="11">
        <v>1</v>
      </c>
      <c r="AF333" s="11">
        <v>1</v>
      </c>
      <c r="AG333" s="11">
        <v>1</v>
      </c>
      <c r="AH333" s="11">
        <v>1</v>
      </c>
      <c r="AI333" s="11">
        <v>1</v>
      </c>
      <c r="AJ333" s="11">
        <v>1</v>
      </c>
      <c r="AK333" s="11">
        <v>1</v>
      </c>
      <c r="AL333" s="11">
        <v>1</v>
      </c>
      <c r="AM333" s="11">
        <v>1</v>
      </c>
      <c r="AN333" s="72">
        <v>1</v>
      </c>
      <c r="AO333" s="72">
        <v>1</v>
      </c>
      <c r="AP333" s="72">
        <v>1</v>
      </c>
      <c r="AQ333" s="72">
        <v>1</v>
      </c>
      <c r="AR333" s="72">
        <v>1</v>
      </c>
      <c r="AS333" s="72">
        <v>1</v>
      </c>
      <c r="AT333" s="72">
        <v>1</v>
      </c>
      <c r="AU333" s="72">
        <v>1</v>
      </c>
      <c r="AV333" s="72">
        <v>1</v>
      </c>
      <c r="AW333" s="72">
        <v>1</v>
      </c>
      <c r="AX333" s="72">
        <v>1</v>
      </c>
      <c r="AY333" s="72">
        <v>1</v>
      </c>
      <c r="AZ333" s="72">
        <v>1</v>
      </c>
      <c r="BA333" s="72">
        <v>1</v>
      </c>
      <c r="BB333" s="72">
        <v>1</v>
      </c>
      <c r="BC333" s="72">
        <v>1</v>
      </c>
      <c r="BD333" s="72">
        <v>1</v>
      </c>
      <c r="BE333" s="72">
        <v>1</v>
      </c>
      <c r="BF333" s="72">
        <v>1</v>
      </c>
      <c r="BG333" s="72">
        <v>1</v>
      </c>
      <c r="BH333" s="72">
        <v>1</v>
      </c>
      <c r="BI333" s="72">
        <v>1</v>
      </c>
      <c r="BJ333" s="72">
        <v>1</v>
      </c>
      <c r="BK333" s="72">
        <v>1</v>
      </c>
      <c r="BL333" s="72">
        <v>1</v>
      </c>
      <c r="BM333" s="72">
        <v>1</v>
      </c>
      <c r="BN333" s="72">
        <v>1</v>
      </c>
      <c r="BO333" s="72">
        <v>1</v>
      </c>
      <c r="BP333" s="72">
        <v>1</v>
      </c>
      <c r="BQ333" s="72">
        <v>1</v>
      </c>
      <c r="BR333" s="72">
        <v>1</v>
      </c>
      <c r="BS333" s="72">
        <v>1</v>
      </c>
      <c r="BT333" s="72">
        <v>1</v>
      </c>
      <c r="BU333" s="72">
        <v>1</v>
      </c>
      <c r="BV333" s="72">
        <v>1</v>
      </c>
      <c r="BW333" s="72">
        <v>1</v>
      </c>
      <c r="BX333" s="72">
        <v>1</v>
      </c>
      <c r="BY333" s="72">
        <v>1</v>
      </c>
      <c r="BZ333" s="72">
        <v>1</v>
      </c>
      <c r="CA333" s="72">
        <v>1</v>
      </c>
      <c r="CB333" s="72">
        <v>1</v>
      </c>
      <c r="CC333" s="72">
        <v>1</v>
      </c>
      <c r="CD333" s="72">
        <v>1</v>
      </c>
      <c r="CE333" s="72">
        <v>1</v>
      </c>
      <c r="CF333" s="72">
        <v>1</v>
      </c>
      <c r="CG333" s="72">
        <v>1</v>
      </c>
      <c r="CH333" s="72">
        <v>1</v>
      </c>
      <c r="CI333" s="72">
        <v>1</v>
      </c>
      <c r="CJ333" s="72">
        <v>1</v>
      </c>
      <c r="CK333" s="72">
        <v>1</v>
      </c>
      <c r="CL333" s="72">
        <v>1</v>
      </c>
      <c r="CM333" s="72">
        <v>1</v>
      </c>
      <c r="CN333" s="72">
        <v>1</v>
      </c>
      <c r="CO333" s="72">
        <v>1</v>
      </c>
      <c r="CP333" s="72">
        <v>1</v>
      </c>
      <c r="CQ333" s="72">
        <v>1</v>
      </c>
      <c r="CR333" s="72">
        <v>1</v>
      </c>
      <c r="CS333" s="72">
        <v>1</v>
      </c>
      <c r="CT333" s="72">
        <v>1</v>
      </c>
      <c r="CU333" s="72">
        <v>1</v>
      </c>
      <c r="CV333" s="72">
        <v>1</v>
      </c>
      <c r="CW333" s="72">
        <v>1</v>
      </c>
      <c r="CX333" s="72">
        <v>1</v>
      </c>
      <c r="CY333" s="72">
        <v>1</v>
      </c>
      <c r="CZ333" s="72">
        <v>1</v>
      </c>
      <c r="DA333" s="72">
        <v>1</v>
      </c>
      <c r="DB333" s="72">
        <v>1</v>
      </c>
      <c r="DC333" s="72">
        <v>1</v>
      </c>
      <c r="DD333" s="72">
        <v>1</v>
      </c>
      <c r="DE333" s="72">
        <v>1</v>
      </c>
      <c r="DF333" s="72">
        <v>1</v>
      </c>
      <c r="DG333" s="72">
        <v>1</v>
      </c>
      <c r="DH333" s="72">
        <v>1</v>
      </c>
      <c r="DI333" s="72">
        <v>1</v>
      </c>
      <c r="DJ333" s="72">
        <v>1</v>
      </c>
      <c r="DK333" s="72">
        <v>1</v>
      </c>
      <c r="DL333" s="72">
        <v>1</v>
      </c>
      <c r="DM333" s="72">
        <v>1</v>
      </c>
      <c r="DN333" s="72">
        <v>1</v>
      </c>
      <c r="DO333" s="72">
        <v>1</v>
      </c>
      <c r="DP333" s="72">
        <v>1</v>
      </c>
      <c r="DQ333" s="72">
        <v>1</v>
      </c>
    </row>
    <row r="334" spans="1:121" x14ac:dyDescent="0.35">
      <c r="A334" s="7"/>
      <c r="B334" s="8" t="s">
        <v>1230</v>
      </c>
      <c r="C334" s="8" t="s">
        <v>1165</v>
      </c>
      <c r="D334" s="10" t="s">
        <v>549</v>
      </c>
      <c r="E334" s="8" t="s">
        <v>1215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/>
      <c r="N334" s="12">
        <f t="shared" si="8"/>
        <v>0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>
        <v>10</v>
      </c>
      <c r="AL334" s="11">
        <v>0</v>
      </c>
      <c r="AM334" s="11">
        <v>0</v>
      </c>
      <c r="AN334" s="72">
        <v>0</v>
      </c>
      <c r="AO334" s="72">
        <v>0</v>
      </c>
      <c r="AP334" s="72">
        <v>0</v>
      </c>
      <c r="AQ334" s="72">
        <v>0</v>
      </c>
      <c r="AR334" s="72">
        <v>0</v>
      </c>
      <c r="AS334" s="72">
        <v>0</v>
      </c>
      <c r="AT334" s="72">
        <v>0</v>
      </c>
      <c r="AU334" s="72">
        <v>0</v>
      </c>
      <c r="AV334" s="72">
        <v>0</v>
      </c>
      <c r="AW334" s="72">
        <v>0</v>
      </c>
      <c r="AX334" s="72">
        <v>0</v>
      </c>
      <c r="AY334" s="72">
        <v>0</v>
      </c>
      <c r="AZ334" s="72">
        <v>0</v>
      </c>
      <c r="BA334" s="72">
        <v>0</v>
      </c>
      <c r="BB334" s="72">
        <v>0</v>
      </c>
      <c r="BC334" s="72">
        <v>0</v>
      </c>
      <c r="BD334" s="72">
        <v>0</v>
      </c>
      <c r="BE334" s="72">
        <v>0</v>
      </c>
      <c r="BF334" s="72">
        <v>0</v>
      </c>
      <c r="BG334" s="72">
        <v>0</v>
      </c>
      <c r="BH334" s="72">
        <v>0</v>
      </c>
      <c r="BI334" s="72">
        <v>0</v>
      </c>
      <c r="BJ334" s="72">
        <v>0</v>
      </c>
      <c r="BK334" s="72">
        <v>0</v>
      </c>
      <c r="BL334" s="72">
        <v>0</v>
      </c>
      <c r="BM334" s="72">
        <v>0</v>
      </c>
      <c r="BN334" s="72">
        <v>0</v>
      </c>
      <c r="BO334" s="72">
        <v>0</v>
      </c>
      <c r="BP334" s="72">
        <v>0</v>
      </c>
      <c r="BQ334" s="72">
        <v>0</v>
      </c>
      <c r="BR334" s="72">
        <v>0</v>
      </c>
      <c r="BS334" s="72">
        <v>0</v>
      </c>
      <c r="BT334" s="72">
        <v>0</v>
      </c>
      <c r="BU334" s="72">
        <v>0</v>
      </c>
      <c r="BV334" s="72">
        <v>0</v>
      </c>
      <c r="BW334" s="72">
        <v>0</v>
      </c>
      <c r="BX334" s="72">
        <v>0</v>
      </c>
      <c r="BY334" s="72">
        <v>0</v>
      </c>
      <c r="BZ334" s="72">
        <v>0</v>
      </c>
      <c r="CA334" s="72">
        <v>0</v>
      </c>
      <c r="CB334" s="72">
        <v>0</v>
      </c>
      <c r="CC334" s="72">
        <v>0</v>
      </c>
      <c r="CD334" s="72">
        <v>0</v>
      </c>
      <c r="CE334" s="72">
        <v>0</v>
      </c>
      <c r="CF334" s="72">
        <v>0</v>
      </c>
      <c r="CG334" s="72">
        <v>0</v>
      </c>
      <c r="CH334" s="72">
        <v>0</v>
      </c>
      <c r="CI334" s="72">
        <v>0</v>
      </c>
      <c r="CJ334" s="72">
        <v>0</v>
      </c>
      <c r="CK334" s="72">
        <v>0</v>
      </c>
      <c r="CL334" s="72">
        <v>0</v>
      </c>
      <c r="CM334" s="72">
        <v>0</v>
      </c>
      <c r="CN334" s="72">
        <v>0</v>
      </c>
      <c r="CO334" s="72">
        <v>0</v>
      </c>
      <c r="CP334" s="72">
        <v>0</v>
      </c>
      <c r="CQ334" s="72">
        <v>0</v>
      </c>
      <c r="CR334" s="72">
        <v>0</v>
      </c>
      <c r="CS334" s="72">
        <v>0</v>
      </c>
      <c r="CT334" s="72">
        <v>0</v>
      </c>
      <c r="CU334" s="72">
        <v>0</v>
      </c>
      <c r="CV334" s="72">
        <v>0</v>
      </c>
      <c r="CW334" s="72">
        <v>0</v>
      </c>
      <c r="CX334" s="72">
        <v>0</v>
      </c>
      <c r="CY334" s="72">
        <v>0</v>
      </c>
      <c r="CZ334" s="72">
        <v>0</v>
      </c>
      <c r="DA334" s="72">
        <v>0</v>
      </c>
      <c r="DB334" s="72">
        <v>0</v>
      </c>
      <c r="DC334" s="72">
        <v>0</v>
      </c>
      <c r="DD334" s="72">
        <v>0</v>
      </c>
      <c r="DE334" s="72">
        <v>0</v>
      </c>
      <c r="DF334" s="72">
        <v>0</v>
      </c>
      <c r="DG334" s="72">
        <v>0</v>
      </c>
      <c r="DH334" s="72">
        <v>0</v>
      </c>
      <c r="DI334" s="72">
        <v>0</v>
      </c>
      <c r="DJ334" s="72">
        <v>0</v>
      </c>
      <c r="DK334" s="72">
        <v>0</v>
      </c>
      <c r="DL334" s="72">
        <v>0</v>
      </c>
      <c r="DM334" s="72">
        <v>0</v>
      </c>
      <c r="DN334" s="72">
        <v>0</v>
      </c>
      <c r="DO334" s="72">
        <v>0</v>
      </c>
      <c r="DP334" s="72">
        <v>0</v>
      </c>
      <c r="DQ334" s="72">
        <v>0</v>
      </c>
    </row>
    <row r="335" spans="1:121" x14ac:dyDescent="0.35">
      <c r="A335" s="7"/>
      <c r="B335" s="131" t="s">
        <v>1585</v>
      </c>
      <c r="C335" s="131" t="s">
        <v>1591</v>
      </c>
      <c r="D335" s="132" t="s">
        <v>549</v>
      </c>
      <c r="E335" s="133" t="s">
        <v>1592</v>
      </c>
      <c r="F335" s="132"/>
      <c r="G335" s="132" t="s">
        <v>40</v>
      </c>
      <c r="H335" s="132" t="s">
        <v>41</v>
      </c>
      <c r="I335" s="11"/>
      <c r="J335" s="10"/>
      <c r="K335" s="10" t="s">
        <v>42</v>
      </c>
      <c r="L335" s="8"/>
      <c r="M335" s="12">
        <v>0.2</v>
      </c>
      <c r="N335" s="12">
        <f t="shared" si="8"/>
        <v>20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/>
      <c r="DI335" s="72"/>
      <c r="DJ335" s="72"/>
      <c r="DK335" s="72"/>
      <c r="DL335" s="72"/>
      <c r="DM335" s="72"/>
      <c r="DN335" s="72"/>
      <c r="DO335" s="72"/>
      <c r="DP335" s="72"/>
      <c r="DQ335" s="72">
        <v>100</v>
      </c>
    </row>
    <row r="336" spans="1:121" x14ac:dyDescent="0.35">
      <c r="A336" s="7"/>
      <c r="B336" s="8" t="s">
        <v>574</v>
      </c>
      <c r="C336" s="8" t="s">
        <v>575</v>
      </c>
      <c r="D336" s="10" t="s">
        <v>1166</v>
      </c>
      <c r="E336" s="8" t="s">
        <v>1215</v>
      </c>
      <c r="F336" s="10"/>
      <c r="G336" s="10" t="s">
        <v>40</v>
      </c>
      <c r="H336" s="10" t="s">
        <v>41</v>
      </c>
      <c r="I336" s="11"/>
      <c r="J336" s="10"/>
      <c r="K336" s="10"/>
      <c r="L336" s="8"/>
      <c r="M336" s="12"/>
      <c r="N336" s="12">
        <f t="shared" si="8"/>
        <v>0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>
        <v>7</v>
      </c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>
        <v>0</v>
      </c>
      <c r="BI336" s="72">
        <v>0</v>
      </c>
      <c r="BJ336" s="72">
        <v>0</v>
      </c>
      <c r="BK336" s="72">
        <v>0</v>
      </c>
      <c r="BL336" s="72">
        <v>0</v>
      </c>
      <c r="BM336" s="72">
        <v>0</v>
      </c>
      <c r="BN336" s="72">
        <v>0</v>
      </c>
      <c r="BO336" s="72">
        <v>0</v>
      </c>
      <c r="BP336" s="72">
        <v>0</v>
      </c>
      <c r="BQ336" s="72">
        <v>0</v>
      </c>
      <c r="BR336" s="72">
        <v>0</v>
      </c>
      <c r="BS336" s="72">
        <v>0</v>
      </c>
      <c r="BT336" s="72">
        <v>0</v>
      </c>
      <c r="BU336" s="72">
        <v>0</v>
      </c>
      <c r="BV336" s="72">
        <v>0</v>
      </c>
      <c r="BW336" s="72">
        <v>0</v>
      </c>
      <c r="BX336" s="72">
        <v>0</v>
      </c>
      <c r="BY336" s="72">
        <v>0</v>
      </c>
      <c r="BZ336" s="72">
        <v>0</v>
      </c>
      <c r="CA336" s="72">
        <v>0</v>
      </c>
      <c r="CB336" s="72">
        <v>0</v>
      </c>
      <c r="CC336" s="72">
        <v>0</v>
      </c>
      <c r="CD336" s="72">
        <v>0</v>
      </c>
      <c r="CE336" s="72">
        <v>0</v>
      </c>
      <c r="CF336" s="72">
        <v>0</v>
      </c>
      <c r="CG336" s="72">
        <v>0</v>
      </c>
      <c r="CH336" s="72">
        <v>0</v>
      </c>
      <c r="CI336" s="72">
        <v>0</v>
      </c>
      <c r="CJ336" s="72">
        <v>0</v>
      </c>
      <c r="CK336" s="72">
        <v>0</v>
      </c>
      <c r="CL336" s="72">
        <v>0</v>
      </c>
      <c r="CM336" s="72">
        <v>0</v>
      </c>
      <c r="CN336" s="72">
        <v>0</v>
      </c>
      <c r="CO336" s="72">
        <v>0</v>
      </c>
      <c r="CP336" s="72">
        <v>0</v>
      </c>
      <c r="CQ336" s="72">
        <v>0</v>
      </c>
      <c r="CR336" s="72">
        <v>0</v>
      </c>
      <c r="CS336" s="72">
        <v>0</v>
      </c>
      <c r="CT336" s="72">
        <v>0</v>
      </c>
      <c r="CU336" s="72">
        <v>0</v>
      </c>
      <c r="CV336" s="72">
        <v>0</v>
      </c>
      <c r="CW336" s="72">
        <v>0</v>
      </c>
      <c r="CX336" s="72">
        <v>0</v>
      </c>
      <c r="CY336" s="72">
        <v>0</v>
      </c>
      <c r="CZ336" s="72">
        <v>0</v>
      </c>
      <c r="DA336" s="72">
        <v>0</v>
      </c>
      <c r="DB336" s="72">
        <v>0</v>
      </c>
      <c r="DC336" s="72">
        <v>0</v>
      </c>
      <c r="DD336" s="72">
        <v>0</v>
      </c>
      <c r="DE336" s="72">
        <v>0</v>
      </c>
      <c r="DF336" s="72">
        <v>0</v>
      </c>
      <c r="DG336" s="72">
        <v>0</v>
      </c>
      <c r="DH336" s="72">
        <v>0</v>
      </c>
      <c r="DI336" s="72">
        <v>0</v>
      </c>
      <c r="DJ336" s="72">
        <v>0</v>
      </c>
      <c r="DK336" s="72">
        <v>0</v>
      </c>
      <c r="DL336" s="72">
        <v>0</v>
      </c>
      <c r="DM336" s="72">
        <v>0</v>
      </c>
      <c r="DN336" s="72">
        <v>0</v>
      </c>
      <c r="DO336" s="72">
        <v>0</v>
      </c>
      <c r="DP336" s="72">
        <v>0</v>
      </c>
      <c r="DQ336" s="72">
        <v>0</v>
      </c>
    </row>
    <row r="337" spans="1:121" x14ac:dyDescent="0.35">
      <c r="A337" s="7"/>
      <c r="B337" s="77" t="s">
        <v>1539</v>
      </c>
      <c r="C337" s="8" t="s">
        <v>1546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457.52</v>
      </c>
      <c r="N337" s="12">
        <f t="shared" si="8"/>
        <v>44379.439999999995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97</v>
      </c>
      <c r="DI337" s="72">
        <v>97</v>
      </c>
      <c r="DJ337" s="72">
        <v>97</v>
      </c>
      <c r="DK337" s="72">
        <v>97</v>
      </c>
      <c r="DL337" s="72">
        <v>97</v>
      </c>
      <c r="DM337" s="72">
        <v>97</v>
      </c>
      <c r="DN337" s="72">
        <v>97</v>
      </c>
      <c r="DO337" s="72">
        <v>97</v>
      </c>
      <c r="DP337" s="72">
        <v>97</v>
      </c>
      <c r="DQ337" s="72">
        <v>97</v>
      </c>
    </row>
    <row r="338" spans="1:121" x14ac:dyDescent="0.35">
      <c r="A338" s="7"/>
      <c r="B338" s="77" t="s">
        <v>1540</v>
      </c>
      <c r="C338" s="8" t="s">
        <v>1547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291.60000000000002</v>
      </c>
      <c r="N338" s="12">
        <f t="shared" si="8"/>
        <v>14288.400000000001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49</v>
      </c>
      <c r="DI338" s="72">
        <v>49</v>
      </c>
      <c r="DJ338" s="72">
        <v>49</v>
      </c>
      <c r="DK338" s="72">
        <v>49</v>
      </c>
      <c r="DL338" s="72">
        <v>49</v>
      </c>
      <c r="DM338" s="72">
        <v>49</v>
      </c>
      <c r="DN338" s="72">
        <v>49</v>
      </c>
      <c r="DO338" s="72">
        <v>49</v>
      </c>
      <c r="DP338" s="72">
        <v>49</v>
      </c>
      <c r="DQ338" s="72">
        <v>49</v>
      </c>
    </row>
    <row r="339" spans="1:121" x14ac:dyDescent="0.35">
      <c r="A339" s="7"/>
      <c r="B339" s="77" t="s">
        <v>1541</v>
      </c>
      <c r="C339" s="8" t="s">
        <v>1548</v>
      </c>
      <c r="D339" s="10" t="s">
        <v>1551</v>
      </c>
      <c r="E339" s="8" t="s">
        <v>1203</v>
      </c>
      <c r="F339" s="10"/>
      <c r="G339" s="10"/>
      <c r="H339" s="10"/>
      <c r="I339" s="11"/>
      <c r="J339" s="10"/>
      <c r="K339" s="10"/>
      <c r="L339" s="8"/>
      <c r="M339" s="12">
        <v>102.06</v>
      </c>
      <c r="N339" s="12">
        <f t="shared" si="8"/>
        <v>27147.96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  <c r="DA339" s="72"/>
      <c r="DB339" s="72"/>
      <c r="DC339" s="72"/>
      <c r="DD339" s="72"/>
      <c r="DE339" s="72"/>
      <c r="DF339" s="72"/>
      <c r="DG339" s="72"/>
      <c r="DH339" s="72">
        <v>293</v>
      </c>
      <c r="DI339" s="72">
        <v>293</v>
      </c>
      <c r="DJ339" s="72">
        <v>293</v>
      </c>
      <c r="DK339" s="72">
        <v>281</v>
      </c>
      <c r="DL339" s="72">
        <v>281</v>
      </c>
      <c r="DM339" s="72">
        <v>281</v>
      </c>
      <c r="DN339" s="72">
        <v>281</v>
      </c>
      <c r="DO339" s="72">
        <v>281</v>
      </c>
      <c r="DP339" s="72">
        <v>266</v>
      </c>
      <c r="DQ339" s="72">
        <v>266</v>
      </c>
    </row>
    <row r="340" spans="1:121" x14ac:dyDescent="0.35">
      <c r="A340" s="7"/>
      <c r="B340" s="77" t="s">
        <v>1542</v>
      </c>
      <c r="C340" s="8" t="s">
        <v>1549</v>
      </c>
      <c r="D340" s="10" t="s">
        <v>1551</v>
      </c>
      <c r="E340" s="8" t="s">
        <v>1203</v>
      </c>
      <c r="F340" s="10"/>
      <c r="G340" s="10"/>
      <c r="H340" s="10"/>
      <c r="I340" s="11"/>
      <c r="J340" s="10"/>
      <c r="K340" s="10"/>
      <c r="L340" s="8"/>
      <c r="M340" s="12">
        <v>109.06</v>
      </c>
      <c r="N340" s="12">
        <f t="shared" si="8"/>
        <v>20939.52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>
        <v>192</v>
      </c>
      <c r="DI340" s="72">
        <v>192</v>
      </c>
      <c r="DJ340" s="72">
        <v>192</v>
      </c>
      <c r="DK340" s="72">
        <v>192</v>
      </c>
      <c r="DL340" s="72">
        <v>192</v>
      </c>
      <c r="DM340" s="72">
        <v>192</v>
      </c>
      <c r="DN340" s="72">
        <v>192</v>
      </c>
      <c r="DO340" s="72">
        <v>192</v>
      </c>
      <c r="DP340" s="72">
        <v>192</v>
      </c>
      <c r="DQ340" s="72">
        <v>192</v>
      </c>
    </row>
    <row r="341" spans="1:121" x14ac:dyDescent="0.35">
      <c r="A341" s="7"/>
      <c r="B341" s="77" t="s">
        <v>1543</v>
      </c>
      <c r="C341" s="8" t="s">
        <v>1550</v>
      </c>
      <c r="D341" s="10" t="s">
        <v>1551</v>
      </c>
      <c r="E341" s="8" t="s">
        <v>1203</v>
      </c>
      <c r="F341" s="10"/>
      <c r="G341" s="10"/>
      <c r="H341" s="10"/>
      <c r="I341" s="11"/>
      <c r="J341" s="10"/>
      <c r="K341" s="10"/>
      <c r="L341" s="8"/>
      <c r="M341" s="12">
        <v>211.41</v>
      </c>
      <c r="N341" s="12">
        <f t="shared" si="8"/>
        <v>130862.79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>
        <v>622</v>
      </c>
      <c r="DI341" s="72">
        <v>621</v>
      </c>
      <c r="DJ341" s="72">
        <v>621</v>
      </c>
      <c r="DK341" s="72">
        <v>619</v>
      </c>
      <c r="DL341" s="72">
        <v>619</v>
      </c>
      <c r="DM341" s="72">
        <v>619</v>
      </c>
      <c r="DN341" s="72">
        <v>619</v>
      </c>
      <c r="DO341" s="72">
        <v>619</v>
      </c>
      <c r="DP341" s="72">
        <v>619</v>
      </c>
      <c r="DQ341" s="72">
        <v>619</v>
      </c>
    </row>
    <row r="342" spans="1:121" x14ac:dyDescent="0.35">
      <c r="A342" s="7"/>
      <c r="B342" s="8" t="s">
        <v>576</v>
      </c>
      <c r="C342" s="8" t="s">
        <v>577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>
        <v>0</v>
      </c>
      <c r="J342" s="10"/>
      <c r="K342" s="10" t="s">
        <v>42</v>
      </c>
      <c r="L342" s="8"/>
      <c r="M342" s="12"/>
      <c r="N342" s="12">
        <f t="shared" si="8"/>
        <v>0</v>
      </c>
      <c r="O342" s="11"/>
      <c r="P342" s="11"/>
      <c r="Q342" s="11"/>
      <c r="R342" s="11"/>
      <c r="S342" s="11"/>
      <c r="T342" s="11"/>
      <c r="U342" s="11">
        <v>0</v>
      </c>
      <c r="V342" s="11">
        <v>0</v>
      </c>
      <c r="W342" s="11">
        <v>0</v>
      </c>
      <c r="X342" s="11">
        <v>0</v>
      </c>
      <c r="Y342" s="11">
        <v>0</v>
      </c>
      <c r="Z342" s="11">
        <v>0</v>
      </c>
      <c r="AA342" s="11">
        <v>0</v>
      </c>
      <c r="AB342" s="11">
        <v>0</v>
      </c>
      <c r="AC342" s="11">
        <v>0</v>
      </c>
      <c r="AD342" s="11">
        <v>0</v>
      </c>
      <c r="AE342" s="11">
        <v>0</v>
      </c>
      <c r="AF342" s="11">
        <v>0</v>
      </c>
      <c r="AG342" s="11">
        <v>0</v>
      </c>
      <c r="AH342" s="11">
        <v>0</v>
      </c>
      <c r="AI342" s="11">
        <v>0</v>
      </c>
      <c r="AJ342" s="11">
        <v>0</v>
      </c>
      <c r="AK342" s="11">
        <v>0</v>
      </c>
      <c r="AL342" s="11">
        <v>0</v>
      </c>
      <c r="AM342" s="11">
        <v>0</v>
      </c>
      <c r="AN342" s="72">
        <v>0</v>
      </c>
      <c r="AO342" s="72">
        <v>0</v>
      </c>
      <c r="AP342" s="72">
        <v>0</v>
      </c>
      <c r="AQ342" s="72">
        <v>0</v>
      </c>
      <c r="AR342" s="72">
        <v>0</v>
      </c>
      <c r="AS342" s="72">
        <v>0</v>
      </c>
      <c r="AT342" s="72">
        <v>0</v>
      </c>
      <c r="AU342" s="72">
        <v>0</v>
      </c>
      <c r="AV342" s="72">
        <v>0</v>
      </c>
      <c r="AW342" s="72">
        <v>0</v>
      </c>
      <c r="AX342" s="72">
        <v>0</v>
      </c>
      <c r="AY342" s="72">
        <v>0</v>
      </c>
      <c r="AZ342" s="72">
        <v>0</v>
      </c>
      <c r="BA342" s="72">
        <v>0</v>
      </c>
      <c r="BB342" s="72">
        <v>0</v>
      </c>
      <c r="BC342" s="72">
        <v>0</v>
      </c>
      <c r="BD342" s="72">
        <v>0</v>
      </c>
      <c r="BE342" s="72">
        <v>0</v>
      </c>
      <c r="BF342" s="72">
        <v>0</v>
      </c>
      <c r="BG342" s="72">
        <v>0</v>
      </c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>
        <v>0</v>
      </c>
    </row>
    <row r="343" spans="1:121" x14ac:dyDescent="0.35">
      <c r="A343" s="7"/>
      <c r="B343" s="8" t="s">
        <v>579</v>
      </c>
      <c r="C343" s="8" t="s">
        <v>580</v>
      </c>
      <c r="D343" s="10" t="s">
        <v>578</v>
      </c>
      <c r="E343" s="8" t="s">
        <v>1208</v>
      </c>
      <c r="F343" s="10">
        <v>1102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/>
      <c r="N343" s="12">
        <f t="shared" si="8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  <c r="DQ343" s="72">
        <v>4</v>
      </c>
    </row>
    <row r="344" spans="1:121" x14ac:dyDescent="0.35">
      <c r="A344" s="7"/>
      <c r="B344" s="8" t="s">
        <v>581</v>
      </c>
      <c r="C344" s="8" t="s">
        <v>582</v>
      </c>
      <c r="D344" s="10" t="s">
        <v>578</v>
      </c>
      <c r="E344" s="8" t="s">
        <v>1208</v>
      </c>
      <c r="F344" s="10">
        <v>1102</v>
      </c>
      <c r="G344" s="10" t="s">
        <v>40</v>
      </c>
      <c r="H344" s="10" t="s">
        <v>41</v>
      </c>
      <c r="I344" s="11"/>
      <c r="J344" s="10">
        <v>4</v>
      </c>
      <c r="K344" s="10" t="s">
        <v>42</v>
      </c>
      <c r="L344" s="8" t="s">
        <v>583</v>
      </c>
      <c r="M344" s="12"/>
      <c r="N344" s="12">
        <f t="shared" si="8"/>
        <v>0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>
        <v>0</v>
      </c>
      <c r="BI344" s="72">
        <v>0</v>
      </c>
      <c r="BJ344" s="72">
        <v>0</v>
      </c>
      <c r="BK344" s="72">
        <v>0</v>
      </c>
      <c r="BL344" s="72">
        <v>0</v>
      </c>
      <c r="BM344" s="72">
        <v>0</v>
      </c>
      <c r="BN344" s="72">
        <v>0</v>
      </c>
      <c r="BO344" s="72">
        <v>0</v>
      </c>
      <c r="BP344" s="72">
        <v>0</v>
      </c>
      <c r="BQ344" s="72">
        <v>0</v>
      </c>
      <c r="BR344" s="72">
        <v>0</v>
      </c>
      <c r="BS344" s="72">
        <v>0</v>
      </c>
      <c r="BT344" s="72">
        <v>0</v>
      </c>
      <c r="BU344" s="72">
        <v>0</v>
      </c>
      <c r="BV344" s="72">
        <v>0</v>
      </c>
      <c r="BW344" s="72">
        <v>0</v>
      </c>
      <c r="BX344" s="72">
        <v>0</v>
      </c>
      <c r="BY344" s="72">
        <v>0</v>
      </c>
      <c r="BZ344" s="72">
        <v>0</v>
      </c>
      <c r="CA344" s="72">
        <v>0</v>
      </c>
      <c r="CB344" s="72">
        <v>0</v>
      </c>
      <c r="CC344" s="72">
        <v>0</v>
      </c>
      <c r="CD344" s="72">
        <v>0</v>
      </c>
      <c r="CE344" s="72">
        <v>0</v>
      </c>
      <c r="CF344" s="72">
        <v>0</v>
      </c>
      <c r="CG344" s="72">
        <v>0</v>
      </c>
      <c r="CH344" s="72">
        <v>0</v>
      </c>
      <c r="CI344" s="72">
        <v>0</v>
      </c>
      <c r="CJ344" s="72">
        <v>0</v>
      </c>
      <c r="CK344" s="72">
        <v>0</v>
      </c>
      <c r="CL344" s="72">
        <v>0</v>
      </c>
      <c r="CM344" s="72">
        <v>0</v>
      </c>
      <c r="CN344" s="72">
        <v>0</v>
      </c>
      <c r="CO344" s="72">
        <v>0</v>
      </c>
      <c r="CP344" s="72">
        <v>0</v>
      </c>
      <c r="CQ344" s="72">
        <v>0</v>
      </c>
      <c r="CR344" s="72">
        <v>0</v>
      </c>
      <c r="CS344" s="72">
        <v>0</v>
      </c>
      <c r="CT344" s="72">
        <v>0</v>
      </c>
      <c r="CU344" s="72">
        <v>0</v>
      </c>
      <c r="CV344" s="72">
        <v>0</v>
      </c>
      <c r="CW344" s="72">
        <v>0</v>
      </c>
      <c r="CX344" s="72">
        <v>0</v>
      </c>
      <c r="CY344" s="72">
        <v>0</v>
      </c>
      <c r="CZ344" s="72">
        <v>0</v>
      </c>
      <c r="DA344" s="72">
        <v>0</v>
      </c>
      <c r="DB344" s="72">
        <v>0</v>
      </c>
      <c r="DC344" s="72">
        <v>0</v>
      </c>
      <c r="DD344" s="72">
        <v>0</v>
      </c>
      <c r="DE344" s="72">
        <v>0</v>
      </c>
      <c r="DF344" s="72">
        <v>0</v>
      </c>
      <c r="DG344" s="72">
        <v>0</v>
      </c>
      <c r="DH344" s="72">
        <v>0</v>
      </c>
      <c r="DI344" s="72">
        <v>0</v>
      </c>
      <c r="DJ344" s="72">
        <v>0</v>
      </c>
      <c r="DK344" s="72">
        <v>0</v>
      </c>
      <c r="DL344" s="72">
        <v>0</v>
      </c>
      <c r="DM344" s="72">
        <v>0</v>
      </c>
      <c r="DN344" s="72">
        <v>0</v>
      </c>
      <c r="DO344" s="72">
        <v>0</v>
      </c>
      <c r="DP344" s="72">
        <v>0</v>
      </c>
      <c r="DQ344" s="72">
        <v>0</v>
      </c>
    </row>
    <row r="345" spans="1:121" x14ac:dyDescent="0.35">
      <c r="A345" s="7"/>
      <c r="B345" s="8" t="s">
        <v>584</v>
      </c>
      <c r="C345" s="8" t="s">
        <v>585</v>
      </c>
      <c r="D345" s="10" t="s">
        <v>578</v>
      </c>
      <c r="E345" s="8" t="s">
        <v>1208</v>
      </c>
      <c r="F345" s="10">
        <v>1102</v>
      </c>
      <c r="G345" s="10" t="s">
        <v>40</v>
      </c>
      <c r="H345" s="10" t="s">
        <v>41</v>
      </c>
      <c r="I345" s="11"/>
      <c r="J345" s="10">
        <v>4</v>
      </c>
      <c r="K345" s="10" t="s">
        <v>42</v>
      </c>
      <c r="L345" s="8" t="s">
        <v>583</v>
      </c>
      <c r="M345" s="12"/>
      <c r="N345" s="12">
        <f t="shared" si="8"/>
        <v>0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>
        <v>0</v>
      </c>
      <c r="BI345" s="72">
        <v>0</v>
      </c>
      <c r="BJ345" s="72">
        <v>0</v>
      </c>
      <c r="BK345" s="72">
        <v>0</v>
      </c>
      <c r="BL345" s="72">
        <v>0</v>
      </c>
      <c r="BM345" s="72">
        <v>0</v>
      </c>
      <c r="BN345" s="72">
        <v>0</v>
      </c>
      <c r="BO345" s="72">
        <v>0</v>
      </c>
      <c r="BP345" s="72">
        <v>0</v>
      </c>
      <c r="BQ345" s="72">
        <v>0</v>
      </c>
      <c r="BR345" s="72">
        <v>0</v>
      </c>
      <c r="BS345" s="72">
        <v>0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  <c r="DO345" s="72">
        <v>0</v>
      </c>
      <c r="DP345" s="72">
        <v>0</v>
      </c>
      <c r="DQ345" s="72">
        <v>0</v>
      </c>
    </row>
    <row r="346" spans="1:121" x14ac:dyDescent="0.35">
      <c r="A346" s="7"/>
      <c r="B346" s="77" t="s">
        <v>1586</v>
      </c>
      <c r="C346" s="77" t="s">
        <v>405</v>
      </c>
      <c r="D346" s="97" t="s">
        <v>1593</v>
      </c>
      <c r="E346" s="92" t="s">
        <v>1219</v>
      </c>
      <c r="F346" s="97"/>
      <c r="G346" s="97" t="s">
        <v>40</v>
      </c>
      <c r="H346" s="97" t="s">
        <v>41</v>
      </c>
      <c r="I346" s="11"/>
      <c r="J346" s="10"/>
      <c r="K346" s="10" t="s">
        <v>42</v>
      </c>
      <c r="L346" s="8"/>
      <c r="M346" s="12">
        <v>0.38</v>
      </c>
      <c r="N346" s="12">
        <f t="shared" si="8"/>
        <v>9.120000000000001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/>
      <c r="DI346" s="72"/>
      <c r="DJ346" s="72"/>
      <c r="DK346" s="72"/>
      <c r="DL346" s="72"/>
      <c r="DM346" s="72"/>
      <c r="DN346" s="72"/>
      <c r="DO346" s="72"/>
      <c r="DP346" s="72"/>
      <c r="DQ346" s="72">
        <v>24</v>
      </c>
    </row>
    <row r="347" spans="1:121" x14ac:dyDescent="0.35">
      <c r="A347" s="7"/>
      <c r="B347" s="77" t="s">
        <v>1587</v>
      </c>
      <c r="C347" s="77" t="s">
        <v>356</v>
      </c>
      <c r="D347" s="97" t="s">
        <v>1593</v>
      </c>
      <c r="E347" s="92" t="s">
        <v>1208</v>
      </c>
      <c r="F347" s="97"/>
      <c r="G347" s="97" t="s">
        <v>40</v>
      </c>
      <c r="H347" s="97" t="s">
        <v>41</v>
      </c>
      <c r="I347" s="11"/>
      <c r="J347" s="10"/>
      <c r="K347" s="10" t="s">
        <v>42</v>
      </c>
      <c r="L347" s="8"/>
      <c r="M347" s="12">
        <v>1.67</v>
      </c>
      <c r="N347" s="12">
        <f t="shared" si="8"/>
        <v>10.02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  <c r="DA347" s="72"/>
      <c r="DB347" s="72"/>
      <c r="DC347" s="72"/>
      <c r="DD347" s="72"/>
      <c r="DE347" s="72"/>
      <c r="DF347" s="72"/>
      <c r="DG347" s="72"/>
      <c r="DH347" s="72"/>
      <c r="DI347" s="72"/>
      <c r="DJ347" s="72"/>
      <c r="DK347" s="72"/>
      <c r="DL347" s="72"/>
      <c r="DM347" s="72"/>
      <c r="DN347" s="72"/>
      <c r="DO347" s="72"/>
      <c r="DP347" s="72"/>
      <c r="DQ347" s="72">
        <v>6</v>
      </c>
    </row>
    <row r="348" spans="1:121" x14ac:dyDescent="0.35">
      <c r="A348" s="7"/>
      <c r="B348" s="8" t="s">
        <v>586</v>
      </c>
      <c r="C348" s="7" t="s">
        <v>587</v>
      </c>
      <c r="D348" s="10" t="s">
        <v>588</v>
      </c>
      <c r="E348" s="8" t="s">
        <v>1206</v>
      </c>
      <c r="F348" s="10">
        <v>1002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2">
        <v>30</v>
      </c>
      <c r="N348" s="12">
        <f t="shared" si="8"/>
        <v>120</v>
      </c>
      <c r="O348" s="11">
        <v>4</v>
      </c>
      <c r="P348" s="11">
        <v>4</v>
      </c>
      <c r="Q348" s="11">
        <v>4</v>
      </c>
      <c r="R348" s="11">
        <v>4</v>
      </c>
      <c r="S348" s="11">
        <v>4</v>
      </c>
      <c r="T348" s="11">
        <v>4</v>
      </c>
      <c r="U348" s="11">
        <v>4</v>
      </c>
      <c r="V348" s="11">
        <v>4</v>
      </c>
      <c r="W348" s="11">
        <v>4</v>
      </c>
      <c r="X348" s="11">
        <v>4</v>
      </c>
      <c r="Y348" s="11">
        <v>4</v>
      </c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</row>
    <row r="349" spans="1:121" x14ac:dyDescent="0.35">
      <c r="A349" s="7"/>
      <c r="B349" s="77" t="s">
        <v>1514</v>
      </c>
      <c r="C349" s="118" t="s">
        <v>1517</v>
      </c>
      <c r="D349" s="97" t="s">
        <v>1518</v>
      </c>
      <c r="E349" s="92" t="s">
        <v>1519</v>
      </c>
      <c r="F349" s="10"/>
      <c r="G349" s="10" t="s">
        <v>40</v>
      </c>
      <c r="H349" s="10" t="s">
        <v>41</v>
      </c>
      <c r="I349" s="11"/>
      <c r="J349" s="10"/>
      <c r="K349" s="10"/>
      <c r="L349" s="8"/>
      <c r="M349" s="12">
        <v>135.08437369837105</v>
      </c>
      <c r="N349" s="12">
        <f t="shared" si="8"/>
        <v>135.08437369837105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>
        <v>1</v>
      </c>
      <c r="CX349" s="72">
        <v>1</v>
      </c>
      <c r="CY349" s="72">
        <v>1</v>
      </c>
      <c r="CZ349" s="72">
        <v>1</v>
      </c>
      <c r="DA349" s="72">
        <v>1</v>
      </c>
      <c r="DB349" s="72">
        <v>1</v>
      </c>
      <c r="DC349" s="72">
        <v>1</v>
      </c>
      <c r="DD349" s="72">
        <v>1</v>
      </c>
      <c r="DE349" s="72">
        <v>1</v>
      </c>
      <c r="DF349" s="72">
        <v>1</v>
      </c>
      <c r="DG349" s="72">
        <v>1</v>
      </c>
      <c r="DH349" s="72">
        <v>1</v>
      </c>
      <c r="DI349" s="72">
        <v>1</v>
      </c>
      <c r="DJ349" s="72">
        <v>1</v>
      </c>
      <c r="DK349" s="72">
        <v>1</v>
      </c>
      <c r="DL349" s="72">
        <v>1</v>
      </c>
      <c r="DM349" s="72">
        <v>1</v>
      </c>
      <c r="DN349" s="72">
        <v>1</v>
      </c>
      <c r="DO349" s="72">
        <v>1</v>
      </c>
      <c r="DP349" s="72">
        <v>1</v>
      </c>
      <c r="DQ349" s="72">
        <v>1</v>
      </c>
    </row>
    <row r="350" spans="1:121" x14ac:dyDescent="0.35">
      <c r="A350" s="7"/>
      <c r="B350" s="77" t="s">
        <v>1515</v>
      </c>
      <c r="C350" s="118" t="s">
        <v>1520</v>
      </c>
      <c r="D350" s="97" t="s">
        <v>1518</v>
      </c>
      <c r="E350" s="92" t="s">
        <v>1519</v>
      </c>
      <c r="F350" s="10"/>
      <c r="G350" s="10" t="s">
        <v>40</v>
      </c>
      <c r="H350" s="10" t="s">
        <v>41</v>
      </c>
      <c r="I350" s="11"/>
      <c r="J350" s="10"/>
      <c r="K350" s="10"/>
      <c r="L350" s="8"/>
      <c r="M350" s="12">
        <v>125.84795848296203</v>
      </c>
      <c r="N350" s="12">
        <f t="shared" si="8"/>
        <v>125.84795848296203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>
        <v>1</v>
      </c>
      <c r="CX350" s="72">
        <v>1</v>
      </c>
      <c r="CY350" s="72">
        <v>1</v>
      </c>
      <c r="CZ350" s="72">
        <v>1</v>
      </c>
      <c r="DA350" s="72">
        <v>1</v>
      </c>
      <c r="DB350" s="72">
        <v>1</v>
      </c>
      <c r="DC350" s="72">
        <v>1</v>
      </c>
      <c r="DD350" s="72">
        <v>1</v>
      </c>
      <c r="DE350" s="72">
        <v>1</v>
      </c>
      <c r="DF350" s="72">
        <v>1</v>
      </c>
      <c r="DG350" s="72">
        <v>1</v>
      </c>
      <c r="DH350" s="72">
        <v>1</v>
      </c>
      <c r="DI350" s="72">
        <v>1</v>
      </c>
      <c r="DJ350" s="72">
        <v>1</v>
      </c>
      <c r="DK350" s="72">
        <v>1</v>
      </c>
      <c r="DL350" s="72">
        <v>1</v>
      </c>
      <c r="DM350" s="72">
        <v>1</v>
      </c>
      <c r="DN350" s="72">
        <v>1</v>
      </c>
      <c r="DO350" s="72">
        <v>1</v>
      </c>
      <c r="DP350" s="72">
        <v>1</v>
      </c>
      <c r="DQ350" s="72">
        <v>1</v>
      </c>
    </row>
    <row r="351" spans="1:121" x14ac:dyDescent="0.35">
      <c r="A351" s="7"/>
      <c r="B351" s="8">
        <v>20030658</v>
      </c>
      <c r="C351" s="9" t="s">
        <v>589</v>
      </c>
      <c r="D351" s="10" t="s">
        <v>590</v>
      </c>
      <c r="E351" s="8" t="s">
        <v>1228</v>
      </c>
      <c r="F351" s="10">
        <v>1105</v>
      </c>
      <c r="G351" s="10" t="s">
        <v>40</v>
      </c>
      <c r="H351" s="10" t="s">
        <v>95</v>
      </c>
      <c r="I351" s="11">
        <v>3000</v>
      </c>
      <c r="J351" s="10"/>
      <c r="K351" s="10" t="s">
        <v>591</v>
      </c>
      <c r="L351" s="8" t="s">
        <v>189</v>
      </c>
      <c r="M351" s="12"/>
      <c r="N351" s="12">
        <f t="shared" si="8"/>
        <v>0</v>
      </c>
      <c r="O351" s="11">
        <v>3000</v>
      </c>
      <c r="P351" s="11">
        <v>3000</v>
      </c>
      <c r="Q351" s="11">
        <v>3000</v>
      </c>
      <c r="R351" s="11">
        <v>3000</v>
      </c>
      <c r="S351" s="11">
        <v>3000</v>
      </c>
      <c r="T351" s="11">
        <v>3000</v>
      </c>
      <c r="U351" s="11">
        <v>3000</v>
      </c>
      <c r="V351" s="11">
        <v>3000</v>
      </c>
      <c r="W351" s="11">
        <v>3000</v>
      </c>
      <c r="X351" s="11">
        <v>3000</v>
      </c>
      <c r="Y351" s="11">
        <v>3000</v>
      </c>
      <c r="Z351" s="11">
        <v>3000</v>
      </c>
      <c r="AA351" s="11">
        <v>3000</v>
      </c>
      <c r="AB351" s="11">
        <v>3000</v>
      </c>
      <c r="AC351" s="11">
        <v>3000</v>
      </c>
      <c r="AD351" s="11">
        <v>3000</v>
      </c>
      <c r="AE351" s="11">
        <v>3000</v>
      </c>
      <c r="AF351" s="11">
        <v>3000</v>
      </c>
      <c r="AG351" s="11">
        <v>3000</v>
      </c>
      <c r="AH351" s="11">
        <v>3000</v>
      </c>
      <c r="AI351" s="11">
        <v>3000</v>
      </c>
      <c r="AJ351" s="11">
        <v>3000</v>
      </c>
      <c r="AK351" s="11">
        <v>3000</v>
      </c>
      <c r="AL351" s="11">
        <v>3000</v>
      </c>
      <c r="AM351" s="11">
        <v>3000</v>
      </c>
      <c r="AN351" s="72">
        <v>3000</v>
      </c>
      <c r="AO351" s="72">
        <v>3000</v>
      </c>
      <c r="AP351" s="72">
        <v>3000</v>
      </c>
      <c r="AQ351" s="72">
        <v>3000</v>
      </c>
      <c r="AR351" s="72">
        <v>3000</v>
      </c>
      <c r="AS351" s="72">
        <v>3000</v>
      </c>
      <c r="AT351" s="72">
        <v>3000</v>
      </c>
      <c r="AU351" s="72">
        <v>3000</v>
      </c>
      <c r="AV351" s="72">
        <v>3000</v>
      </c>
      <c r="AW351" s="72">
        <v>3000</v>
      </c>
      <c r="AX351" s="72">
        <v>3000</v>
      </c>
      <c r="AY351" s="72">
        <v>3000</v>
      </c>
      <c r="AZ351" s="72">
        <v>3000</v>
      </c>
      <c r="BA351" s="72">
        <v>3000</v>
      </c>
      <c r="BB351" s="72">
        <v>3000</v>
      </c>
      <c r="BC351" s="72">
        <v>3000</v>
      </c>
      <c r="BD351" s="72">
        <v>3000</v>
      </c>
      <c r="BE351" s="72">
        <v>3000</v>
      </c>
      <c r="BF351" s="72">
        <v>3000</v>
      </c>
      <c r="BG351" s="72">
        <v>3000</v>
      </c>
      <c r="BH351" s="72">
        <v>3000</v>
      </c>
      <c r="BI351" s="72">
        <v>3000</v>
      </c>
      <c r="BJ351" s="72">
        <v>3000</v>
      </c>
      <c r="BK351" s="72">
        <v>3000</v>
      </c>
      <c r="BL351" s="72">
        <v>3000</v>
      </c>
      <c r="BM351" s="72">
        <v>3000</v>
      </c>
      <c r="BN351" s="72">
        <v>3000</v>
      </c>
      <c r="BO351" s="72">
        <v>3000</v>
      </c>
      <c r="BP351" s="72">
        <v>3000</v>
      </c>
      <c r="BQ351" s="72">
        <v>3000</v>
      </c>
      <c r="BR351" s="72">
        <v>3000</v>
      </c>
      <c r="BS351" s="72">
        <v>3000</v>
      </c>
      <c r="BT351" s="72">
        <v>3000</v>
      </c>
      <c r="BU351" s="72">
        <v>3000</v>
      </c>
      <c r="BV351" s="72">
        <v>3000</v>
      </c>
      <c r="BW351" s="72">
        <v>3000</v>
      </c>
      <c r="BX351" s="72">
        <v>3000</v>
      </c>
      <c r="BY351" s="72">
        <v>3000</v>
      </c>
      <c r="BZ351" s="72">
        <v>3000</v>
      </c>
      <c r="CA351" s="72">
        <v>3000</v>
      </c>
      <c r="CB351" s="72">
        <v>3000</v>
      </c>
      <c r="CC351" s="72">
        <v>3000</v>
      </c>
      <c r="CD351" s="72">
        <v>3000</v>
      </c>
      <c r="CE351" s="72">
        <v>3000</v>
      </c>
      <c r="CF351" s="72">
        <v>3000</v>
      </c>
      <c r="CG351" s="72">
        <v>3000</v>
      </c>
      <c r="CH351" s="72">
        <v>3000</v>
      </c>
      <c r="CI351" s="72">
        <v>3000</v>
      </c>
      <c r="CJ351" s="72">
        <v>3000</v>
      </c>
      <c r="CK351" s="72">
        <v>3000</v>
      </c>
      <c r="CL351" s="72">
        <v>3000</v>
      </c>
      <c r="CM351" s="72">
        <v>3000</v>
      </c>
      <c r="CN351" s="72">
        <v>3000</v>
      </c>
      <c r="CO351" s="72">
        <v>3000</v>
      </c>
      <c r="CP351" s="72">
        <v>3000</v>
      </c>
      <c r="CQ351" s="72">
        <v>3000</v>
      </c>
      <c r="CR351" s="72">
        <v>3000</v>
      </c>
      <c r="CS351" s="72">
        <v>3000</v>
      </c>
      <c r="CT351" s="72">
        <v>3000</v>
      </c>
      <c r="CU351" s="72">
        <v>3000</v>
      </c>
      <c r="CV351" s="72">
        <v>3000</v>
      </c>
      <c r="CW351" s="72">
        <v>3000</v>
      </c>
      <c r="CX351" s="72">
        <v>3000</v>
      </c>
      <c r="CY351" s="72">
        <v>3000</v>
      </c>
      <c r="CZ351" s="72">
        <v>3000</v>
      </c>
      <c r="DA351" s="72">
        <v>3000</v>
      </c>
      <c r="DB351" s="72">
        <v>3000</v>
      </c>
      <c r="DC351" s="72">
        <v>3000</v>
      </c>
      <c r="DD351" s="72">
        <f t="shared" ref="DD351:DI351" si="9">3000-107</f>
        <v>2893</v>
      </c>
      <c r="DE351" s="72">
        <f t="shared" si="9"/>
        <v>2893</v>
      </c>
      <c r="DF351" s="72">
        <f t="shared" si="9"/>
        <v>2893</v>
      </c>
      <c r="DG351" s="72">
        <f t="shared" si="9"/>
        <v>2893</v>
      </c>
      <c r="DH351" s="72">
        <f t="shared" si="9"/>
        <v>2893</v>
      </c>
      <c r="DI351" s="72">
        <f t="shared" si="9"/>
        <v>2893</v>
      </c>
      <c r="DJ351" s="72">
        <f t="shared" ref="DJ351:DO351" si="10">3000-107</f>
        <v>2893</v>
      </c>
      <c r="DK351" s="72">
        <f t="shared" si="10"/>
        <v>2893</v>
      </c>
      <c r="DL351" s="72">
        <f t="shared" si="10"/>
        <v>2893</v>
      </c>
      <c r="DM351" s="72">
        <f t="shared" si="10"/>
        <v>2893</v>
      </c>
      <c r="DN351" s="72">
        <f t="shared" si="10"/>
        <v>2893</v>
      </c>
      <c r="DO351" s="72">
        <f t="shared" si="10"/>
        <v>2893</v>
      </c>
      <c r="DP351" s="72">
        <f>3000-107</f>
        <v>2893</v>
      </c>
      <c r="DQ351" s="72">
        <f>3000-107</f>
        <v>2893</v>
      </c>
    </row>
    <row r="352" spans="1:121" x14ac:dyDescent="0.35">
      <c r="A352" s="7"/>
      <c r="B352" s="77" t="s">
        <v>1370</v>
      </c>
      <c r="C352" s="9" t="s">
        <v>1372</v>
      </c>
      <c r="D352" s="10" t="s">
        <v>1373</v>
      </c>
      <c r="E352" s="8" t="s">
        <v>1374</v>
      </c>
      <c r="F352" s="10"/>
      <c r="G352" s="10"/>
      <c r="H352" s="10" t="s">
        <v>41</v>
      </c>
      <c r="I352" s="11"/>
      <c r="J352" s="10"/>
      <c r="K352" s="10"/>
      <c r="L352" s="8"/>
      <c r="M352" s="12">
        <v>475</v>
      </c>
      <c r="N352" s="12">
        <f t="shared" si="8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>
        <v>1</v>
      </c>
      <c r="BN352" s="72">
        <v>1</v>
      </c>
      <c r="BO352" s="72">
        <v>1</v>
      </c>
      <c r="BP352" s="72">
        <v>1</v>
      </c>
      <c r="BQ352" s="72">
        <v>1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0</v>
      </c>
      <c r="DA352" s="72">
        <v>0</v>
      </c>
      <c r="DB352" s="72">
        <v>0</v>
      </c>
      <c r="DC352" s="72">
        <v>0</v>
      </c>
      <c r="DD352" s="72">
        <v>0</v>
      </c>
      <c r="DE352" s="72">
        <v>0</v>
      </c>
      <c r="DF352" s="72">
        <v>0</v>
      </c>
      <c r="DG352" s="72">
        <v>0</v>
      </c>
      <c r="DH352" s="72">
        <v>0</v>
      </c>
      <c r="DI352" s="72">
        <v>0</v>
      </c>
      <c r="DJ352" s="72">
        <v>0</v>
      </c>
      <c r="DK352" s="72">
        <v>0</v>
      </c>
      <c r="DL352" s="72">
        <v>0</v>
      </c>
      <c r="DM352" s="72">
        <v>0</v>
      </c>
      <c r="DN352" s="72">
        <v>0</v>
      </c>
      <c r="DO352" s="72">
        <v>0</v>
      </c>
      <c r="DP352" s="72">
        <v>0</v>
      </c>
      <c r="DQ352" s="72">
        <v>0</v>
      </c>
    </row>
    <row r="353" spans="1:121" x14ac:dyDescent="0.35">
      <c r="A353" s="7"/>
      <c r="B353" s="21" t="s">
        <v>592</v>
      </c>
      <c r="C353" s="22" t="s">
        <v>593</v>
      </c>
      <c r="D353" s="23" t="s">
        <v>594</v>
      </c>
      <c r="E353" s="21" t="s">
        <v>1221</v>
      </c>
      <c r="F353" s="23">
        <v>1006</v>
      </c>
      <c r="G353" s="10" t="s">
        <v>40</v>
      </c>
      <c r="H353" s="10" t="s">
        <v>41</v>
      </c>
      <c r="I353" s="11">
        <v>2</v>
      </c>
      <c r="J353" s="23"/>
      <c r="K353" s="10"/>
      <c r="L353" s="8"/>
      <c r="M353" s="12"/>
      <c r="N353" s="12">
        <f t="shared" si="8"/>
        <v>0</v>
      </c>
      <c r="O353" s="11">
        <v>2</v>
      </c>
      <c r="P353" s="11">
        <v>2</v>
      </c>
      <c r="Q353" s="11">
        <v>2</v>
      </c>
      <c r="R353" s="11">
        <v>2</v>
      </c>
      <c r="S353" s="11">
        <v>2</v>
      </c>
      <c r="T353" s="11">
        <v>2</v>
      </c>
      <c r="U353" s="11">
        <v>2</v>
      </c>
      <c r="V353" s="11">
        <v>2</v>
      </c>
      <c r="W353" s="11">
        <v>2</v>
      </c>
      <c r="X353" s="11">
        <v>2</v>
      </c>
      <c r="Y353" s="11">
        <v>2</v>
      </c>
      <c r="Z353" s="11">
        <v>2</v>
      </c>
      <c r="AA353" s="11">
        <v>2</v>
      </c>
      <c r="AB353" s="11">
        <v>2</v>
      </c>
      <c r="AC353" s="11">
        <v>2</v>
      </c>
      <c r="AD353" s="11">
        <v>2</v>
      </c>
      <c r="AE353" s="11">
        <v>2</v>
      </c>
      <c r="AF353" s="11">
        <v>2</v>
      </c>
      <c r="AG353" s="11">
        <v>2</v>
      </c>
      <c r="AH353" s="11">
        <v>2</v>
      </c>
      <c r="AI353" s="11">
        <v>2</v>
      </c>
      <c r="AJ353" s="11">
        <v>2</v>
      </c>
      <c r="AK353" s="11">
        <v>2</v>
      </c>
      <c r="AL353" s="11">
        <v>2</v>
      </c>
      <c r="AM353" s="11">
        <v>2</v>
      </c>
      <c r="AN353" s="72">
        <v>2</v>
      </c>
      <c r="AO353" s="72">
        <v>2</v>
      </c>
      <c r="AP353" s="72">
        <v>2</v>
      </c>
      <c r="AQ353" s="72">
        <v>2</v>
      </c>
      <c r="AR353" s="72">
        <v>2</v>
      </c>
      <c r="AS353" s="72">
        <v>2</v>
      </c>
      <c r="AT353" s="72">
        <v>2</v>
      </c>
      <c r="AU353" s="72">
        <v>2</v>
      </c>
      <c r="AV353" s="72">
        <v>2</v>
      </c>
      <c r="AW353" s="72">
        <v>2</v>
      </c>
      <c r="AX353" s="72">
        <v>2</v>
      </c>
      <c r="AY353" s="72">
        <v>2</v>
      </c>
      <c r="AZ353" s="72">
        <v>2</v>
      </c>
      <c r="BA353" s="72">
        <v>2</v>
      </c>
      <c r="BB353" s="72">
        <v>2</v>
      </c>
      <c r="BC353" s="72">
        <v>2</v>
      </c>
      <c r="BD353" s="72">
        <v>2</v>
      </c>
      <c r="BE353" s="72">
        <v>2</v>
      </c>
      <c r="BF353" s="72">
        <v>2</v>
      </c>
      <c r="BG353" s="72">
        <v>2</v>
      </c>
      <c r="BH353" s="72">
        <v>2</v>
      </c>
      <c r="BI353" s="72">
        <v>2</v>
      </c>
      <c r="BJ353" s="72">
        <v>2</v>
      </c>
      <c r="BK353" s="72">
        <v>2</v>
      </c>
      <c r="BL353" s="72">
        <v>2</v>
      </c>
      <c r="BM353" s="72">
        <v>2</v>
      </c>
      <c r="BN353" s="72">
        <v>2</v>
      </c>
      <c r="BO353" s="72">
        <v>2</v>
      </c>
      <c r="BP353" s="72">
        <v>2</v>
      </c>
      <c r="BQ353" s="72">
        <v>2</v>
      </c>
      <c r="BR353" s="72">
        <v>2</v>
      </c>
      <c r="BS353" s="72">
        <v>2</v>
      </c>
      <c r="BT353" s="72">
        <v>2</v>
      </c>
      <c r="BU353" s="72">
        <v>2</v>
      </c>
      <c r="BV353" s="72">
        <v>2</v>
      </c>
      <c r="BW353" s="72">
        <v>2</v>
      </c>
      <c r="BX353" s="72">
        <v>2</v>
      </c>
      <c r="BY353" s="72">
        <v>2</v>
      </c>
      <c r="BZ353" s="72">
        <v>2</v>
      </c>
      <c r="CA353" s="72">
        <v>2</v>
      </c>
      <c r="CB353" s="72">
        <v>2</v>
      </c>
      <c r="CC353" s="72">
        <v>2</v>
      </c>
      <c r="CD353" s="72">
        <v>2</v>
      </c>
      <c r="CE353" s="72">
        <v>2</v>
      </c>
      <c r="CF353" s="72">
        <v>2</v>
      </c>
      <c r="CG353" s="72">
        <v>2</v>
      </c>
      <c r="CH353" s="72">
        <v>2</v>
      </c>
      <c r="CI353" s="72">
        <v>2</v>
      </c>
      <c r="CJ353" s="72">
        <v>2</v>
      </c>
      <c r="CK353" s="72">
        <v>2</v>
      </c>
      <c r="CL353" s="72">
        <v>2</v>
      </c>
      <c r="CM353" s="72">
        <v>2</v>
      </c>
      <c r="CN353" s="72">
        <v>2</v>
      </c>
      <c r="CO353" s="72">
        <v>2</v>
      </c>
      <c r="CP353" s="72">
        <v>2</v>
      </c>
      <c r="CQ353" s="72">
        <v>2</v>
      </c>
      <c r="CR353" s="72">
        <v>2</v>
      </c>
      <c r="CS353" s="72">
        <v>2</v>
      </c>
      <c r="CT353" s="72">
        <v>2</v>
      </c>
      <c r="CU353" s="72">
        <v>2</v>
      </c>
      <c r="CV353" s="72">
        <v>2</v>
      </c>
      <c r="CW353" s="72">
        <v>2</v>
      </c>
      <c r="CX353" s="72">
        <v>2</v>
      </c>
      <c r="CY353" s="72">
        <v>2</v>
      </c>
      <c r="CZ353" s="72">
        <v>2</v>
      </c>
      <c r="DA353" s="72">
        <v>2</v>
      </c>
      <c r="DB353" s="72">
        <v>2</v>
      </c>
      <c r="DC353" s="72">
        <v>2</v>
      </c>
      <c r="DD353" s="72">
        <v>2</v>
      </c>
      <c r="DE353" s="72">
        <v>2</v>
      </c>
      <c r="DF353" s="72">
        <v>2</v>
      </c>
      <c r="DG353" s="72">
        <v>2</v>
      </c>
      <c r="DH353" s="72">
        <v>2</v>
      </c>
      <c r="DI353" s="72">
        <v>2</v>
      </c>
      <c r="DJ353" s="72">
        <v>2</v>
      </c>
      <c r="DK353" s="72">
        <v>2</v>
      </c>
      <c r="DL353" s="72">
        <v>2</v>
      </c>
      <c r="DM353" s="72">
        <v>2</v>
      </c>
      <c r="DN353" s="72">
        <v>2</v>
      </c>
      <c r="DO353" s="72">
        <v>2</v>
      </c>
      <c r="DP353" s="72">
        <v>2</v>
      </c>
      <c r="DQ353" s="72">
        <v>2</v>
      </c>
    </row>
    <row r="354" spans="1:121" x14ac:dyDescent="0.35">
      <c r="A354" s="7"/>
      <c r="B354" s="8" t="s">
        <v>595</v>
      </c>
      <c r="C354" s="78" t="s">
        <v>1354</v>
      </c>
      <c r="D354" s="10" t="s">
        <v>594</v>
      </c>
      <c r="E354" s="21" t="s">
        <v>1221</v>
      </c>
      <c r="F354" s="10">
        <v>1006</v>
      </c>
      <c r="G354" s="10" t="s">
        <v>40</v>
      </c>
      <c r="H354" s="10" t="s">
        <v>41</v>
      </c>
      <c r="I354" s="11">
        <v>20</v>
      </c>
      <c r="J354" s="10"/>
      <c r="K354" s="10" t="s">
        <v>42</v>
      </c>
      <c r="L354" s="8"/>
      <c r="M354" s="12">
        <v>25.89</v>
      </c>
      <c r="N354" s="12">
        <f t="shared" si="8"/>
        <v>517.79999999999995</v>
      </c>
      <c r="O354" s="11">
        <v>20</v>
      </c>
      <c r="P354" s="11">
        <v>20</v>
      </c>
      <c r="Q354" s="11">
        <v>20</v>
      </c>
      <c r="R354" s="11">
        <v>20</v>
      </c>
      <c r="S354" s="11">
        <v>20</v>
      </c>
      <c r="T354" s="11">
        <v>20</v>
      </c>
      <c r="U354" s="11">
        <v>20</v>
      </c>
      <c r="V354" s="11">
        <v>20</v>
      </c>
      <c r="W354" s="11">
        <v>20</v>
      </c>
      <c r="X354" s="11">
        <v>20</v>
      </c>
      <c r="Y354" s="11">
        <v>20</v>
      </c>
      <c r="Z354" s="11">
        <v>20</v>
      </c>
      <c r="AA354" s="11">
        <v>20</v>
      </c>
      <c r="AB354" s="11">
        <v>20</v>
      </c>
      <c r="AC354" s="11">
        <v>20</v>
      </c>
      <c r="AD354" s="11">
        <v>20</v>
      </c>
      <c r="AE354" s="11">
        <v>20</v>
      </c>
      <c r="AF354" s="11">
        <v>20</v>
      </c>
      <c r="AG354" s="11">
        <v>20</v>
      </c>
      <c r="AH354" s="11">
        <v>20</v>
      </c>
      <c r="AI354" s="11">
        <v>20</v>
      </c>
      <c r="AJ354" s="11">
        <v>20</v>
      </c>
      <c r="AK354" s="11">
        <v>20</v>
      </c>
      <c r="AL354" s="11">
        <v>20</v>
      </c>
      <c r="AM354" s="11">
        <v>20</v>
      </c>
      <c r="AN354" s="72">
        <v>20</v>
      </c>
      <c r="AO354" s="72">
        <v>20</v>
      </c>
      <c r="AP354" s="72">
        <v>20</v>
      </c>
      <c r="AQ354" s="72">
        <v>20</v>
      </c>
      <c r="AR354" s="72">
        <v>20</v>
      </c>
      <c r="AS354" s="72">
        <v>20</v>
      </c>
      <c r="AT354" s="72">
        <v>20</v>
      </c>
      <c r="AU354" s="72">
        <v>20</v>
      </c>
      <c r="AV354" s="72">
        <v>20</v>
      </c>
      <c r="AW354" s="72">
        <v>20</v>
      </c>
      <c r="AX354" s="72">
        <v>20</v>
      </c>
      <c r="AY354" s="72">
        <v>20</v>
      </c>
      <c r="AZ354" s="72">
        <v>20</v>
      </c>
      <c r="BA354" s="72">
        <v>20</v>
      </c>
      <c r="BB354" s="72">
        <v>20</v>
      </c>
      <c r="BC354" s="72">
        <v>20</v>
      </c>
      <c r="BD354" s="72">
        <v>20</v>
      </c>
      <c r="BE354" s="72">
        <v>20</v>
      </c>
      <c r="BF354" s="72">
        <v>20</v>
      </c>
      <c r="BG354" s="72">
        <v>20</v>
      </c>
      <c r="BH354" s="72">
        <v>20</v>
      </c>
      <c r="BI354" s="72">
        <v>20</v>
      </c>
      <c r="BJ354" s="72">
        <v>20</v>
      </c>
      <c r="BK354" s="72">
        <v>20</v>
      </c>
      <c r="BL354" s="72">
        <v>20</v>
      </c>
      <c r="BM354" s="72">
        <v>20</v>
      </c>
      <c r="BN354" s="72">
        <v>20</v>
      </c>
      <c r="BO354" s="72">
        <v>20</v>
      </c>
      <c r="BP354" s="72">
        <v>20</v>
      </c>
      <c r="BQ354" s="72">
        <v>20</v>
      </c>
      <c r="BR354" s="72">
        <v>20</v>
      </c>
      <c r="BS354" s="72">
        <v>20</v>
      </c>
      <c r="BT354" s="72">
        <v>20</v>
      </c>
      <c r="BU354" s="72">
        <v>20</v>
      </c>
      <c r="BV354" s="72">
        <v>20</v>
      </c>
      <c r="BW354" s="72">
        <v>20</v>
      </c>
      <c r="BX354" s="72">
        <v>20</v>
      </c>
      <c r="BY354" s="72">
        <v>20</v>
      </c>
      <c r="BZ354" s="72">
        <v>20</v>
      </c>
      <c r="CA354" s="72">
        <v>20</v>
      </c>
      <c r="CB354" s="72">
        <v>20</v>
      </c>
      <c r="CC354" s="72">
        <v>20</v>
      </c>
      <c r="CD354" s="72">
        <v>20</v>
      </c>
      <c r="CE354" s="72">
        <v>20</v>
      </c>
      <c r="CF354" s="72">
        <v>20</v>
      </c>
      <c r="CG354" s="72">
        <v>20</v>
      </c>
      <c r="CH354" s="72">
        <v>20</v>
      </c>
      <c r="CI354" s="72">
        <v>20</v>
      </c>
      <c r="CJ354" s="72">
        <v>20</v>
      </c>
      <c r="CK354" s="72">
        <v>20</v>
      </c>
      <c r="CL354" s="72">
        <v>20</v>
      </c>
      <c r="CM354" s="72">
        <v>20</v>
      </c>
      <c r="CN354" s="72">
        <v>20</v>
      </c>
      <c r="CO354" s="72">
        <v>20</v>
      </c>
      <c r="CP354" s="72">
        <v>20</v>
      </c>
      <c r="CQ354" s="72">
        <v>20</v>
      </c>
      <c r="CR354" s="72">
        <v>20</v>
      </c>
      <c r="CS354" s="72">
        <v>20</v>
      </c>
      <c r="CT354" s="72">
        <v>20</v>
      </c>
      <c r="CU354" s="72">
        <v>20</v>
      </c>
      <c r="CV354" s="72">
        <v>20</v>
      </c>
      <c r="CW354" s="72">
        <v>20</v>
      </c>
      <c r="CX354" s="72">
        <v>20</v>
      </c>
      <c r="CY354" s="72">
        <v>20</v>
      </c>
      <c r="CZ354" s="72">
        <v>20</v>
      </c>
      <c r="DA354" s="72">
        <v>20</v>
      </c>
      <c r="DB354" s="72">
        <v>20</v>
      </c>
      <c r="DC354" s="72">
        <v>20</v>
      </c>
      <c r="DD354" s="72">
        <v>20</v>
      </c>
      <c r="DE354" s="72">
        <v>20</v>
      </c>
      <c r="DF354" s="72">
        <v>20</v>
      </c>
      <c r="DG354" s="72">
        <v>20</v>
      </c>
      <c r="DH354" s="72">
        <v>20</v>
      </c>
      <c r="DI354" s="72">
        <v>20</v>
      </c>
      <c r="DJ354" s="72">
        <v>20</v>
      </c>
      <c r="DK354" s="72">
        <v>20</v>
      </c>
      <c r="DL354" s="72">
        <v>20</v>
      </c>
      <c r="DM354" s="72">
        <v>20</v>
      </c>
      <c r="DN354" s="72">
        <v>20</v>
      </c>
      <c r="DO354" s="72">
        <v>20</v>
      </c>
      <c r="DP354" s="72">
        <v>20</v>
      </c>
      <c r="DQ354" s="72">
        <v>20</v>
      </c>
    </row>
    <row r="355" spans="1:121" x14ac:dyDescent="0.35">
      <c r="A355" s="7"/>
      <c r="B355" s="8" t="s">
        <v>596</v>
      </c>
      <c r="C355" s="78" t="s">
        <v>1355</v>
      </c>
      <c r="D355" s="10" t="s">
        <v>594</v>
      </c>
      <c r="E355" s="21" t="s">
        <v>1221</v>
      </c>
      <c r="F355" s="10">
        <v>1006</v>
      </c>
      <c r="G355" s="10" t="s">
        <v>40</v>
      </c>
      <c r="H355" s="10" t="s">
        <v>41</v>
      </c>
      <c r="I355" s="11">
        <v>1</v>
      </c>
      <c r="J355" s="10"/>
      <c r="K355" s="10" t="s">
        <v>42</v>
      </c>
      <c r="L355" s="8"/>
      <c r="M355" s="12">
        <v>39.15</v>
      </c>
      <c r="N355" s="12">
        <f t="shared" si="8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0</v>
      </c>
      <c r="BM355" s="72">
        <v>0</v>
      </c>
      <c r="BN355" s="72">
        <v>0</v>
      </c>
      <c r="BO355" s="72">
        <v>0</v>
      </c>
      <c r="BP355" s="72">
        <v>0</v>
      </c>
      <c r="BQ355" s="72">
        <v>0</v>
      </c>
      <c r="BR355" s="72">
        <v>0</v>
      </c>
      <c r="BS355" s="72">
        <v>0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>
        <v>0</v>
      </c>
    </row>
    <row r="356" spans="1:121" x14ac:dyDescent="0.35">
      <c r="A356" s="7"/>
      <c r="B356" s="77" t="s">
        <v>1266</v>
      </c>
      <c r="C356" s="78" t="s">
        <v>1356</v>
      </c>
      <c r="D356" s="10" t="s">
        <v>594</v>
      </c>
      <c r="E356" s="21" t="s">
        <v>1221</v>
      </c>
      <c r="F356" s="10"/>
      <c r="G356" s="10"/>
      <c r="H356" s="10" t="s">
        <v>41</v>
      </c>
      <c r="I356" s="11"/>
      <c r="J356" s="10"/>
      <c r="K356" s="10"/>
      <c r="L356" s="8"/>
      <c r="M356" s="12">
        <v>80.739999999999995</v>
      </c>
      <c r="N356" s="12">
        <f t="shared" si="8"/>
        <v>161.47999999999999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2</v>
      </c>
      <c r="BU356" s="72">
        <v>2</v>
      </c>
      <c r="BV356" s="72">
        <v>2</v>
      </c>
      <c r="BW356" s="72">
        <v>2</v>
      </c>
      <c r="BX356" s="72">
        <v>2</v>
      </c>
      <c r="BY356" s="72">
        <v>2</v>
      </c>
      <c r="BZ356" s="72">
        <v>2</v>
      </c>
      <c r="CA356" s="72">
        <v>2</v>
      </c>
      <c r="CB356" s="72">
        <v>2</v>
      </c>
      <c r="CC356" s="72">
        <v>2</v>
      </c>
      <c r="CD356" s="72">
        <v>2</v>
      </c>
      <c r="CE356" s="72">
        <v>2</v>
      </c>
      <c r="CF356" s="72">
        <v>2</v>
      </c>
      <c r="CG356" s="72">
        <v>2</v>
      </c>
      <c r="CH356" s="72">
        <v>2</v>
      </c>
      <c r="CI356" s="72">
        <v>2</v>
      </c>
      <c r="CJ356" s="72">
        <v>2</v>
      </c>
      <c r="CK356" s="72">
        <v>2</v>
      </c>
      <c r="CL356" s="72">
        <v>2</v>
      </c>
      <c r="CM356" s="72">
        <v>2</v>
      </c>
      <c r="CN356" s="72">
        <v>2</v>
      </c>
      <c r="CO356" s="72">
        <v>2</v>
      </c>
      <c r="CP356" s="72">
        <v>2</v>
      </c>
      <c r="CQ356" s="72">
        <v>2</v>
      </c>
      <c r="CR356" s="72">
        <v>2</v>
      </c>
      <c r="CS356" s="72">
        <v>2</v>
      </c>
      <c r="CT356" s="72">
        <v>2</v>
      </c>
      <c r="CU356" s="72">
        <v>2</v>
      </c>
      <c r="CV356" s="72">
        <v>2</v>
      </c>
      <c r="CW356" s="72">
        <v>2</v>
      </c>
      <c r="CX356" s="72">
        <v>2</v>
      </c>
      <c r="CY356" s="72">
        <v>2</v>
      </c>
      <c r="CZ356" s="72">
        <v>2</v>
      </c>
      <c r="DA356" s="72">
        <v>2</v>
      </c>
      <c r="DB356" s="72">
        <v>2</v>
      </c>
      <c r="DC356" s="72">
        <v>2</v>
      </c>
      <c r="DD356" s="72">
        <v>2</v>
      </c>
      <c r="DE356" s="72">
        <v>2</v>
      </c>
      <c r="DF356" s="72">
        <v>2</v>
      </c>
      <c r="DG356" s="72">
        <v>2</v>
      </c>
      <c r="DH356" s="72">
        <v>2</v>
      </c>
      <c r="DI356" s="72">
        <v>2</v>
      </c>
      <c r="DJ356" s="72">
        <v>2</v>
      </c>
      <c r="DK356" s="72">
        <v>2</v>
      </c>
      <c r="DL356" s="72">
        <v>2</v>
      </c>
      <c r="DM356" s="72">
        <v>2</v>
      </c>
      <c r="DN356" s="72">
        <v>2</v>
      </c>
      <c r="DO356" s="72">
        <v>2</v>
      </c>
      <c r="DP356" s="72">
        <v>2</v>
      </c>
      <c r="DQ356" s="72">
        <v>2</v>
      </c>
    </row>
    <row r="357" spans="1:121" x14ac:dyDescent="0.35">
      <c r="A357" s="7"/>
      <c r="B357" s="77" t="s">
        <v>1350</v>
      </c>
      <c r="C357" s="78" t="s">
        <v>1357</v>
      </c>
      <c r="D357" s="10" t="s">
        <v>594</v>
      </c>
      <c r="E357" s="21" t="s">
        <v>1221</v>
      </c>
      <c r="F357" s="10"/>
      <c r="G357" s="10"/>
      <c r="H357" s="10" t="s">
        <v>41</v>
      </c>
      <c r="I357" s="11"/>
      <c r="J357" s="10"/>
      <c r="K357" s="10"/>
      <c r="L357" s="8"/>
      <c r="M357" s="12"/>
      <c r="N357" s="12">
        <f t="shared" si="8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>
        <v>2</v>
      </c>
      <c r="BK357" s="72">
        <v>2</v>
      </c>
      <c r="BL357" s="72">
        <v>2</v>
      </c>
      <c r="BM357" s="72">
        <v>2</v>
      </c>
      <c r="BN357" s="72">
        <v>2</v>
      </c>
      <c r="BO357" s="72">
        <v>2</v>
      </c>
      <c r="BP357" s="72">
        <v>2</v>
      </c>
      <c r="BQ357" s="72">
        <v>2</v>
      </c>
      <c r="BR357" s="72">
        <v>2</v>
      </c>
      <c r="BS357" s="72">
        <v>2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  <c r="DQ357" s="72">
        <v>2</v>
      </c>
    </row>
    <row r="358" spans="1:121" x14ac:dyDescent="0.35">
      <c r="A358" s="7"/>
      <c r="B358" s="21" t="s">
        <v>597</v>
      </c>
      <c r="C358" s="22" t="s">
        <v>598</v>
      </c>
      <c r="D358" s="10" t="s">
        <v>594</v>
      </c>
      <c r="E358" s="8" t="s">
        <v>1205</v>
      </c>
      <c r="F358" s="23">
        <v>1006</v>
      </c>
      <c r="G358" s="10" t="s">
        <v>40</v>
      </c>
      <c r="H358" s="10" t="s">
        <v>41</v>
      </c>
      <c r="I358" s="11">
        <v>4</v>
      </c>
      <c r="J358" s="23"/>
      <c r="K358" s="10"/>
      <c r="L358" s="8"/>
      <c r="M358" s="12">
        <v>205</v>
      </c>
      <c r="N358" s="12">
        <f t="shared" si="8"/>
        <v>1230</v>
      </c>
      <c r="O358" s="11">
        <v>6</v>
      </c>
      <c r="P358" s="11">
        <v>6</v>
      </c>
      <c r="Q358" s="11">
        <v>6</v>
      </c>
      <c r="R358" s="11">
        <v>6</v>
      </c>
      <c r="S358" s="11">
        <v>6</v>
      </c>
      <c r="T358" s="11">
        <v>6</v>
      </c>
      <c r="U358" s="11">
        <v>6</v>
      </c>
      <c r="V358" s="11">
        <v>6</v>
      </c>
      <c r="W358" s="11">
        <v>6</v>
      </c>
      <c r="X358" s="11">
        <v>6</v>
      </c>
      <c r="Y358" s="11">
        <v>6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4</v>
      </c>
      <c r="AF358" s="11">
        <v>4</v>
      </c>
      <c r="AG358" s="11">
        <v>4</v>
      </c>
      <c r="AH358" s="11">
        <v>4</v>
      </c>
      <c r="AI358" s="11">
        <v>4</v>
      </c>
      <c r="AJ358" s="11">
        <v>4</v>
      </c>
      <c r="AK358" s="11">
        <v>4</v>
      </c>
      <c r="AL358" s="11">
        <v>4</v>
      </c>
      <c r="AM358" s="11">
        <v>4</v>
      </c>
      <c r="AN358" s="72">
        <v>4</v>
      </c>
      <c r="AO358" s="72">
        <v>4</v>
      </c>
      <c r="AP358" s="72">
        <v>4</v>
      </c>
      <c r="AQ358" s="72">
        <v>4</v>
      </c>
      <c r="AR358" s="72">
        <v>4</v>
      </c>
      <c r="AS358" s="72">
        <v>4</v>
      </c>
      <c r="AT358" s="72">
        <v>4</v>
      </c>
      <c r="AU358" s="72">
        <v>4</v>
      </c>
      <c r="AV358" s="72">
        <v>4</v>
      </c>
      <c r="AW358" s="72">
        <v>4</v>
      </c>
      <c r="AX358" s="72">
        <v>4</v>
      </c>
      <c r="AY358" s="72">
        <v>4</v>
      </c>
      <c r="AZ358" s="72">
        <v>4</v>
      </c>
      <c r="BA358" s="72">
        <v>4</v>
      </c>
      <c r="BB358" s="72">
        <v>4</v>
      </c>
      <c r="BC358" s="72">
        <v>4</v>
      </c>
      <c r="BD358" s="72">
        <v>4</v>
      </c>
      <c r="BE358" s="72">
        <v>4</v>
      </c>
      <c r="BF358" s="72">
        <v>4</v>
      </c>
      <c r="BG358" s="72">
        <v>4</v>
      </c>
      <c r="BH358" s="72">
        <v>4</v>
      </c>
      <c r="BI358" s="72">
        <v>4</v>
      </c>
      <c r="BJ358" s="72">
        <v>6</v>
      </c>
      <c r="BK358" s="72">
        <v>6</v>
      </c>
      <c r="BL358" s="72">
        <v>6</v>
      </c>
      <c r="BM358" s="72">
        <v>6</v>
      </c>
      <c r="BN358" s="72">
        <v>6</v>
      </c>
      <c r="BO358" s="72">
        <v>6</v>
      </c>
      <c r="BP358" s="72">
        <v>6</v>
      </c>
      <c r="BQ358" s="72">
        <v>6</v>
      </c>
      <c r="BR358" s="72">
        <v>6</v>
      </c>
      <c r="BS358" s="72">
        <v>6</v>
      </c>
      <c r="BT358" s="72">
        <v>6</v>
      </c>
      <c r="BU358" s="72">
        <v>6</v>
      </c>
      <c r="BV358" s="72">
        <v>6</v>
      </c>
      <c r="BW358" s="72">
        <v>6</v>
      </c>
      <c r="BX358" s="72">
        <v>6</v>
      </c>
      <c r="BY358" s="72">
        <v>6</v>
      </c>
      <c r="BZ358" s="72">
        <v>6</v>
      </c>
      <c r="CA358" s="72">
        <v>6</v>
      </c>
      <c r="CB358" s="72">
        <v>6</v>
      </c>
      <c r="CC358" s="72">
        <v>6</v>
      </c>
      <c r="CD358" s="72">
        <v>6</v>
      </c>
      <c r="CE358" s="72">
        <v>6</v>
      </c>
      <c r="CF358" s="72">
        <v>6</v>
      </c>
      <c r="CG358" s="72">
        <v>6</v>
      </c>
      <c r="CH358" s="72">
        <v>6</v>
      </c>
      <c r="CI358" s="72">
        <v>6</v>
      </c>
      <c r="CJ358" s="72">
        <v>6</v>
      </c>
      <c r="CK358" s="72">
        <v>6</v>
      </c>
      <c r="CL358" s="72">
        <v>6</v>
      </c>
      <c r="CM358" s="72">
        <v>6</v>
      </c>
      <c r="CN358" s="72">
        <v>6</v>
      </c>
      <c r="CO358" s="72">
        <v>6</v>
      </c>
      <c r="CP358" s="72">
        <v>6</v>
      </c>
      <c r="CQ358" s="72">
        <v>6</v>
      </c>
      <c r="CR358" s="72">
        <v>6</v>
      </c>
      <c r="CS358" s="72">
        <v>6</v>
      </c>
      <c r="CT358" s="72">
        <v>6</v>
      </c>
      <c r="CU358" s="72">
        <v>6</v>
      </c>
      <c r="CV358" s="72">
        <v>6</v>
      </c>
      <c r="CW358" s="72">
        <v>6</v>
      </c>
      <c r="CX358" s="72">
        <v>6</v>
      </c>
      <c r="CY358" s="72">
        <v>6</v>
      </c>
      <c r="CZ358" s="72">
        <v>6</v>
      </c>
      <c r="DA358" s="72">
        <v>6</v>
      </c>
      <c r="DB358" s="72">
        <v>6</v>
      </c>
      <c r="DC358" s="72">
        <v>6</v>
      </c>
      <c r="DD358" s="72">
        <v>6</v>
      </c>
      <c r="DE358" s="72">
        <v>6</v>
      </c>
      <c r="DF358" s="72">
        <v>6</v>
      </c>
      <c r="DG358" s="72">
        <v>6</v>
      </c>
      <c r="DH358" s="72">
        <v>6</v>
      </c>
      <c r="DI358" s="72">
        <v>6</v>
      </c>
      <c r="DJ358" s="72">
        <v>6</v>
      </c>
      <c r="DK358" s="72">
        <v>6</v>
      </c>
      <c r="DL358" s="72">
        <v>6</v>
      </c>
      <c r="DM358" s="72">
        <v>6</v>
      </c>
      <c r="DN358" s="72">
        <v>6</v>
      </c>
      <c r="DO358" s="72">
        <v>6</v>
      </c>
      <c r="DP358" s="72">
        <v>6</v>
      </c>
      <c r="DQ358" s="72">
        <v>6</v>
      </c>
    </row>
    <row r="359" spans="1:121" x14ac:dyDescent="0.35">
      <c r="A359" s="7"/>
      <c r="B359" s="21" t="s">
        <v>599</v>
      </c>
      <c r="C359" s="95" t="s">
        <v>1347</v>
      </c>
      <c r="D359" s="10" t="s">
        <v>594</v>
      </c>
      <c r="E359" s="8" t="s">
        <v>1205</v>
      </c>
      <c r="F359" s="23">
        <v>1006</v>
      </c>
      <c r="G359" s="10" t="s">
        <v>40</v>
      </c>
      <c r="H359" s="10" t="s">
        <v>41</v>
      </c>
      <c r="I359" s="11">
        <v>6</v>
      </c>
      <c r="J359" s="23"/>
      <c r="K359" s="10"/>
      <c r="L359" s="8"/>
      <c r="M359" s="12"/>
      <c r="N359" s="12">
        <f t="shared" si="8"/>
        <v>0</v>
      </c>
      <c r="O359" s="11">
        <v>6</v>
      </c>
      <c r="P359" s="11">
        <v>6</v>
      </c>
      <c r="Q359" s="11">
        <v>6</v>
      </c>
      <c r="R359" s="11">
        <v>6</v>
      </c>
      <c r="S359" s="11">
        <v>6</v>
      </c>
      <c r="T359" s="11">
        <v>6</v>
      </c>
      <c r="U359" s="11">
        <v>6</v>
      </c>
      <c r="V359" s="11">
        <v>6</v>
      </c>
      <c r="W359" s="11">
        <v>6</v>
      </c>
      <c r="X359" s="11">
        <v>6</v>
      </c>
      <c r="Y359" s="11">
        <v>6</v>
      </c>
      <c r="Z359" s="11">
        <v>6</v>
      </c>
      <c r="AA359" s="11">
        <v>6</v>
      </c>
      <c r="AB359" s="11">
        <v>6</v>
      </c>
      <c r="AC359" s="11">
        <v>6</v>
      </c>
      <c r="AD359" s="11">
        <v>6</v>
      </c>
      <c r="AE359" s="11">
        <v>6</v>
      </c>
      <c r="AF359" s="11">
        <v>6</v>
      </c>
      <c r="AG359" s="11">
        <v>6</v>
      </c>
      <c r="AH359" s="11">
        <v>6</v>
      </c>
      <c r="AI359" s="11">
        <v>6</v>
      </c>
      <c r="AJ359" s="11">
        <v>6</v>
      </c>
      <c r="AK359" s="11">
        <v>6</v>
      </c>
      <c r="AL359" s="11">
        <v>6</v>
      </c>
      <c r="AM359" s="11">
        <v>6</v>
      </c>
      <c r="AN359" s="72">
        <v>6</v>
      </c>
      <c r="AO359" s="72">
        <v>6</v>
      </c>
      <c r="AP359" s="72">
        <v>6</v>
      </c>
      <c r="AQ359" s="72">
        <v>6</v>
      </c>
      <c r="AR359" s="72">
        <v>6</v>
      </c>
      <c r="AS359" s="72">
        <v>6</v>
      </c>
      <c r="AT359" s="72">
        <v>6</v>
      </c>
      <c r="AU359" s="72">
        <v>6</v>
      </c>
      <c r="AV359" s="72">
        <v>6</v>
      </c>
      <c r="AW359" s="72">
        <v>6</v>
      </c>
      <c r="AX359" s="72">
        <v>6</v>
      </c>
      <c r="AY359" s="72">
        <v>6</v>
      </c>
      <c r="AZ359" s="72">
        <v>6</v>
      </c>
      <c r="BA359" s="72">
        <v>6</v>
      </c>
      <c r="BB359" s="72">
        <v>6</v>
      </c>
      <c r="BC359" s="72">
        <v>6</v>
      </c>
      <c r="BD359" s="72">
        <v>6</v>
      </c>
      <c r="BE359" s="72">
        <v>6</v>
      </c>
      <c r="BF359" s="72">
        <v>6</v>
      </c>
      <c r="BG359" s="72">
        <v>6</v>
      </c>
      <c r="BH359" s="72">
        <v>6</v>
      </c>
      <c r="BI359" s="72">
        <v>6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</row>
    <row r="360" spans="1:121" x14ac:dyDescent="0.35">
      <c r="A360" s="7"/>
      <c r="B360" s="21" t="s">
        <v>600</v>
      </c>
      <c r="C360" s="22" t="s">
        <v>601</v>
      </c>
      <c r="D360" s="10" t="s">
        <v>594</v>
      </c>
      <c r="E360" s="8" t="s">
        <v>1205</v>
      </c>
      <c r="F360" s="23">
        <v>1006</v>
      </c>
      <c r="G360" s="10" t="s">
        <v>40</v>
      </c>
      <c r="H360" s="10" t="s">
        <v>41</v>
      </c>
      <c r="I360" s="11">
        <v>1</v>
      </c>
      <c r="J360" s="23"/>
      <c r="K360" s="10" t="s">
        <v>53</v>
      </c>
      <c r="L360" s="8" t="s">
        <v>602</v>
      </c>
      <c r="M360" s="12">
        <v>205</v>
      </c>
      <c r="N360" s="12">
        <f t="shared" si="8"/>
        <v>0</v>
      </c>
      <c r="O360" s="11"/>
      <c r="P360" s="11"/>
      <c r="Q360" s="11">
        <v>4</v>
      </c>
      <c r="R360" s="11">
        <v>4</v>
      </c>
      <c r="S360" s="11">
        <v>4</v>
      </c>
      <c r="T360" s="11">
        <v>4</v>
      </c>
      <c r="U360" s="11">
        <v>4</v>
      </c>
      <c r="V360" s="11">
        <v>4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</v>
      </c>
      <c r="AC360" s="11">
        <v>4</v>
      </c>
      <c r="AD360" s="11">
        <v>4</v>
      </c>
      <c r="AE360" s="11">
        <v>5</v>
      </c>
      <c r="AF360" s="11">
        <v>5</v>
      </c>
      <c r="AG360" s="11">
        <v>5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2</v>
      </c>
      <c r="AP360" s="72">
        <v>2</v>
      </c>
      <c r="AQ360" s="72">
        <v>2</v>
      </c>
      <c r="AR360" s="72">
        <v>2</v>
      </c>
      <c r="AS360" s="72">
        <v>2</v>
      </c>
      <c r="AT360" s="72">
        <v>2</v>
      </c>
      <c r="AU360" s="72">
        <v>2</v>
      </c>
      <c r="AV360" s="72">
        <v>2</v>
      </c>
      <c r="AW360" s="72">
        <v>2</v>
      </c>
      <c r="AX360" s="72">
        <v>2</v>
      </c>
      <c r="AY360" s="72">
        <v>2</v>
      </c>
      <c r="AZ360" s="72">
        <v>2</v>
      </c>
      <c r="BA360" s="72">
        <v>2</v>
      </c>
      <c r="BB360" s="72">
        <v>2</v>
      </c>
      <c r="BC360" s="72">
        <v>2</v>
      </c>
      <c r="BD360" s="72">
        <v>2</v>
      </c>
      <c r="BE360" s="72">
        <v>2</v>
      </c>
      <c r="BF360" s="72">
        <v>2</v>
      </c>
      <c r="BG360" s="72">
        <v>2</v>
      </c>
      <c r="BH360" s="72">
        <v>2</v>
      </c>
      <c r="BI360" s="72">
        <v>2</v>
      </c>
      <c r="BJ360" s="72">
        <v>2</v>
      </c>
      <c r="BK360" s="72">
        <v>2</v>
      </c>
      <c r="BL360" s="72">
        <v>2</v>
      </c>
      <c r="BM360" s="72">
        <v>2</v>
      </c>
      <c r="BN360" s="72">
        <v>2</v>
      </c>
      <c r="BO360" s="72">
        <v>2</v>
      </c>
      <c r="BP360" s="72">
        <v>2</v>
      </c>
      <c r="BQ360" s="72">
        <v>2</v>
      </c>
      <c r="BR360" s="72">
        <v>2</v>
      </c>
      <c r="BS360" s="72">
        <v>2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</row>
    <row r="361" spans="1:121" x14ac:dyDescent="0.35">
      <c r="A361" s="7"/>
      <c r="B361" s="79" t="s">
        <v>1169</v>
      </c>
      <c r="C361" s="22" t="s">
        <v>1178</v>
      </c>
      <c r="D361" s="10" t="s">
        <v>594</v>
      </c>
      <c r="E361" s="8" t="s">
        <v>1205</v>
      </c>
      <c r="F361" s="23"/>
      <c r="G361" s="10" t="s">
        <v>40</v>
      </c>
      <c r="H361" s="10" t="s">
        <v>41</v>
      </c>
      <c r="I361" s="11"/>
      <c r="J361" s="23"/>
      <c r="K361" s="10"/>
      <c r="L361" s="8"/>
      <c r="M361" s="12"/>
      <c r="N361" s="12">
        <f t="shared" si="8"/>
        <v>0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>
        <v>2</v>
      </c>
      <c r="AP361" s="72">
        <v>2</v>
      </c>
      <c r="AQ361" s="72">
        <v>2</v>
      </c>
      <c r="AR361" s="72">
        <v>2</v>
      </c>
      <c r="AS361" s="72">
        <v>2</v>
      </c>
      <c r="AT361" s="72">
        <v>2</v>
      </c>
      <c r="AU361" s="72">
        <v>2</v>
      </c>
      <c r="AV361" s="72">
        <v>2</v>
      </c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  <c r="DO361" s="72">
        <v>0</v>
      </c>
      <c r="DP361" s="72">
        <v>0</v>
      </c>
      <c r="DQ361" s="72">
        <v>0</v>
      </c>
    </row>
    <row r="362" spans="1:121" x14ac:dyDescent="0.35">
      <c r="A362" s="7"/>
      <c r="B362" s="79" t="s">
        <v>1170</v>
      </c>
      <c r="C362" s="22" t="s">
        <v>1179</v>
      </c>
      <c r="D362" s="10" t="s">
        <v>594</v>
      </c>
      <c r="E362" s="8" t="s">
        <v>1205</v>
      </c>
      <c r="F362" s="23"/>
      <c r="G362" s="10" t="s">
        <v>40</v>
      </c>
      <c r="H362" s="10" t="s">
        <v>41</v>
      </c>
      <c r="I362" s="11"/>
      <c r="J362" s="23"/>
      <c r="K362" s="10"/>
      <c r="L362" s="8"/>
      <c r="M362" s="12">
        <v>122.16</v>
      </c>
      <c r="N362" s="12">
        <f t="shared" si="8"/>
        <v>244.32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>
        <v>5</v>
      </c>
      <c r="AP362" s="72">
        <v>5</v>
      </c>
      <c r="AQ362" s="72">
        <v>5</v>
      </c>
      <c r="AR362" s="72">
        <v>5</v>
      </c>
      <c r="AS362" s="72">
        <v>5</v>
      </c>
      <c r="AT362" s="72">
        <v>5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5</v>
      </c>
      <c r="BN362" s="72">
        <v>5</v>
      </c>
      <c r="BO362" s="72">
        <v>5</v>
      </c>
      <c r="BP362" s="72">
        <v>5</v>
      </c>
      <c r="BQ362" s="72">
        <v>5</v>
      </c>
      <c r="BR362" s="72">
        <v>5</v>
      </c>
      <c r="BS362" s="72">
        <v>5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</row>
    <row r="363" spans="1:121" x14ac:dyDescent="0.35">
      <c r="A363" s="7"/>
      <c r="B363" s="79" t="s">
        <v>1351</v>
      </c>
      <c r="C363" s="96" t="s">
        <v>1358</v>
      </c>
      <c r="D363" s="10" t="s">
        <v>594</v>
      </c>
      <c r="E363" s="8" t="s">
        <v>1205</v>
      </c>
      <c r="F363" s="23"/>
      <c r="G363" s="10"/>
      <c r="H363" s="10" t="s">
        <v>41</v>
      </c>
      <c r="I363" s="11"/>
      <c r="J363" s="23"/>
      <c r="K363" s="10"/>
      <c r="L363" s="8"/>
      <c r="M363" s="12"/>
      <c r="N363" s="12">
        <f t="shared" si="8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7</v>
      </c>
      <c r="BK363" s="72">
        <v>7</v>
      </c>
      <c r="BL363" s="72">
        <v>7</v>
      </c>
      <c r="BM363" s="72">
        <v>7</v>
      </c>
      <c r="BN363" s="72">
        <v>7</v>
      </c>
      <c r="BO363" s="72">
        <v>7</v>
      </c>
      <c r="BP363" s="72">
        <v>7</v>
      </c>
      <c r="BQ363" s="72">
        <v>7</v>
      </c>
      <c r="BR363" s="72">
        <v>7</v>
      </c>
      <c r="BS363" s="72">
        <v>7</v>
      </c>
      <c r="BT363" s="72">
        <v>7</v>
      </c>
      <c r="BU363" s="72">
        <v>7</v>
      </c>
      <c r="BV363" s="72">
        <v>7</v>
      </c>
      <c r="BW363" s="72">
        <v>7</v>
      </c>
      <c r="BX363" s="72">
        <v>7</v>
      </c>
      <c r="BY363" s="72">
        <v>7</v>
      </c>
      <c r="BZ363" s="72">
        <v>7</v>
      </c>
      <c r="CA363" s="72">
        <v>7</v>
      </c>
      <c r="CB363" s="72">
        <v>7</v>
      </c>
      <c r="CC363" s="72">
        <v>7</v>
      </c>
      <c r="CD363" s="72">
        <v>7</v>
      </c>
      <c r="CE363" s="72">
        <v>7</v>
      </c>
      <c r="CF363" s="72">
        <v>7</v>
      </c>
      <c r="CG363" s="72">
        <v>7</v>
      </c>
      <c r="CH363" s="72">
        <v>7</v>
      </c>
      <c r="CI363" s="72">
        <v>7</v>
      </c>
      <c r="CJ363" s="72">
        <v>7</v>
      </c>
      <c r="CK363" s="72">
        <v>7</v>
      </c>
      <c r="CL363" s="72">
        <v>7</v>
      </c>
      <c r="CM363" s="72">
        <v>7</v>
      </c>
      <c r="CN363" s="72">
        <v>7</v>
      </c>
      <c r="CO363" s="72">
        <v>7</v>
      </c>
      <c r="CP363" s="72">
        <v>7</v>
      </c>
      <c r="CQ363" s="72">
        <v>7</v>
      </c>
      <c r="CR363" s="72">
        <v>7</v>
      </c>
      <c r="CS363" s="72">
        <v>7</v>
      </c>
      <c r="CT363" s="72">
        <v>7</v>
      </c>
      <c r="CU363" s="72">
        <v>7</v>
      </c>
      <c r="CV363" s="72">
        <v>7</v>
      </c>
      <c r="CW363" s="72">
        <v>7</v>
      </c>
      <c r="CX363" s="72">
        <v>7</v>
      </c>
      <c r="CY363" s="72">
        <v>7</v>
      </c>
      <c r="CZ363" s="72">
        <v>7</v>
      </c>
      <c r="DA363" s="72">
        <v>7</v>
      </c>
      <c r="DB363" s="72">
        <v>7</v>
      </c>
      <c r="DC363" s="72">
        <v>7</v>
      </c>
      <c r="DD363" s="72">
        <v>7</v>
      </c>
      <c r="DE363" s="72">
        <v>7</v>
      </c>
      <c r="DF363" s="72">
        <v>7</v>
      </c>
      <c r="DG363" s="72">
        <v>7</v>
      </c>
      <c r="DH363" s="72">
        <v>7</v>
      </c>
      <c r="DI363" s="72">
        <v>7</v>
      </c>
      <c r="DJ363" s="72">
        <v>7</v>
      </c>
      <c r="DK363" s="72">
        <v>7</v>
      </c>
      <c r="DL363" s="72">
        <v>7</v>
      </c>
      <c r="DM363" s="72">
        <v>7</v>
      </c>
      <c r="DN363" s="72">
        <v>7</v>
      </c>
      <c r="DO363" s="72">
        <v>7</v>
      </c>
      <c r="DP363" s="72">
        <v>7</v>
      </c>
      <c r="DQ363" s="72">
        <v>7</v>
      </c>
    </row>
    <row r="364" spans="1:121" x14ac:dyDescent="0.35">
      <c r="A364" s="7"/>
      <c r="B364" s="8" t="s">
        <v>603</v>
      </c>
      <c r="C364" s="9" t="s">
        <v>604</v>
      </c>
      <c r="D364" s="10" t="s">
        <v>594</v>
      </c>
      <c r="E364" s="8" t="s">
        <v>1060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 t="s">
        <v>42</v>
      </c>
      <c r="L364" s="8"/>
      <c r="M364" s="12"/>
      <c r="N364" s="12">
        <f t="shared" si="8"/>
        <v>0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/>
      <c r="U364" s="11"/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/>
      <c r="AB364" s="11"/>
      <c r="AC364" s="11"/>
      <c r="AD364" s="11"/>
      <c r="AE364" s="11"/>
      <c r="AF364" s="11"/>
      <c r="AG364" s="11"/>
      <c r="AH364" s="11"/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0</v>
      </c>
      <c r="AV364" s="72">
        <v>0</v>
      </c>
      <c r="AW364" s="72">
        <v>0</v>
      </c>
      <c r="AX364" s="72">
        <v>0</v>
      </c>
      <c r="AY364" s="72">
        <v>0</v>
      </c>
      <c r="AZ364" s="72">
        <v>0</v>
      </c>
      <c r="BA364" s="72">
        <v>0</v>
      </c>
      <c r="BB364" s="72">
        <v>0</v>
      </c>
      <c r="BC364" s="72">
        <v>0</v>
      </c>
      <c r="BD364" s="72">
        <v>0</v>
      </c>
      <c r="BE364" s="72">
        <v>0</v>
      </c>
      <c r="BF364" s="72">
        <v>0</v>
      </c>
      <c r="BG364" s="72">
        <v>0</v>
      </c>
      <c r="BH364" s="72">
        <v>0</v>
      </c>
      <c r="BI364" s="72">
        <v>0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  <c r="DO364" s="72">
        <v>0</v>
      </c>
      <c r="DP364" s="72">
        <v>0</v>
      </c>
      <c r="DQ364" s="72">
        <v>0</v>
      </c>
    </row>
    <row r="365" spans="1:121" x14ac:dyDescent="0.35">
      <c r="A365" s="7"/>
      <c r="B365" s="77" t="s">
        <v>1500</v>
      </c>
      <c r="C365" s="9" t="s">
        <v>604</v>
      </c>
      <c r="D365" s="10" t="s">
        <v>594</v>
      </c>
      <c r="E365" s="8" t="s">
        <v>1060</v>
      </c>
      <c r="F365" s="10">
        <v>1002</v>
      </c>
      <c r="G365" s="10" t="s">
        <v>40</v>
      </c>
      <c r="H365" s="10" t="s">
        <v>41</v>
      </c>
      <c r="I365" s="11"/>
      <c r="J365" s="10"/>
      <c r="K365" s="10"/>
      <c r="L365" s="8"/>
      <c r="M365" s="12">
        <v>5680.5839999999998</v>
      </c>
      <c r="N365" s="12">
        <f t="shared" si="8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>
        <v>1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</row>
    <row r="366" spans="1:121" x14ac:dyDescent="0.35">
      <c r="A366" s="7"/>
      <c r="B366" s="8" t="s">
        <v>1267</v>
      </c>
      <c r="C366" s="9" t="s">
        <v>1276</v>
      </c>
      <c r="D366" s="10" t="s">
        <v>594</v>
      </c>
      <c r="E366" s="8" t="s">
        <v>1206</v>
      </c>
      <c r="F366" s="10"/>
      <c r="G366" s="10"/>
      <c r="H366" s="10" t="s">
        <v>41</v>
      </c>
      <c r="I366" s="11"/>
      <c r="J366" s="10"/>
      <c r="K366" s="10"/>
      <c r="L366" s="8"/>
      <c r="M366" s="12">
        <v>190.36</v>
      </c>
      <c r="N366" s="12">
        <f t="shared" si="8"/>
        <v>17893.84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>
        <v>204</v>
      </c>
      <c r="AX366" s="72">
        <v>204</v>
      </c>
      <c r="AY366" s="72">
        <v>204</v>
      </c>
      <c r="AZ366" s="72">
        <v>203</v>
      </c>
      <c r="BA366" s="72">
        <v>203</v>
      </c>
      <c r="BB366" s="72">
        <v>204</v>
      </c>
      <c r="BC366" s="72">
        <v>204</v>
      </c>
      <c r="BD366" s="72">
        <v>204</v>
      </c>
      <c r="BE366" s="72">
        <v>204</v>
      </c>
      <c r="BF366" s="72">
        <v>184</v>
      </c>
      <c r="BG366" s="72">
        <v>184</v>
      </c>
      <c r="BH366" s="72">
        <v>184</v>
      </c>
      <c r="BI366" s="72">
        <v>184</v>
      </c>
      <c r="BJ366" s="72">
        <v>184</v>
      </c>
      <c r="BK366" s="72">
        <v>184</v>
      </c>
      <c r="BL366" s="72">
        <v>184</v>
      </c>
      <c r="BM366" s="72">
        <v>184</v>
      </c>
      <c r="BN366" s="72">
        <v>163</v>
      </c>
      <c r="BO366" s="72">
        <v>163</v>
      </c>
      <c r="BP366" s="72">
        <v>162</v>
      </c>
      <c r="BQ366" s="72">
        <v>162</v>
      </c>
      <c r="BR366" s="72">
        <v>161</v>
      </c>
      <c r="BS366" s="72">
        <v>161</v>
      </c>
      <c r="BT366" s="72">
        <v>161</v>
      </c>
      <c r="BU366" s="72">
        <v>161</v>
      </c>
      <c r="BV366" s="72">
        <v>161</v>
      </c>
      <c r="BW366" s="72">
        <v>161</v>
      </c>
      <c r="BX366" s="72">
        <v>161</v>
      </c>
      <c r="BY366" s="72">
        <v>161</v>
      </c>
      <c r="BZ366" s="72">
        <v>161</v>
      </c>
      <c r="CA366" s="72">
        <v>161</v>
      </c>
      <c r="CB366" s="72">
        <v>161</v>
      </c>
      <c r="CC366" s="72">
        <v>161</v>
      </c>
      <c r="CD366" s="72">
        <v>161</v>
      </c>
      <c r="CE366" s="72">
        <v>161</v>
      </c>
      <c r="CF366" s="72">
        <v>161</v>
      </c>
      <c r="CG366" s="72">
        <v>161</v>
      </c>
      <c r="CH366" s="72">
        <v>161</v>
      </c>
      <c r="CI366" s="72">
        <v>161</v>
      </c>
      <c r="CJ366" s="72">
        <v>161</v>
      </c>
      <c r="CK366" s="72">
        <v>161</v>
      </c>
      <c r="CL366" s="72">
        <v>161</v>
      </c>
      <c r="CM366" s="72">
        <v>161</v>
      </c>
      <c r="CN366" s="72">
        <v>161</v>
      </c>
      <c r="CO366" s="72">
        <v>160</v>
      </c>
      <c r="CP366" s="72">
        <v>160</v>
      </c>
      <c r="CQ366" s="72">
        <v>160</v>
      </c>
      <c r="CR366" s="72">
        <v>150</v>
      </c>
      <c r="CS366" s="72">
        <v>145</v>
      </c>
      <c r="CT366" s="72">
        <v>145</v>
      </c>
      <c r="CU366" s="72">
        <v>109</v>
      </c>
      <c r="CV366" s="72">
        <v>109</v>
      </c>
      <c r="CW366" s="72">
        <v>109</v>
      </c>
      <c r="CX366" s="72">
        <v>109</v>
      </c>
      <c r="CY366" s="72">
        <v>109</v>
      </c>
      <c r="CZ366" s="72">
        <v>109</v>
      </c>
      <c r="DA366" s="72">
        <v>109</v>
      </c>
      <c r="DB366" s="72">
        <v>109</v>
      </c>
      <c r="DC366" s="72">
        <v>109</v>
      </c>
      <c r="DD366" s="72">
        <v>109</v>
      </c>
      <c r="DE366" s="72">
        <v>109</v>
      </c>
      <c r="DF366" s="72">
        <v>104</v>
      </c>
      <c r="DG366" s="72">
        <v>104</v>
      </c>
      <c r="DH366" s="72">
        <v>94</v>
      </c>
      <c r="DI366" s="72">
        <v>94</v>
      </c>
      <c r="DJ366" s="72">
        <v>94</v>
      </c>
      <c r="DK366" s="72">
        <v>94</v>
      </c>
      <c r="DL366" s="72">
        <v>94</v>
      </c>
      <c r="DM366" s="72">
        <v>94</v>
      </c>
      <c r="DN366" s="72">
        <v>94</v>
      </c>
      <c r="DO366" s="72">
        <v>94</v>
      </c>
      <c r="DP366" s="72">
        <v>94</v>
      </c>
      <c r="DQ366" s="72">
        <v>94</v>
      </c>
    </row>
    <row r="367" spans="1:121" x14ac:dyDescent="0.35">
      <c r="A367" s="7"/>
      <c r="B367" s="8" t="s">
        <v>605</v>
      </c>
      <c r="C367" s="9" t="s">
        <v>606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47</v>
      </c>
      <c r="J367" s="10"/>
      <c r="K367" s="10"/>
      <c r="L367" s="8"/>
      <c r="M367" s="12">
        <v>324.52999999999997</v>
      </c>
      <c r="N367" s="12">
        <f t="shared" si="8"/>
        <v>324.52999999999997</v>
      </c>
      <c r="O367" s="11">
        <v>259</v>
      </c>
      <c r="P367" s="11">
        <v>259</v>
      </c>
      <c r="Q367" s="11">
        <v>259</v>
      </c>
      <c r="R367" s="11">
        <v>259</v>
      </c>
      <c r="S367" s="11">
        <v>259</v>
      </c>
      <c r="T367" s="11">
        <v>259</v>
      </c>
      <c r="U367" s="11">
        <v>52</v>
      </c>
      <c r="V367" s="11">
        <v>52</v>
      </c>
      <c r="W367" s="11">
        <v>52</v>
      </c>
      <c r="X367" s="11">
        <v>52</v>
      </c>
      <c r="Y367" s="11">
        <v>52</v>
      </c>
      <c r="Z367" s="11">
        <v>47</v>
      </c>
      <c r="AA367" s="11">
        <v>47</v>
      </c>
      <c r="AB367" s="11">
        <v>47</v>
      </c>
      <c r="AC367" s="11">
        <v>47</v>
      </c>
      <c r="AD367" s="11">
        <v>47</v>
      </c>
      <c r="AE367" s="11">
        <v>47</v>
      </c>
      <c r="AF367" s="11">
        <v>46</v>
      </c>
      <c r="AG367" s="11">
        <v>47</v>
      </c>
      <c r="AH367" s="11">
        <v>47</v>
      </c>
      <c r="AI367" s="11">
        <v>47</v>
      </c>
      <c r="AJ367" s="11">
        <v>47</v>
      </c>
      <c r="AK367" s="11">
        <v>47</v>
      </c>
      <c r="AL367" s="11">
        <v>47</v>
      </c>
      <c r="AM367" s="11">
        <v>47</v>
      </c>
      <c r="AN367" s="72">
        <v>46</v>
      </c>
      <c r="AO367" s="72">
        <v>47</v>
      </c>
      <c r="AP367" s="72">
        <v>47</v>
      </c>
      <c r="AQ367" s="72">
        <v>47</v>
      </c>
      <c r="AR367" s="72">
        <v>47</v>
      </c>
      <c r="AS367" s="72">
        <v>46</v>
      </c>
      <c r="AT367" s="72">
        <v>46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4</v>
      </c>
      <c r="BN367" s="72">
        <v>5</v>
      </c>
      <c r="BO367" s="72">
        <v>5</v>
      </c>
      <c r="BP367" s="72">
        <v>5</v>
      </c>
      <c r="BQ367" s="72">
        <v>6</v>
      </c>
      <c r="BR367" s="72">
        <v>1</v>
      </c>
      <c r="BS367" s="72">
        <v>1</v>
      </c>
      <c r="BT367" s="72">
        <v>1</v>
      </c>
      <c r="BU367" s="72">
        <v>1</v>
      </c>
      <c r="BV367" s="72">
        <v>1</v>
      </c>
      <c r="BW367" s="72">
        <v>1</v>
      </c>
      <c r="BX367" s="72">
        <v>1</v>
      </c>
      <c r="BY367" s="72">
        <v>1</v>
      </c>
      <c r="BZ367" s="72">
        <v>1</v>
      </c>
      <c r="CA367" s="72">
        <v>1</v>
      </c>
      <c r="CB367" s="72">
        <v>1</v>
      </c>
      <c r="CC367" s="72">
        <v>1</v>
      </c>
      <c r="CD367" s="72">
        <v>1</v>
      </c>
      <c r="CE367" s="72">
        <v>1</v>
      </c>
      <c r="CF367" s="72">
        <v>1</v>
      </c>
      <c r="CG367" s="72">
        <v>1</v>
      </c>
      <c r="CH367" s="72">
        <v>1</v>
      </c>
      <c r="CI367" s="72">
        <v>1</v>
      </c>
      <c r="CJ367" s="72">
        <v>1</v>
      </c>
      <c r="CK367" s="72">
        <v>1</v>
      </c>
      <c r="CL367" s="72">
        <v>1</v>
      </c>
      <c r="CM367" s="72">
        <v>1</v>
      </c>
      <c r="CN367" s="72">
        <v>1</v>
      </c>
      <c r="CO367" s="72">
        <v>1</v>
      </c>
      <c r="CP367" s="72">
        <v>1</v>
      </c>
      <c r="CQ367" s="72">
        <v>1</v>
      </c>
      <c r="CR367" s="72">
        <v>1</v>
      </c>
      <c r="CS367" s="72">
        <v>1</v>
      </c>
      <c r="CT367" s="72">
        <v>1</v>
      </c>
      <c r="CU367" s="72">
        <v>1</v>
      </c>
      <c r="CV367" s="72">
        <v>1</v>
      </c>
      <c r="CW367" s="72">
        <v>1</v>
      </c>
      <c r="CX367" s="72">
        <v>1</v>
      </c>
      <c r="CY367" s="72">
        <v>1</v>
      </c>
      <c r="CZ367" s="72">
        <v>1</v>
      </c>
      <c r="DA367" s="72">
        <v>1</v>
      </c>
      <c r="DB367" s="72">
        <v>1</v>
      </c>
      <c r="DC367" s="72">
        <v>1</v>
      </c>
      <c r="DD367" s="72">
        <v>1</v>
      </c>
      <c r="DE367" s="72">
        <v>1</v>
      </c>
      <c r="DF367" s="72">
        <v>1</v>
      </c>
      <c r="DG367" s="72">
        <v>1</v>
      </c>
      <c r="DH367" s="72">
        <v>1</v>
      </c>
      <c r="DI367" s="72">
        <v>1</v>
      </c>
      <c r="DJ367" s="72">
        <v>1</v>
      </c>
      <c r="DK367" s="72">
        <v>1</v>
      </c>
      <c r="DL367" s="72">
        <v>1</v>
      </c>
      <c r="DM367" s="72">
        <v>1</v>
      </c>
      <c r="DN367" s="72">
        <v>1</v>
      </c>
      <c r="DO367" s="72">
        <v>1</v>
      </c>
      <c r="DP367" s="72">
        <v>1</v>
      </c>
      <c r="DQ367" s="72">
        <v>1</v>
      </c>
    </row>
    <row r="368" spans="1:121" x14ac:dyDescent="0.35">
      <c r="A368" s="7"/>
      <c r="B368" s="8" t="s">
        <v>1243</v>
      </c>
      <c r="C368" s="9" t="s">
        <v>606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/>
      <c r="J368" s="10"/>
      <c r="K368" s="10"/>
      <c r="L368" s="8"/>
      <c r="M368" s="12"/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>
        <v>225</v>
      </c>
      <c r="AT368" s="72">
        <v>245</v>
      </c>
      <c r="AU368" s="72">
        <v>0</v>
      </c>
      <c r="AV368" s="72">
        <v>0</v>
      </c>
      <c r="AW368" s="72">
        <v>0</v>
      </c>
      <c r="AX368" s="72">
        <v>0</v>
      </c>
      <c r="AY368" s="72">
        <v>0</v>
      </c>
      <c r="AZ368" s="72">
        <v>0</v>
      </c>
      <c r="BA368" s="72">
        <v>0</v>
      </c>
      <c r="BB368" s="72">
        <v>0</v>
      </c>
      <c r="BC368" s="72">
        <v>0</v>
      </c>
      <c r="BD368" s="72">
        <v>0</v>
      </c>
      <c r="BE368" s="72">
        <v>0</v>
      </c>
      <c r="BF368" s="72">
        <v>0</v>
      </c>
      <c r="BG368" s="72">
        <v>0</v>
      </c>
      <c r="BH368" s="72">
        <v>0</v>
      </c>
      <c r="BI368" s="72">
        <v>0</v>
      </c>
      <c r="BJ368" s="72">
        <v>0</v>
      </c>
      <c r="BK368" s="72">
        <v>0</v>
      </c>
      <c r="BL368" s="72">
        <v>0</v>
      </c>
      <c r="BM368" s="72">
        <v>0</v>
      </c>
      <c r="BN368" s="72">
        <v>0</v>
      </c>
      <c r="BO368" s="72">
        <v>0</v>
      </c>
      <c r="BP368" s="72">
        <v>0</v>
      </c>
      <c r="BQ368" s="72">
        <v>0</v>
      </c>
      <c r="BR368" s="72">
        <v>0</v>
      </c>
      <c r="BS368" s="72">
        <v>0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20</v>
      </c>
      <c r="CK368" s="72">
        <v>20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</row>
    <row r="369" spans="1:121" x14ac:dyDescent="0.35">
      <c r="A369" s="7"/>
      <c r="B369" s="8" t="s">
        <v>607</v>
      </c>
      <c r="C369" s="9" t="s">
        <v>608</v>
      </c>
      <c r="D369" s="10" t="s">
        <v>594</v>
      </c>
      <c r="E369" s="8" t="s">
        <v>1206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/>
      <c r="L369" s="8"/>
      <c r="M369" s="12">
        <v>559.26</v>
      </c>
      <c r="N369" s="12">
        <f t="shared" si="8"/>
        <v>559.26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  <c r="DH369" s="72">
        <v>1</v>
      </c>
      <c r="DI369" s="72">
        <v>1</v>
      </c>
      <c r="DJ369" s="72">
        <v>1</v>
      </c>
      <c r="DK369" s="72">
        <v>1</v>
      </c>
      <c r="DL369" s="72">
        <v>1</v>
      </c>
      <c r="DM369" s="72">
        <v>1</v>
      </c>
      <c r="DN369" s="72">
        <v>1</v>
      </c>
      <c r="DO369" s="72">
        <v>1</v>
      </c>
      <c r="DP369" s="72">
        <v>1</v>
      </c>
      <c r="DQ369" s="72">
        <v>1</v>
      </c>
    </row>
    <row r="370" spans="1:121" x14ac:dyDescent="0.35">
      <c r="A370" s="7"/>
      <c r="B370" s="8" t="s">
        <v>609</v>
      </c>
      <c r="C370" s="9" t="s">
        <v>610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1</v>
      </c>
      <c r="J370" s="10"/>
      <c r="K370" s="10"/>
      <c r="L370" s="8"/>
      <c r="M370" s="12"/>
      <c r="N370" s="12">
        <f t="shared" si="8"/>
        <v>0</v>
      </c>
      <c r="O370" s="11">
        <v>1</v>
      </c>
      <c r="P370" s="11">
        <v>1</v>
      </c>
      <c r="Q370" s="11">
        <v>1</v>
      </c>
      <c r="R370" s="11">
        <v>1</v>
      </c>
      <c r="S370" s="11">
        <v>1</v>
      </c>
      <c r="T370" s="11">
        <v>1</v>
      </c>
      <c r="U370" s="11">
        <v>1</v>
      </c>
      <c r="V370" s="11">
        <v>1</v>
      </c>
      <c r="W370" s="11">
        <v>1</v>
      </c>
      <c r="X370" s="11">
        <v>1</v>
      </c>
      <c r="Y370" s="11">
        <v>1</v>
      </c>
      <c r="Z370" s="11">
        <v>1</v>
      </c>
      <c r="AA370" s="11">
        <v>1</v>
      </c>
      <c r="AB370" s="11">
        <v>1</v>
      </c>
      <c r="AC370" s="11">
        <v>1</v>
      </c>
      <c r="AD370" s="11">
        <v>1</v>
      </c>
      <c r="AE370" s="11">
        <v>1</v>
      </c>
      <c r="AF370" s="11">
        <v>1</v>
      </c>
      <c r="AG370" s="11">
        <v>1</v>
      </c>
      <c r="AH370" s="11">
        <v>1</v>
      </c>
      <c r="AI370" s="11">
        <v>1</v>
      </c>
      <c r="AJ370" s="11">
        <v>1</v>
      </c>
      <c r="AK370" s="11">
        <v>1</v>
      </c>
      <c r="AL370" s="11">
        <v>1</v>
      </c>
      <c r="AM370" s="11">
        <v>1</v>
      </c>
      <c r="AN370" s="72">
        <v>1</v>
      </c>
      <c r="AO370" s="72">
        <v>1</v>
      </c>
      <c r="AP370" s="72">
        <v>1</v>
      </c>
      <c r="AQ370" s="72">
        <v>1</v>
      </c>
      <c r="AR370" s="72">
        <v>1</v>
      </c>
      <c r="AS370" s="72">
        <v>1</v>
      </c>
      <c r="AT370" s="72">
        <v>1</v>
      </c>
      <c r="AU370" s="72">
        <v>1</v>
      </c>
      <c r="AV370" s="72">
        <v>1</v>
      </c>
      <c r="AW370" s="72">
        <v>1</v>
      </c>
      <c r="AX370" s="72">
        <v>1</v>
      </c>
      <c r="AY370" s="72">
        <v>1</v>
      </c>
      <c r="AZ370" s="72">
        <v>1</v>
      </c>
      <c r="BA370" s="72">
        <v>1</v>
      </c>
      <c r="BB370" s="72">
        <v>1</v>
      </c>
      <c r="BC370" s="72">
        <v>1</v>
      </c>
      <c r="BD370" s="72">
        <v>1</v>
      </c>
      <c r="BE370" s="72">
        <v>1</v>
      </c>
      <c r="BF370" s="72">
        <v>1</v>
      </c>
      <c r="BG370" s="72">
        <v>1</v>
      </c>
      <c r="BH370" s="72">
        <v>1</v>
      </c>
      <c r="BI370" s="72">
        <v>1</v>
      </c>
      <c r="BJ370" s="72">
        <v>1</v>
      </c>
      <c r="BK370" s="72">
        <v>1</v>
      </c>
      <c r="BL370" s="72">
        <v>1</v>
      </c>
      <c r="BM370" s="72">
        <v>1</v>
      </c>
      <c r="BN370" s="72">
        <v>1</v>
      </c>
      <c r="BO370" s="72">
        <v>1</v>
      </c>
      <c r="BP370" s="72">
        <v>1</v>
      </c>
      <c r="BQ370" s="72">
        <v>1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1</v>
      </c>
      <c r="CS370" s="72">
        <v>1</v>
      </c>
      <c r="CT370" s="72">
        <v>1</v>
      </c>
      <c r="CU370" s="72">
        <v>1</v>
      </c>
      <c r="CV370" s="72">
        <v>1</v>
      </c>
      <c r="CW370" s="72">
        <v>1</v>
      </c>
      <c r="CX370" s="72">
        <v>1</v>
      </c>
      <c r="CY370" s="72">
        <v>1</v>
      </c>
      <c r="CZ370" s="72">
        <v>1</v>
      </c>
      <c r="DA370" s="72">
        <v>1</v>
      </c>
      <c r="DB370" s="72">
        <v>1</v>
      </c>
      <c r="DC370" s="72">
        <v>1</v>
      </c>
      <c r="DD370" s="72">
        <v>1</v>
      </c>
      <c r="DE370" s="72">
        <v>1</v>
      </c>
      <c r="DF370" s="72">
        <v>1</v>
      </c>
      <c r="DG370" s="72">
        <v>1</v>
      </c>
      <c r="DH370" s="72">
        <v>1</v>
      </c>
      <c r="DI370" s="72">
        <v>1</v>
      </c>
      <c r="DJ370" s="72">
        <v>1</v>
      </c>
      <c r="DK370" s="72">
        <v>1</v>
      </c>
      <c r="DL370" s="72">
        <v>1</v>
      </c>
      <c r="DM370" s="72">
        <v>1</v>
      </c>
      <c r="DN370" s="72">
        <v>1</v>
      </c>
      <c r="DO370" s="72">
        <v>1</v>
      </c>
      <c r="DP370" s="72">
        <v>1</v>
      </c>
      <c r="DQ370" s="72">
        <v>1</v>
      </c>
    </row>
    <row r="371" spans="1:121" x14ac:dyDescent="0.35">
      <c r="A371" s="7"/>
      <c r="B371" s="8" t="s">
        <v>611</v>
      </c>
      <c r="C371" s="9" t="s">
        <v>612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2</v>
      </c>
      <c r="J371" s="10"/>
      <c r="K371" s="10"/>
      <c r="L371" s="8"/>
      <c r="M371" s="12">
        <v>249</v>
      </c>
      <c r="N371" s="12">
        <f t="shared" si="8"/>
        <v>0</v>
      </c>
      <c r="O371" s="11">
        <v>2</v>
      </c>
      <c r="P371" s="11">
        <v>2</v>
      </c>
      <c r="Q371" s="11">
        <v>2</v>
      </c>
      <c r="R371" s="11">
        <v>2</v>
      </c>
      <c r="S371" s="11">
        <v>2</v>
      </c>
      <c r="T371" s="11">
        <v>2</v>
      </c>
      <c r="U371" s="11">
        <v>2</v>
      </c>
      <c r="V371" s="11">
        <v>2</v>
      </c>
      <c r="W371" s="11">
        <v>2</v>
      </c>
      <c r="X371" s="11">
        <v>2</v>
      </c>
      <c r="Y371" s="11">
        <v>2</v>
      </c>
      <c r="Z371" s="11">
        <v>2</v>
      </c>
      <c r="AA371" s="11">
        <v>2</v>
      </c>
      <c r="AB371" s="11">
        <v>2</v>
      </c>
      <c r="AC371" s="11">
        <v>2</v>
      </c>
      <c r="AD371" s="11">
        <v>2</v>
      </c>
      <c r="AE371" s="11">
        <v>2</v>
      </c>
      <c r="AF371" s="11">
        <v>2</v>
      </c>
      <c r="AG371" s="11">
        <v>2</v>
      </c>
      <c r="AH371" s="11">
        <v>2</v>
      </c>
      <c r="AI371" s="11">
        <v>2</v>
      </c>
      <c r="AJ371" s="11">
        <v>2</v>
      </c>
      <c r="AK371" s="11">
        <v>2</v>
      </c>
      <c r="AL371" s="11">
        <v>2</v>
      </c>
      <c r="AM371" s="11">
        <v>2</v>
      </c>
      <c r="AN371" s="72">
        <v>2</v>
      </c>
      <c r="AO371" s="72">
        <v>2</v>
      </c>
      <c r="AP371" s="72">
        <v>2</v>
      </c>
      <c r="AQ371" s="72">
        <v>2</v>
      </c>
      <c r="AR371" s="72">
        <v>2</v>
      </c>
      <c r="AS371" s="72">
        <v>2</v>
      </c>
      <c r="AT371" s="72">
        <v>2</v>
      </c>
      <c r="AU371" s="72">
        <v>2</v>
      </c>
      <c r="AV371" s="72">
        <v>2</v>
      </c>
      <c r="AW371" s="72">
        <v>2</v>
      </c>
      <c r="AX371" s="72">
        <v>2</v>
      </c>
      <c r="AY371" s="72">
        <v>2</v>
      </c>
      <c r="AZ371" s="72">
        <v>2</v>
      </c>
      <c r="BA371" s="72">
        <v>2</v>
      </c>
      <c r="BB371" s="72">
        <v>2</v>
      </c>
      <c r="BC371" s="72">
        <v>2</v>
      </c>
      <c r="BD371" s="72">
        <v>2</v>
      </c>
      <c r="BE371" s="72">
        <v>2</v>
      </c>
      <c r="BF371" s="72">
        <v>2</v>
      </c>
      <c r="BG371" s="72">
        <v>2</v>
      </c>
      <c r="BH371" s="72">
        <v>2</v>
      </c>
      <c r="BI371" s="72">
        <v>2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0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0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0</v>
      </c>
      <c r="CK371" s="72">
        <v>0</v>
      </c>
      <c r="CL371" s="72">
        <v>0</v>
      </c>
      <c r="CM371" s="72">
        <v>0</v>
      </c>
      <c r="CN371" s="72">
        <v>0</v>
      </c>
      <c r="CO371" s="72">
        <v>0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</row>
    <row r="372" spans="1:121" x14ac:dyDescent="0.35">
      <c r="A372" s="7"/>
      <c r="B372" s="8" t="s">
        <v>613</v>
      </c>
      <c r="C372" s="9" t="s">
        <v>614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100</v>
      </c>
      <c r="J372" s="10"/>
      <c r="K372" s="10"/>
      <c r="L372" s="8"/>
      <c r="M372" s="12">
        <v>264.27</v>
      </c>
      <c r="N372" s="12">
        <f t="shared" si="8"/>
        <v>2114.16</v>
      </c>
      <c r="O372" s="11">
        <v>25</v>
      </c>
      <c r="P372" s="11">
        <v>25</v>
      </c>
      <c r="Q372" s="11">
        <v>25</v>
      </c>
      <c r="R372" s="11">
        <v>25</v>
      </c>
      <c r="S372" s="11">
        <v>25</v>
      </c>
      <c r="T372" s="11">
        <v>0</v>
      </c>
      <c r="U372" s="11">
        <v>0</v>
      </c>
      <c r="V372" s="11">
        <v>0</v>
      </c>
      <c r="W372" s="11">
        <v>0</v>
      </c>
      <c r="X372" s="11">
        <v>0</v>
      </c>
      <c r="Y372" s="11">
        <v>0</v>
      </c>
      <c r="Z372" s="11">
        <v>0</v>
      </c>
      <c r="AA372" s="11">
        <v>0</v>
      </c>
      <c r="AB372" s="11">
        <v>150</v>
      </c>
      <c r="AC372" s="11">
        <v>148</v>
      </c>
      <c r="AD372" s="11">
        <v>148</v>
      </c>
      <c r="AE372" s="11">
        <v>118</v>
      </c>
      <c r="AF372" s="11">
        <v>117</v>
      </c>
      <c r="AG372" s="11">
        <v>118</v>
      </c>
      <c r="AH372" s="11">
        <v>118</v>
      </c>
      <c r="AI372" s="11">
        <v>118</v>
      </c>
      <c r="AJ372" s="11">
        <v>100</v>
      </c>
      <c r="AK372" s="11">
        <v>100</v>
      </c>
      <c r="AL372" s="11">
        <v>100</v>
      </c>
      <c r="AM372" s="11">
        <v>100</v>
      </c>
      <c r="AN372" s="72">
        <v>97</v>
      </c>
      <c r="AO372" s="72">
        <v>197</v>
      </c>
      <c r="AP372" s="72">
        <v>193</v>
      </c>
      <c r="AQ372" s="72">
        <v>183</v>
      </c>
      <c r="AR372" s="72">
        <v>183</v>
      </c>
      <c r="AS372" s="72">
        <v>183</v>
      </c>
      <c r="AT372" s="72">
        <v>183</v>
      </c>
      <c r="AU372" s="72">
        <v>183</v>
      </c>
      <c r="AV372" s="72">
        <v>183</v>
      </c>
      <c r="AW372" s="72">
        <v>157</v>
      </c>
      <c r="AX372" s="72">
        <v>157</v>
      </c>
      <c r="AY372" s="72">
        <v>157</v>
      </c>
      <c r="AZ372" s="72">
        <v>157</v>
      </c>
      <c r="BA372" s="72">
        <v>157</v>
      </c>
      <c r="BB372" s="72">
        <v>157</v>
      </c>
      <c r="BC372" s="72">
        <v>157</v>
      </c>
      <c r="BD372" s="72">
        <v>155</v>
      </c>
      <c r="BE372" s="72">
        <v>139</v>
      </c>
      <c r="BF372" s="72">
        <v>132</v>
      </c>
      <c r="BG372" s="72">
        <v>132</v>
      </c>
      <c r="BH372" s="72">
        <v>112</v>
      </c>
      <c r="BI372" s="72">
        <v>112</v>
      </c>
      <c r="BJ372" s="72">
        <v>112</v>
      </c>
      <c r="BK372" s="72">
        <v>112</v>
      </c>
      <c r="BL372" s="72">
        <v>112</v>
      </c>
      <c r="BM372" s="72">
        <v>112</v>
      </c>
      <c r="BN372" s="72">
        <v>112</v>
      </c>
      <c r="BO372" s="72">
        <v>102</v>
      </c>
      <c r="BP372" s="72">
        <v>102</v>
      </c>
      <c r="BQ372" s="72">
        <v>98</v>
      </c>
      <c r="BR372" s="72">
        <v>93</v>
      </c>
      <c r="BS372" s="72">
        <v>77</v>
      </c>
      <c r="BT372" s="72">
        <v>77</v>
      </c>
      <c r="BU372" s="72">
        <v>77</v>
      </c>
      <c r="BV372" s="72">
        <v>77</v>
      </c>
      <c r="BW372" s="72">
        <v>77</v>
      </c>
      <c r="BX372" s="72">
        <v>77</v>
      </c>
      <c r="BY372" s="72">
        <v>77</v>
      </c>
      <c r="BZ372" s="72">
        <v>77</v>
      </c>
      <c r="CA372" s="72">
        <v>77</v>
      </c>
      <c r="CB372" s="72">
        <v>77</v>
      </c>
      <c r="CC372" s="72">
        <v>77</v>
      </c>
      <c r="CD372" s="72">
        <v>77</v>
      </c>
      <c r="CE372" s="72">
        <v>56</v>
      </c>
      <c r="CF372" s="72">
        <v>56</v>
      </c>
      <c r="CG372" s="72">
        <v>56</v>
      </c>
      <c r="CH372" s="72">
        <v>56</v>
      </c>
      <c r="CI372" s="72">
        <v>56</v>
      </c>
      <c r="CJ372" s="72">
        <v>32</v>
      </c>
      <c r="CK372" s="72">
        <v>32</v>
      </c>
      <c r="CL372" s="72">
        <v>28</v>
      </c>
      <c r="CM372" s="72">
        <v>28</v>
      </c>
      <c r="CN372" s="72">
        <v>28</v>
      </c>
      <c r="CO372" s="72">
        <v>26</v>
      </c>
      <c r="CP372" s="72">
        <v>26</v>
      </c>
      <c r="CQ372" s="72">
        <v>26</v>
      </c>
      <c r="CR372" s="72">
        <v>26</v>
      </c>
      <c r="CS372" s="72">
        <v>26</v>
      </c>
      <c r="CT372" s="72">
        <v>26</v>
      </c>
      <c r="CU372" s="72">
        <v>26</v>
      </c>
      <c r="CV372" s="72">
        <v>27</v>
      </c>
      <c r="CW372" s="72">
        <v>27</v>
      </c>
      <c r="CX372" s="72">
        <v>27</v>
      </c>
      <c r="CY372" s="72">
        <v>27</v>
      </c>
      <c r="CZ372" s="72">
        <v>27</v>
      </c>
      <c r="DA372" s="72">
        <v>27</v>
      </c>
      <c r="DB372" s="72">
        <v>26</v>
      </c>
      <c r="DC372" s="72">
        <v>26</v>
      </c>
      <c r="DD372" s="72">
        <v>25</v>
      </c>
      <c r="DE372" s="72">
        <v>23</v>
      </c>
      <c r="DF372" s="72">
        <v>23</v>
      </c>
      <c r="DG372" s="72">
        <v>23</v>
      </c>
      <c r="DH372" s="72">
        <v>23</v>
      </c>
      <c r="DI372" s="72">
        <v>8</v>
      </c>
      <c r="DJ372" s="72">
        <v>8</v>
      </c>
      <c r="DK372" s="72">
        <v>8</v>
      </c>
      <c r="DL372" s="72">
        <v>8</v>
      </c>
      <c r="DM372" s="72">
        <v>8</v>
      </c>
      <c r="DN372" s="72">
        <v>8</v>
      </c>
      <c r="DO372" s="72">
        <v>8</v>
      </c>
      <c r="DP372" s="72">
        <v>8</v>
      </c>
      <c r="DQ372" s="72">
        <v>8</v>
      </c>
    </row>
    <row r="373" spans="1:121" x14ac:dyDescent="0.35">
      <c r="A373" s="7"/>
      <c r="B373" s="8" t="s">
        <v>615</v>
      </c>
      <c r="C373" s="9" t="s">
        <v>616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>
        <v>3</v>
      </c>
      <c r="K373" s="10" t="s">
        <v>53</v>
      </c>
      <c r="L373" s="14" t="s">
        <v>617</v>
      </c>
      <c r="M373" s="12">
        <v>392.16</v>
      </c>
      <c r="N373" s="12">
        <f t="shared" si="8"/>
        <v>55294.560000000005</v>
      </c>
      <c r="O373" s="11">
        <v>39</v>
      </c>
      <c r="P373" s="11">
        <v>39</v>
      </c>
      <c r="Q373" s="11">
        <v>69</v>
      </c>
      <c r="R373" s="11">
        <v>68</v>
      </c>
      <c r="S373" s="11">
        <v>68</v>
      </c>
      <c r="T373" s="11">
        <v>62</v>
      </c>
      <c r="U373" s="11">
        <v>30</v>
      </c>
      <c r="V373" s="11">
        <v>33</v>
      </c>
      <c r="W373" s="11">
        <v>1</v>
      </c>
      <c r="X373" s="11">
        <v>1</v>
      </c>
      <c r="Y373" s="11">
        <v>1</v>
      </c>
      <c r="Z373" s="11">
        <v>6</v>
      </c>
      <c r="AA373" s="11">
        <v>6</v>
      </c>
      <c r="AB373" s="11">
        <v>6</v>
      </c>
      <c r="AC373" s="11">
        <v>6</v>
      </c>
      <c r="AD373" s="11">
        <v>6</v>
      </c>
      <c r="AE373" s="11">
        <v>3</v>
      </c>
      <c r="AF373" s="11">
        <v>2</v>
      </c>
      <c r="AG373" s="11">
        <v>3</v>
      </c>
      <c r="AH373" s="11">
        <v>3</v>
      </c>
      <c r="AI373" s="11">
        <v>4</v>
      </c>
      <c r="AJ373" s="11">
        <v>4</v>
      </c>
      <c r="AK373" s="11">
        <v>4</v>
      </c>
      <c r="AL373" s="11">
        <v>3</v>
      </c>
      <c r="AM373" s="11">
        <v>3</v>
      </c>
      <c r="AN373" s="72">
        <v>2</v>
      </c>
      <c r="AO373" s="72">
        <v>3</v>
      </c>
      <c r="AP373" s="72">
        <v>3</v>
      </c>
      <c r="AQ373" s="72">
        <v>3</v>
      </c>
      <c r="AR373" s="72">
        <v>21</v>
      </c>
      <c r="AS373" s="72">
        <v>4</v>
      </c>
      <c r="AT373" s="72">
        <v>1</v>
      </c>
      <c r="AU373" s="72">
        <v>1</v>
      </c>
      <c r="AV373" s="72">
        <v>1</v>
      </c>
      <c r="AW373" s="72">
        <v>61</v>
      </c>
      <c r="AX373" s="72">
        <v>61</v>
      </c>
      <c r="AY373" s="72">
        <v>29</v>
      </c>
      <c r="AZ373" s="72">
        <v>29</v>
      </c>
      <c r="BA373" s="72">
        <v>28</v>
      </c>
      <c r="BB373" s="72">
        <v>28</v>
      </c>
      <c r="BC373" s="72">
        <v>28</v>
      </c>
      <c r="BD373" s="72">
        <v>28</v>
      </c>
      <c r="BE373" s="72">
        <v>28</v>
      </c>
      <c r="BF373" s="72">
        <v>28</v>
      </c>
      <c r="BG373" s="72">
        <v>28</v>
      </c>
      <c r="BH373" s="72">
        <v>28</v>
      </c>
      <c r="BI373" s="72">
        <v>28</v>
      </c>
      <c r="BJ373" s="72">
        <v>28</v>
      </c>
      <c r="BK373" s="72">
        <v>28</v>
      </c>
      <c r="BL373" s="72">
        <v>28</v>
      </c>
      <c r="BM373" s="72">
        <v>27</v>
      </c>
      <c r="BN373" s="72">
        <v>28</v>
      </c>
      <c r="BO373" s="72">
        <v>58</v>
      </c>
      <c r="BP373" s="72">
        <v>21</v>
      </c>
      <c r="BQ373" s="72">
        <v>21</v>
      </c>
      <c r="BR373" s="72">
        <v>6</v>
      </c>
      <c r="BS373" s="72">
        <v>2</v>
      </c>
      <c r="BT373" s="72">
        <v>2</v>
      </c>
      <c r="BU373" s="72">
        <v>2</v>
      </c>
      <c r="BV373" s="72">
        <v>2</v>
      </c>
      <c r="BW373" s="72">
        <v>2</v>
      </c>
      <c r="BX373" s="72">
        <v>2</v>
      </c>
      <c r="BY373" s="72">
        <v>2</v>
      </c>
      <c r="BZ373" s="72">
        <v>2</v>
      </c>
      <c r="CA373" s="72">
        <v>2</v>
      </c>
      <c r="CB373" s="72">
        <v>2</v>
      </c>
      <c r="CC373" s="72">
        <v>2</v>
      </c>
      <c r="CD373" s="72">
        <v>2</v>
      </c>
      <c r="CE373" s="72">
        <v>2</v>
      </c>
      <c r="CF373" s="72">
        <v>2</v>
      </c>
      <c r="CG373" s="72">
        <v>2</v>
      </c>
      <c r="CH373" s="72">
        <v>2</v>
      </c>
      <c r="CI373" s="72">
        <v>2</v>
      </c>
      <c r="CJ373" s="72">
        <v>34</v>
      </c>
      <c r="CK373" s="72">
        <v>24</v>
      </c>
      <c r="CL373" s="72">
        <v>57</v>
      </c>
      <c r="CM373" s="72">
        <v>44</v>
      </c>
      <c r="CN373" s="72">
        <v>44</v>
      </c>
      <c r="CO373" s="72">
        <v>43</v>
      </c>
      <c r="CP373" s="72">
        <v>43</v>
      </c>
      <c r="CQ373" s="72">
        <v>43</v>
      </c>
      <c r="CR373" s="72">
        <v>88</v>
      </c>
      <c r="CS373" s="72">
        <v>48</v>
      </c>
      <c r="CT373" s="72">
        <v>48</v>
      </c>
      <c r="CU373" s="72">
        <v>31</v>
      </c>
      <c r="CV373" s="72">
        <v>31</v>
      </c>
      <c r="CW373" s="72">
        <v>29</v>
      </c>
      <c r="CX373" s="72">
        <v>29</v>
      </c>
      <c r="CY373" s="72">
        <v>134</v>
      </c>
      <c r="CZ373" s="72">
        <v>134</v>
      </c>
      <c r="DA373" s="72">
        <v>130</v>
      </c>
      <c r="DB373" s="72">
        <v>130</v>
      </c>
      <c r="DC373" s="72">
        <v>129</v>
      </c>
      <c r="DD373" s="72">
        <v>129</v>
      </c>
      <c r="DE373" s="72">
        <v>129</v>
      </c>
      <c r="DF373" s="72">
        <v>107</v>
      </c>
      <c r="DG373" s="72">
        <v>107</v>
      </c>
      <c r="DH373" s="72">
        <v>75</v>
      </c>
      <c r="DI373" s="72">
        <v>75</v>
      </c>
      <c r="DJ373" s="72">
        <v>75</v>
      </c>
      <c r="DK373" s="72">
        <v>75</v>
      </c>
      <c r="DL373" s="72">
        <v>87</v>
      </c>
      <c r="DM373" s="72">
        <v>87</v>
      </c>
      <c r="DN373" s="72">
        <v>87</v>
      </c>
      <c r="DO373" s="72">
        <v>73</v>
      </c>
      <c r="DP373" s="72">
        <v>72</v>
      </c>
      <c r="DQ373" s="72">
        <f>72+69</f>
        <v>141</v>
      </c>
    </row>
    <row r="374" spans="1:121" x14ac:dyDescent="0.35">
      <c r="A374" s="7"/>
      <c r="B374" s="77" t="s">
        <v>1268</v>
      </c>
      <c r="C374" s="9" t="s">
        <v>1277</v>
      </c>
      <c r="D374" s="10" t="s">
        <v>594</v>
      </c>
      <c r="E374" s="8" t="s">
        <v>1206</v>
      </c>
      <c r="F374" s="10"/>
      <c r="G374" s="10"/>
      <c r="H374" s="10" t="s">
        <v>41</v>
      </c>
      <c r="I374" s="11"/>
      <c r="J374" s="10"/>
      <c r="K374" s="10"/>
      <c r="L374" s="14"/>
      <c r="M374" s="12"/>
      <c r="N374" s="12">
        <f t="shared" si="8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>
        <v>4</v>
      </c>
      <c r="AX374" s="72">
        <v>4</v>
      </c>
      <c r="AY374" s="72">
        <v>4</v>
      </c>
      <c r="AZ374" s="72">
        <v>4</v>
      </c>
      <c r="BA374" s="72">
        <v>4</v>
      </c>
      <c r="BB374" s="72">
        <v>4</v>
      </c>
      <c r="BC374" s="72">
        <v>4</v>
      </c>
      <c r="BD374" s="72">
        <v>4</v>
      </c>
      <c r="BE374" s="72">
        <v>4</v>
      </c>
      <c r="BF374" s="72">
        <v>4</v>
      </c>
      <c r="BG374" s="72">
        <v>4</v>
      </c>
      <c r="BH374" s="72">
        <v>4</v>
      </c>
      <c r="BI374" s="72">
        <v>4</v>
      </c>
      <c r="BJ374" s="72">
        <v>4</v>
      </c>
      <c r="BK374" s="72">
        <v>4</v>
      </c>
      <c r="BL374" s="72">
        <v>4</v>
      </c>
      <c r="BM374" s="72">
        <v>4</v>
      </c>
      <c r="BN374" s="72">
        <v>4</v>
      </c>
      <c r="BO374" s="72">
        <v>4</v>
      </c>
      <c r="BP374" s="72">
        <v>4</v>
      </c>
      <c r="BQ374" s="72">
        <v>4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</row>
    <row r="375" spans="1:121" x14ac:dyDescent="0.35">
      <c r="A375" s="7"/>
      <c r="B375" s="8" t="s">
        <v>618</v>
      </c>
      <c r="C375" s="9" t="s">
        <v>619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27</v>
      </c>
      <c r="J375" s="10"/>
      <c r="K375" s="10"/>
      <c r="L375" s="14" t="s">
        <v>620</v>
      </c>
      <c r="M375" s="12">
        <v>350</v>
      </c>
      <c r="N375" s="12">
        <f t="shared" si="8"/>
        <v>2800</v>
      </c>
      <c r="O375" s="11">
        <v>62</v>
      </c>
      <c r="P375" s="11">
        <v>62</v>
      </c>
      <c r="Q375" s="11">
        <v>62</v>
      </c>
      <c r="R375" s="11">
        <v>62</v>
      </c>
      <c r="S375" s="11">
        <v>62</v>
      </c>
      <c r="T375" s="11">
        <v>62</v>
      </c>
      <c r="U375" s="11">
        <v>0</v>
      </c>
      <c r="V375" s="11">
        <v>1</v>
      </c>
      <c r="W375" s="11">
        <v>4</v>
      </c>
      <c r="X375" s="11">
        <v>4</v>
      </c>
      <c r="Y375" s="11">
        <v>4</v>
      </c>
      <c r="Z375" s="11">
        <v>4</v>
      </c>
      <c r="AA375" s="11">
        <v>4</v>
      </c>
      <c r="AB375" s="11">
        <v>42</v>
      </c>
      <c r="AC375" s="11">
        <v>42</v>
      </c>
      <c r="AD375" s="11">
        <v>52</v>
      </c>
      <c r="AE375" s="11">
        <v>27</v>
      </c>
      <c r="AF375" s="11">
        <v>27</v>
      </c>
      <c r="AG375" s="11">
        <v>27</v>
      </c>
      <c r="AH375" s="11">
        <v>27</v>
      </c>
      <c r="AI375" s="11">
        <v>27</v>
      </c>
      <c r="AJ375" s="11">
        <v>27</v>
      </c>
      <c r="AK375" s="11">
        <v>27</v>
      </c>
      <c r="AL375" s="11">
        <v>27</v>
      </c>
      <c r="AM375" s="11">
        <v>27</v>
      </c>
      <c r="AN375" s="72">
        <v>27</v>
      </c>
      <c r="AO375" s="72">
        <v>27</v>
      </c>
      <c r="AP375" s="72">
        <v>27</v>
      </c>
      <c r="AQ375" s="72">
        <v>27</v>
      </c>
      <c r="AR375" s="72">
        <v>27</v>
      </c>
      <c r="AS375" s="72">
        <v>27</v>
      </c>
      <c r="AT375" s="72">
        <v>27</v>
      </c>
      <c r="AU375" s="72">
        <v>27</v>
      </c>
      <c r="AV375" s="72">
        <v>27</v>
      </c>
      <c r="AW375" s="72">
        <v>64</v>
      </c>
      <c r="AX375" s="72">
        <v>64</v>
      </c>
      <c r="AY375" s="72">
        <v>64</v>
      </c>
      <c r="AZ375" s="72">
        <v>64</v>
      </c>
      <c r="BA375" s="72">
        <v>64</v>
      </c>
      <c r="BB375" s="72">
        <v>61</v>
      </c>
      <c r="BC375" s="72">
        <v>61</v>
      </c>
      <c r="BD375" s="72">
        <v>61</v>
      </c>
      <c r="BE375" s="72">
        <v>58</v>
      </c>
      <c r="BF375" s="72">
        <v>58</v>
      </c>
      <c r="BG375" s="72">
        <v>58</v>
      </c>
      <c r="BH375" s="72">
        <v>46</v>
      </c>
      <c r="BI375" s="72">
        <v>46</v>
      </c>
      <c r="BJ375" s="72">
        <v>46</v>
      </c>
      <c r="BK375" s="72">
        <v>48</v>
      </c>
      <c r="BL375" s="72">
        <v>48</v>
      </c>
      <c r="BM375" s="72">
        <v>40</v>
      </c>
      <c r="BN375" s="72">
        <v>38</v>
      </c>
      <c r="BO375" s="72">
        <v>40</v>
      </c>
      <c r="BP375" s="72">
        <v>40</v>
      </c>
      <c r="BQ375" s="72">
        <v>2</v>
      </c>
      <c r="BR375" s="72">
        <v>2</v>
      </c>
      <c r="BS375" s="72">
        <v>2</v>
      </c>
      <c r="BT375" s="72">
        <v>2</v>
      </c>
      <c r="BU375" s="72">
        <v>2</v>
      </c>
      <c r="BV375" s="72">
        <v>2</v>
      </c>
      <c r="BW375" s="72">
        <v>2</v>
      </c>
      <c r="BX375" s="72">
        <v>2</v>
      </c>
      <c r="BY375" s="72">
        <v>2</v>
      </c>
      <c r="BZ375" s="72">
        <v>2</v>
      </c>
      <c r="CA375" s="72">
        <v>2</v>
      </c>
      <c r="CB375" s="72">
        <v>2</v>
      </c>
      <c r="CC375" s="72">
        <v>2</v>
      </c>
      <c r="CD375" s="72">
        <v>2</v>
      </c>
      <c r="CE375" s="72">
        <v>2</v>
      </c>
      <c r="CF375" s="72">
        <v>2</v>
      </c>
      <c r="CG375" s="72">
        <v>2</v>
      </c>
      <c r="CH375" s="72">
        <v>2</v>
      </c>
      <c r="CI375" s="72">
        <v>2</v>
      </c>
      <c r="CJ375" s="72">
        <v>2</v>
      </c>
      <c r="CK375" s="72">
        <v>2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>
        <v>8</v>
      </c>
    </row>
    <row r="376" spans="1:121" x14ac:dyDescent="0.35">
      <c r="A376" s="7"/>
      <c r="B376" s="8" t="s">
        <v>621</v>
      </c>
      <c r="C376" s="9" t="s">
        <v>622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 t="s">
        <v>42</v>
      </c>
      <c r="L376" s="8"/>
      <c r="M376" s="12"/>
      <c r="N376" s="12">
        <f t="shared" si="8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  <c r="DM376" s="72">
        <v>1</v>
      </c>
      <c r="DN376" s="72">
        <v>1</v>
      </c>
      <c r="DO376" s="72">
        <v>1</v>
      </c>
      <c r="DP376" s="72">
        <v>1</v>
      </c>
      <c r="DQ376" s="72">
        <v>1</v>
      </c>
    </row>
    <row r="377" spans="1:121" x14ac:dyDescent="0.35">
      <c r="A377" s="7"/>
      <c r="B377" s="8" t="s">
        <v>623</v>
      </c>
      <c r="C377" s="9" t="s">
        <v>624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4</v>
      </c>
      <c r="J377" s="10"/>
      <c r="K377" s="10"/>
      <c r="L377" s="8"/>
      <c r="M377" s="12">
        <v>724.8</v>
      </c>
      <c r="N377" s="12">
        <f t="shared" si="8"/>
        <v>0</v>
      </c>
      <c r="O377" s="11">
        <v>4</v>
      </c>
      <c r="P377" s="11">
        <v>4</v>
      </c>
      <c r="Q377" s="11">
        <v>4</v>
      </c>
      <c r="R377" s="11">
        <v>4</v>
      </c>
      <c r="S377" s="11">
        <v>4</v>
      </c>
      <c r="T377" s="11">
        <v>4</v>
      </c>
      <c r="U377" s="11">
        <v>4</v>
      </c>
      <c r="V377" s="11">
        <v>4</v>
      </c>
      <c r="W377" s="11">
        <v>4</v>
      </c>
      <c r="X377" s="11">
        <v>4</v>
      </c>
      <c r="Y377" s="11">
        <v>4</v>
      </c>
      <c r="Z377" s="11">
        <v>4</v>
      </c>
      <c r="AA377" s="11">
        <v>4</v>
      </c>
      <c r="AB377" s="11">
        <v>4</v>
      </c>
      <c r="AC377" s="11">
        <v>4</v>
      </c>
      <c r="AD377" s="11">
        <v>4</v>
      </c>
      <c r="AE377" s="11">
        <v>4</v>
      </c>
      <c r="AF377" s="11">
        <v>4</v>
      </c>
      <c r="AG377" s="11">
        <v>4</v>
      </c>
      <c r="AH377" s="11">
        <v>4</v>
      </c>
      <c r="AI377" s="11">
        <v>4</v>
      </c>
      <c r="AJ377" s="11">
        <v>4</v>
      </c>
      <c r="AK377" s="11">
        <v>4</v>
      </c>
      <c r="AL377" s="11">
        <v>4</v>
      </c>
      <c r="AM377" s="11">
        <v>4</v>
      </c>
      <c r="AN377" s="72">
        <v>4</v>
      </c>
      <c r="AO377" s="72">
        <v>4</v>
      </c>
      <c r="AP377" s="72">
        <v>4</v>
      </c>
      <c r="AQ377" s="72">
        <v>4</v>
      </c>
      <c r="AR377" s="72">
        <v>4</v>
      </c>
      <c r="AS377" s="72">
        <v>4</v>
      </c>
      <c r="AT377" s="72">
        <v>4</v>
      </c>
      <c r="AU377" s="72">
        <v>4</v>
      </c>
      <c r="AV377" s="72">
        <v>4</v>
      </c>
      <c r="AW377" s="72">
        <v>4</v>
      </c>
      <c r="AX377" s="72">
        <v>4</v>
      </c>
      <c r="AY377" s="72">
        <v>4</v>
      </c>
      <c r="AZ377" s="72">
        <v>4</v>
      </c>
      <c r="BA377" s="72">
        <v>4</v>
      </c>
      <c r="BB377" s="72">
        <v>4</v>
      </c>
      <c r="BC377" s="72">
        <v>4</v>
      </c>
      <c r="BD377" s="72">
        <v>4</v>
      </c>
      <c r="BE377" s="72">
        <v>4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</row>
    <row r="378" spans="1:121" x14ac:dyDescent="0.35">
      <c r="A378" s="7"/>
      <c r="B378" s="8" t="s">
        <v>625</v>
      </c>
      <c r="C378" s="9" t="s">
        <v>626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/>
      <c r="K378" s="10"/>
      <c r="L378" s="8"/>
      <c r="M378" s="12">
        <v>525</v>
      </c>
      <c r="N378" s="12">
        <f t="shared" si="8"/>
        <v>525</v>
      </c>
      <c r="O378" s="11">
        <v>1</v>
      </c>
      <c r="P378" s="11">
        <v>1</v>
      </c>
      <c r="Q378" s="11">
        <v>1</v>
      </c>
      <c r="R378" s="11">
        <v>1</v>
      </c>
      <c r="S378" s="11">
        <v>1</v>
      </c>
      <c r="T378" s="11">
        <v>1</v>
      </c>
      <c r="U378" s="11">
        <v>1</v>
      </c>
      <c r="V378" s="11">
        <v>1</v>
      </c>
      <c r="W378" s="11">
        <v>1</v>
      </c>
      <c r="X378" s="11">
        <v>1</v>
      </c>
      <c r="Y378" s="11">
        <v>1</v>
      </c>
      <c r="Z378" s="11">
        <v>1</v>
      </c>
      <c r="AA378" s="11">
        <v>1</v>
      </c>
      <c r="AB378" s="11">
        <v>1</v>
      </c>
      <c r="AC378" s="11">
        <v>6</v>
      </c>
      <c r="AD378" s="11">
        <v>6</v>
      </c>
      <c r="AE378" s="11">
        <v>6</v>
      </c>
      <c r="AF378" s="11">
        <v>6</v>
      </c>
      <c r="AG378" s="11">
        <v>6</v>
      </c>
      <c r="AH378" s="11">
        <v>6</v>
      </c>
      <c r="AI378" s="11">
        <v>6</v>
      </c>
      <c r="AJ378" s="11">
        <v>4</v>
      </c>
      <c r="AK378" s="11">
        <v>4</v>
      </c>
      <c r="AL378" s="11">
        <v>4</v>
      </c>
      <c r="AM378" s="11">
        <v>4</v>
      </c>
      <c r="AN378" s="72">
        <v>1</v>
      </c>
      <c r="AO378" s="72">
        <v>1</v>
      </c>
      <c r="AP378" s="72">
        <v>1</v>
      </c>
      <c r="AQ378" s="72">
        <v>1</v>
      </c>
      <c r="AR378" s="72">
        <v>1</v>
      </c>
      <c r="AS378" s="72">
        <v>1</v>
      </c>
      <c r="AT378" s="72">
        <v>1</v>
      </c>
      <c r="AU378" s="72">
        <v>1</v>
      </c>
      <c r="AV378" s="72">
        <v>1</v>
      </c>
      <c r="AW378" s="72">
        <v>1</v>
      </c>
      <c r="AX378" s="72">
        <v>1</v>
      </c>
      <c r="AY378" s="72">
        <v>1</v>
      </c>
      <c r="AZ378" s="72">
        <v>1</v>
      </c>
      <c r="BA378" s="72">
        <v>1</v>
      </c>
      <c r="BB378" s="72">
        <v>1</v>
      </c>
      <c r="BC378" s="72">
        <v>1</v>
      </c>
      <c r="BD378" s="72">
        <v>1</v>
      </c>
      <c r="BE378" s="72">
        <v>1</v>
      </c>
      <c r="BF378" s="72">
        <v>1</v>
      </c>
      <c r="BG378" s="72">
        <v>1</v>
      </c>
      <c r="BH378" s="72">
        <v>1</v>
      </c>
      <c r="BI378" s="72">
        <v>1</v>
      </c>
      <c r="BJ378" s="72">
        <v>1</v>
      </c>
      <c r="BK378" s="72">
        <v>1</v>
      </c>
      <c r="BL378" s="72">
        <v>1</v>
      </c>
      <c r="BM378" s="72">
        <v>1</v>
      </c>
      <c r="BN378" s="72">
        <v>1</v>
      </c>
      <c r="BO378" s="72">
        <v>1</v>
      </c>
      <c r="BP378" s="72">
        <v>1</v>
      </c>
      <c r="BQ378" s="72">
        <v>1</v>
      </c>
      <c r="BR378" s="72">
        <v>1</v>
      </c>
      <c r="BS378" s="72">
        <v>1</v>
      </c>
      <c r="BT378" s="72">
        <v>1</v>
      </c>
      <c r="BU378" s="72">
        <v>1</v>
      </c>
      <c r="BV378" s="72">
        <v>1</v>
      </c>
      <c r="BW378" s="72">
        <v>1</v>
      </c>
      <c r="BX378" s="72">
        <v>1</v>
      </c>
      <c r="BY378" s="72">
        <v>1</v>
      </c>
      <c r="BZ378" s="72">
        <v>1</v>
      </c>
      <c r="CA378" s="72">
        <v>1</v>
      </c>
      <c r="CB378" s="72">
        <v>1</v>
      </c>
      <c r="CC378" s="72">
        <v>1</v>
      </c>
      <c r="CD378" s="72">
        <v>1</v>
      </c>
      <c r="CE378" s="72">
        <v>1</v>
      </c>
      <c r="CF378" s="72">
        <v>1</v>
      </c>
      <c r="CG378" s="72">
        <v>1</v>
      </c>
      <c r="CH378" s="72">
        <v>1</v>
      </c>
      <c r="CI378" s="72">
        <v>1</v>
      </c>
      <c r="CJ378" s="72">
        <v>1</v>
      </c>
      <c r="CK378" s="72">
        <v>1</v>
      </c>
      <c r="CL378" s="72">
        <v>1</v>
      </c>
      <c r="CM378" s="72">
        <v>1</v>
      </c>
      <c r="CN378" s="72">
        <v>1</v>
      </c>
      <c r="CO378" s="72">
        <v>1</v>
      </c>
      <c r="CP378" s="72">
        <v>1</v>
      </c>
      <c r="CQ378" s="72">
        <v>1</v>
      </c>
      <c r="CR378" s="72">
        <v>1</v>
      </c>
      <c r="CS378" s="72">
        <v>1</v>
      </c>
      <c r="CT378" s="72">
        <v>1</v>
      </c>
      <c r="CU378" s="72">
        <v>1</v>
      </c>
      <c r="CV378" s="72">
        <v>1</v>
      </c>
      <c r="CW378" s="72">
        <v>1</v>
      </c>
      <c r="CX378" s="72">
        <v>1</v>
      </c>
      <c r="CY378" s="72">
        <v>1</v>
      </c>
      <c r="CZ378" s="72">
        <v>1</v>
      </c>
      <c r="DA378" s="72">
        <v>1</v>
      </c>
      <c r="DB378" s="72">
        <v>1</v>
      </c>
      <c r="DC378" s="72">
        <v>1</v>
      </c>
      <c r="DD378" s="72">
        <v>1</v>
      </c>
      <c r="DE378" s="72">
        <v>1</v>
      </c>
      <c r="DF378" s="72">
        <v>1</v>
      </c>
      <c r="DG378" s="72">
        <v>1</v>
      </c>
      <c r="DH378" s="72">
        <v>1</v>
      </c>
      <c r="DI378" s="72">
        <v>1</v>
      </c>
      <c r="DJ378" s="72">
        <v>1</v>
      </c>
      <c r="DK378" s="72">
        <v>1</v>
      </c>
      <c r="DL378" s="72">
        <v>1</v>
      </c>
      <c r="DM378" s="72">
        <v>1</v>
      </c>
      <c r="DN378" s="72">
        <v>1</v>
      </c>
      <c r="DO378" s="72">
        <v>1</v>
      </c>
      <c r="DP378" s="72">
        <v>1</v>
      </c>
      <c r="DQ378" s="72">
        <v>1</v>
      </c>
    </row>
    <row r="379" spans="1:121" x14ac:dyDescent="0.35">
      <c r="A379" s="7"/>
      <c r="B379" s="8" t="s">
        <v>627</v>
      </c>
      <c r="C379" s="9" t="s">
        <v>628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18</v>
      </c>
      <c r="J379" s="10"/>
      <c r="K379" s="10"/>
      <c r="L379" s="8" t="s">
        <v>629</v>
      </c>
      <c r="M379" s="12">
        <v>433.49</v>
      </c>
      <c r="N379" s="12">
        <f t="shared" si="8"/>
        <v>26876.38</v>
      </c>
      <c r="O379" s="11">
        <v>33</v>
      </c>
      <c r="P379" s="11">
        <v>33</v>
      </c>
      <c r="Q379" s="11">
        <v>38</v>
      </c>
      <c r="R379" s="11">
        <v>38</v>
      </c>
      <c r="S379" s="11">
        <v>38</v>
      </c>
      <c r="T379" s="11">
        <v>35</v>
      </c>
      <c r="U379" s="11">
        <v>24</v>
      </c>
      <c r="V379" s="11">
        <v>29</v>
      </c>
      <c r="W379" s="11">
        <v>29</v>
      </c>
      <c r="X379" s="11">
        <v>22</v>
      </c>
      <c r="Y379" s="11">
        <v>7</v>
      </c>
      <c r="Z379" s="11">
        <v>12</v>
      </c>
      <c r="AA379" s="11">
        <v>12</v>
      </c>
      <c r="AB379" s="11">
        <v>22</v>
      </c>
      <c r="AC379" s="11">
        <v>22</v>
      </c>
      <c r="AD379" s="11">
        <v>10</v>
      </c>
      <c r="AE379" s="11">
        <v>10</v>
      </c>
      <c r="AF379" s="11">
        <v>22</v>
      </c>
      <c r="AG379" s="11">
        <v>22</v>
      </c>
      <c r="AH379" s="11">
        <v>17</v>
      </c>
      <c r="AI379" s="11">
        <v>17</v>
      </c>
      <c r="AJ379" s="11">
        <v>18</v>
      </c>
      <c r="AK379" s="11">
        <v>18</v>
      </c>
      <c r="AL379" s="11">
        <v>18</v>
      </c>
      <c r="AM379" s="11">
        <v>18</v>
      </c>
      <c r="AN379" s="72">
        <v>17</v>
      </c>
      <c r="AO379" s="72">
        <v>100</v>
      </c>
      <c r="AP379" s="72">
        <v>100</v>
      </c>
      <c r="AQ379" s="72">
        <v>99</v>
      </c>
      <c r="AR379" s="72">
        <v>94</v>
      </c>
      <c r="AS379" s="72">
        <v>93</v>
      </c>
      <c r="AT379" s="72">
        <v>93</v>
      </c>
      <c r="AU379" s="72">
        <v>93</v>
      </c>
      <c r="AV379" s="72">
        <v>93</v>
      </c>
      <c r="AW379" s="72">
        <v>51</v>
      </c>
      <c r="AX379" s="72">
        <v>51</v>
      </c>
      <c r="AY379" s="72">
        <v>51</v>
      </c>
      <c r="AZ379" s="72">
        <v>50</v>
      </c>
      <c r="BA379" s="72">
        <v>47</v>
      </c>
      <c r="BB379" s="72">
        <v>43</v>
      </c>
      <c r="BC379" s="72">
        <v>42</v>
      </c>
      <c r="BD379" s="72">
        <v>33</v>
      </c>
      <c r="BE379" s="72">
        <v>24</v>
      </c>
      <c r="BF379" s="72">
        <v>17</v>
      </c>
      <c r="BG379" s="72">
        <v>17</v>
      </c>
      <c r="BH379" s="72">
        <v>13</v>
      </c>
      <c r="BI379" s="72">
        <v>13</v>
      </c>
      <c r="BJ379" s="72">
        <v>6</v>
      </c>
      <c r="BK379" s="72">
        <v>13</v>
      </c>
      <c r="BL379" s="72">
        <v>13</v>
      </c>
      <c r="BM379" s="72">
        <v>12</v>
      </c>
      <c r="BN379" s="72">
        <v>9</v>
      </c>
      <c r="BO379" s="72">
        <v>28</v>
      </c>
      <c r="BP379" s="72">
        <v>20</v>
      </c>
      <c r="BQ379" s="72">
        <v>8</v>
      </c>
      <c r="BR379" s="72">
        <v>8</v>
      </c>
      <c r="BS379" s="72">
        <v>8</v>
      </c>
      <c r="BT379" s="72">
        <v>8</v>
      </c>
      <c r="BU379" s="72">
        <v>8</v>
      </c>
      <c r="BV379" s="72">
        <v>8</v>
      </c>
      <c r="BW379" s="72">
        <v>8</v>
      </c>
      <c r="BX379" s="72">
        <v>8</v>
      </c>
      <c r="BY379" s="72">
        <v>7</v>
      </c>
      <c r="BZ379" s="72">
        <v>2</v>
      </c>
      <c r="CA379" s="72">
        <v>1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32</v>
      </c>
      <c r="CK379" s="72">
        <v>32</v>
      </c>
      <c r="CL379" s="72">
        <v>23</v>
      </c>
      <c r="CM379" s="72">
        <v>23</v>
      </c>
      <c r="CN379" s="72">
        <v>22</v>
      </c>
      <c r="CO379" s="72">
        <v>21</v>
      </c>
      <c r="CP379" s="72">
        <v>17</v>
      </c>
      <c r="CQ379" s="72">
        <v>17</v>
      </c>
      <c r="CR379" s="72">
        <v>35</v>
      </c>
      <c r="CS379" s="72">
        <v>32</v>
      </c>
      <c r="CT379" s="72">
        <v>32</v>
      </c>
      <c r="CU379" s="72">
        <v>32</v>
      </c>
      <c r="CV379" s="72">
        <v>51</v>
      </c>
      <c r="CW379" s="72">
        <v>49</v>
      </c>
      <c r="CX379" s="72">
        <v>48</v>
      </c>
      <c r="CY379" s="72">
        <v>88</v>
      </c>
      <c r="CZ379" s="72">
        <v>88</v>
      </c>
      <c r="DA379" s="72">
        <v>88</v>
      </c>
      <c r="DB379" s="72">
        <v>88</v>
      </c>
      <c r="DC379" s="72">
        <v>88</v>
      </c>
      <c r="DD379" s="72">
        <v>82</v>
      </c>
      <c r="DE379" s="72">
        <v>80</v>
      </c>
      <c r="DF379" s="72">
        <v>78</v>
      </c>
      <c r="DG379" s="72">
        <v>78</v>
      </c>
      <c r="DH379" s="72">
        <v>74</v>
      </c>
      <c r="DI379" s="72">
        <v>73</v>
      </c>
      <c r="DJ379" s="72">
        <v>73</v>
      </c>
      <c r="DK379" s="72">
        <v>72</v>
      </c>
      <c r="DL379" s="72">
        <v>72</v>
      </c>
      <c r="DM379" s="72">
        <v>62</v>
      </c>
      <c r="DN379" s="72">
        <v>62</v>
      </c>
      <c r="DO379" s="72">
        <v>62</v>
      </c>
      <c r="DP379" s="72">
        <v>62</v>
      </c>
      <c r="DQ379" s="72">
        <v>62</v>
      </c>
    </row>
    <row r="380" spans="1:121" x14ac:dyDescent="0.35">
      <c r="A380" s="7"/>
      <c r="B380" s="8" t="s">
        <v>630</v>
      </c>
      <c r="C380" s="9" t="s">
        <v>631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1</v>
      </c>
      <c r="J380" s="10"/>
      <c r="K380" s="10"/>
      <c r="L380" s="8" t="s">
        <v>632</v>
      </c>
      <c r="M380" s="12"/>
      <c r="N380" s="12">
        <f t="shared" si="8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1</v>
      </c>
      <c r="AP380" s="72">
        <v>1</v>
      </c>
      <c r="AQ380" s="72">
        <v>1</v>
      </c>
      <c r="AR380" s="72">
        <v>1</v>
      </c>
      <c r="AS380" s="72">
        <v>1</v>
      </c>
      <c r="AT380" s="72">
        <v>1</v>
      </c>
      <c r="AU380" s="72">
        <v>1</v>
      </c>
      <c r="AV380" s="72">
        <v>1</v>
      </c>
      <c r="AW380" s="72">
        <v>1</v>
      </c>
      <c r="AX380" s="72">
        <v>1</v>
      </c>
      <c r="AY380" s="72">
        <v>1</v>
      </c>
      <c r="AZ380" s="72">
        <v>0</v>
      </c>
      <c r="BA380" s="72">
        <v>0</v>
      </c>
      <c r="BB380" s="72">
        <v>0</v>
      </c>
      <c r="BC380" s="72">
        <v>0</v>
      </c>
      <c r="BD380" s="72">
        <v>0</v>
      </c>
      <c r="BE380" s="72">
        <v>0</v>
      </c>
      <c r="BF380" s="72">
        <v>0</v>
      </c>
      <c r="BG380" s="72">
        <v>0</v>
      </c>
      <c r="BH380" s="72">
        <v>0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0</v>
      </c>
      <c r="BP380" s="72">
        <v>0</v>
      </c>
      <c r="BQ380" s="72">
        <v>0</v>
      </c>
      <c r="BR380" s="72">
        <v>1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</row>
    <row r="381" spans="1:121" x14ac:dyDescent="0.35">
      <c r="A381" s="7"/>
      <c r="B381" s="8" t="s">
        <v>633</v>
      </c>
      <c r="C381" s="9" t="s">
        <v>634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5</v>
      </c>
      <c r="J381" s="10"/>
      <c r="K381" s="10"/>
      <c r="L381" s="8"/>
      <c r="M381" s="12">
        <v>813.96</v>
      </c>
      <c r="N381" s="12">
        <f t="shared" si="8"/>
        <v>0</v>
      </c>
      <c r="O381" s="11">
        <v>5</v>
      </c>
      <c r="P381" s="11">
        <v>5</v>
      </c>
      <c r="Q381" s="11">
        <v>5</v>
      </c>
      <c r="R381" s="11">
        <v>5</v>
      </c>
      <c r="S381" s="11">
        <v>5</v>
      </c>
      <c r="T381" s="11">
        <v>5</v>
      </c>
      <c r="U381" s="11">
        <v>5</v>
      </c>
      <c r="V381" s="11">
        <v>0</v>
      </c>
      <c r="W381" s="11">
        <v>0</v>
      </c>
      <c r="X381" s="11">
        <v>0</v>
      </c>
      <c r="Y381" s="11">
        <v>0</v>
      </c>
      <c r="Z381" s="11">
        <v>5</v>
      </c>
      <c r="AA381" s="11">
        <v>5</v>
      </c>
      <c r="AB381" s="11">
        <v>5</v>
      </c>
      <c r="AC381" s="11">
        <v>5</v>
      </c>
      <c r="AD381" s="11">
        <v>5</v>
      </c>
      <c r="AE381" s="11">
        <v>5</v>
      </c>
      <c r="AF381" s="11">
        <v>5</v>
      </c>
      <c r="AG381" s="11">
        <v>5</v>
      </c>
      <c r="AH381" s="11">
        <v>5</v>
      </c>
      <c r="AI381" s="11">
        <v>5</v>
      </c>
      <c r="AJ381" s="11">
        <v>5</v>
      </c>
      <c r="AK381" s="11">
        <v>5</v>
      </c>
      <c r="AL381" s="11">
        <v>5</v>
      </c>
      <c r="AM381" s="11">
        <v>5</v>
      </c>
      <c r="AN381" s="72">
        <v>5</v>
      </c>
      <c r="AO381" s="72">
        <v>5</v>
      </c>
      <c r="AP381" s="72">
        <v>5</v>
      </c>
      <c r="AQ381" s="72">
        <v>5</v>
      </c>
      <c r="AR381" s="72">
        <v>5</v>
      </c>
      <c r="AS381" s="72">
        <v>5</v>
      </c>
      <c r="AT381" s="72">
        <v>5</v>
      </c>
      <c r="AU381" s="72">
        <v>5</v>
      </c>
      <c r="AV381" s="72">
        <v>5</v>
      </c>
      <c r="AW381" s="72">
        <v>5</v>
      </c>
      <c r="AX381" s="72">
        <v>5</v>
      </c>
      <c r="AY381" s="72">
        <v>5</v>
      </c>
      <c r="AZ381" s="72">
        <v>5</v>
      </c>
      <c r="BA381" s="72">
        <v>5</v>
      </c>
      <c r="BB381" s="72">
        <v>5</v>
      </c>
      <c r="BC381" s="72">
        <v>5</v>
      </c>
      <c r="BD381" s="72">
        <v>5</v>
      </c>
      <c r="BE381" s="72">
        <v>5</v>
      </c>
      <c r="BF381" s="72">
        <v>5</v>
      </c>
      <c r="BG381" s="72">
        <v>5</v>
      </c>
      <c r="BH381" s="72">
        <v>5</v>
      </c>
      <c r="BI381" s="72">
        <v>5</v>
      </c>
      <c r="BJ381" s="72">
        <v>5</v>
      </c>
      <c r="BK381" s="72">
        <v>5</v>
      </c>
      <c r="BL381" s="72">
        <v>5</v>
      </c>
      <c r="BM381" s="72">
        <v>5</v>
      </c>
      <c r="BN381" s="72">
        <v>3</v>
      </c>
      <c r="BO381" s="72">
        <v>3</v>
      </c>
      <c r="BP381" s="72">
        <v>3</v>
      </c>
      <c r="BQ381" s="72">
        <v>3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0</v>
      </c>
    </row>
    <row r="382" spans="1:121" x14ac:dyDescent="0.35">
      <c r="A382" s="7"/>
      <c r="B382" s="21" t="s">
        <v>635</v>
      </c>
      <c r="C382" s="22" t="s">
        <v>636</v>
      </c>
      <c r="D382" s="10" t="s">
        <v>594</v>
      </c>
      <c r="E382" s="8" t="s">
        <v>1205</v>
      </c>
      <c r="F382" s="23">
        <v>1006</v>
      </c>
      <c r="G382" s="10" t="s">
        <v>40</v>
      </c>
      <c r="H382" s="10" t="s">
        <v>41</v>
      </c>
      <c r="I382" s="11">
        <v>0</v>
      </c>
      <c r="J382" s="23"/>
      <c r="K382" s="10"/>
      <c r="L382" s="8"/>
      <c r="M382" s="12">
        <v>16.45</v>
      </c>
      <c r="N382" s="12">
        <f t="shared" si="8"/>
        <v>855.4</v>
      </c>
      <c r="O382" s="11">
        <v>32</v>
      </c>
      <c r="P382" s="11">
        <v>32</v>
      </c>
      <c r="Q382" s="11">
        <v>32</v>
      </c>
      <c r="R382" s="11">
        <v>32</v>
      </c>
      <c r="S382" s="11">
        <v>32</v>
      </c>
      <c r="T382" s="11">
        <v>32</v>
      </c>
      <c r="U382" s="11">
        <v>32</v>
      </c>
      <c r="V382" s="11">
        <v>32</v>
      </c>
      <c r="W382" s="11">
        <v>32</v>
      </c>
      <c r="X382" s="11">
        <v>32</v>
      </c>
      <c r="Y382" s="11">
        <v>0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0</v>
      </c>
      <c r="AG382" s="11">
        <v>0</v>
      </c>
      <c r="AH382" s="11">
        <v>0</v>
      </c>
      <c r="AI382" s="11">
        <v>0</v>
      </c>
      <c r="AJ382" s="11">
        <v>0</v>
      </c>
      <c r="AK382" s="11">
        <v>0</v>
      </c>
      <c r="AL382" s="11">
        <v>0</v>
      </c>
      <c r="AM382" s="11">
        <v>0</v>
      </c>
      <c r="AN382" s="72">
        <v>0</v>
      </c>
      <c r="AO382" s="72">
        <v>0</v>
      </c>
      <c r="AP382" s="72">
        <v>0</v>
      </c>
      <c r="AQ382" s="72">
        <v>0</v>
      </c>
      <c r="AR382" s="72">
        <v>0</v>
      </c>
      <c r="AS382" s="72">
        <v>0</v>
      </c>
      <c r="AT382" s="72">
        <v>0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0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52</v>
      </c>
      <c r="DL382" s="72">
        <v>52</v>
      </c>
      <c r="DM382" s="72">
        <v>52</v>
      </c>
      <c r="DN382" s="72">
        <v>52</v>
      </c>
      <c r="DO382" s="72">
        <v>52</v>
      </c>
      <c r="DP382" s="72">
        <v>52</v>
      </c>
      <c r="DQ382" s="72">
        <v>52</v>
      </c>
    </row>
    <row r="383" spans="1:121" x14ac:dyDescent="0.35">
      <c r="A383" s="7"/>
      <c r="B383" s="8" t="s">
        <v>637</v>
      </c>
      <c r="C383" s="9" t="s">
        <v>638</v>
      </c>
      <c r="D383" s="10" t="s">
        <v>594</v>
      </c>
      <c r="E383" s="8" t="s">
        <v>1205</v>
      </c>
      <c r="F383" s="10">
        <v>1006</v>
      </c>
      <c r="G383" s="10" t="s">
        <v>40</v>
      </c>
      <c r="H383" s="10" t="s">
        <v>41</v>
      </c>
      <c r="I383" s="11">
        <v>2</v>
      </c>
      <c r="J383" s="10"/>
      <c r="K383" s="10" t="s">
        <v>42</v>
      </c>
      <c r="L383" s="8"/>
      <c r="M383" s="12">
        <v>17</v>
      </c>
      <c r="N383" s="12">
        <f t="shared" si="8"/>
        <v>0</v>
      </c>
      <c r="O383" s="11">
        <v>2</v>
      </c>
      <c r="P383" s="11">
        <v>2</v>
      </c>
      <c r="Q383" s="11">
        <v>2</v>
      </c>
      <c r="R383" s="11">
        <v>2</v>
      </c>
      <c r="S383" s="11">
        <v>2</v>
      </c>
      <c r="T383" s="11">
        <v>2</v>
      </c>
      <c r="U383" s="11">
        <v>2</v>
      </c>
      <c r="V383" s="11">
        <v>2</v>
      </c>
      <c r="W383" s="11">
        <v>2</v>
      </c>
      <c r="X383" s="11">
        <v>2</v>
      </c>
      <c r="Y383" s="11">
        <v>2</v>
      </c>
      <c r="Z383" s="11">
        <v>2</v>
      </c>
      <c r="AA383" s="11">
        <v>2</v>
      </c>
      <c r="AB383" s="11">
        <v>2</v>
      </c>
      <c r="AC383" s="11">
        <v>2</v>
      </c>
      <c r="AD383" s="11">
        <v>2</v>
      </c>
      <c r="AE383" s="11">
        <v>2</v>
      </c>
      <c r="AF383" s="11">
        <v>2</v>
      </c>
      <c r="AG383" s="11">
        <v>2</v>
      </c>
      <c r="AH383" s="11">
        <v>2</v>
      </c>
      <c r="AI383" s="11">
        <v>2</v>
      </c>
      <c r="AJ383" s="11">
        <v>2</v>
      </c>
      <c r="AK383" s="11">
        <v>2</v>
      </c>
      <c r="AL383" s="11">
        <v>2</v>
      </c>
      <c r="AM383" s="11">
        <v>2</v>
      </c>
      <c r="AN383" s="72">
        <v>2</v>
      </c>
      <c r="AO383" s="72">
        <v>2</v>
      </c>
      <c r="AP383" s="72">
        <v>2</v>
      </c>
      <c r="AQ383" s="72">
        <v>2</v>
      </c>
      <c r="AR383" s="72">
        <v>2</v>
      </c>
      <c r="AS383" s="72">
        <v>2</v>
      </c>
      <c r="AT383" s="72">
        <v>2</v>
      </c>
      <c r="AU383" s="72">
        <v>2</v>
      </c>
      <c r="AV383" s="72">
        <v>2</v>
      </c>
      <c r="AW383" s="72">
        <v>2</v>
      </c>
      <c r="AX383" s="72">
        <v>2</v>
      </c>
      <c r="AY383" s="72">
        <v>2</v>
      </c>
      <c r="AZ383" s="72">
        <v>2</v>
      </c>
      <c r="BA383" s="72">
        <v>2</v>
      </c>
      <c r="BB383" s="72">
        <v>2</v>
      </c>
      <c r="BC383" s="72">
        <v>2</v>
      </c>
      <c r="BD383" s="72">
        <v>2</v>
      </c>
      <c r="BE383" s="72">
        <v>2</v>
      </c>
      <c r="BF383" s="72">
        <v>2</v>
      </c>
      <c r="BG383" s="72">
        <v>2</v>
      </c>
      <c r="BH383" s="72">
        <v>2</v>
      </c>
      <c r="BI383" s="72">
        <v>2</v>
      </c>
      <c r="BJ383" s="72">
        <v>2</v>
      </c>
      <c r="BK383" s="72">
        <v>2</v>
      </c>
      <c r="BL383" s="72">
        <v>2</v>
      </c>
      <c r="BM383" s="72">
        <v>2</v>
      </c>
      <c r="BN383" s="72">
        <v>2</v>
      </c>
      <c r="BO383" s="72">
        <v>2</v>
      </c>
      <c r="BP383" s="72">
        <v>2</v>
      </c>
      <c r="BQ383" s="72">
        <v>2</v>
      </c>
      <c r="BR383" s="72">
        <v>2</v>
      </c>
      <c r="BS383" s="72">
        <v>2</v>
      </c>
      <c r="BT383" s="72">
        <v>2</v>
      </c>
      <c r="BU383" s="72">
        <v>2</v>
      </c>
      <c r="BV383" s="72">
        <v>2</v>
      </c>
      <c r="BW383" s="72">
        <v>2</v>
      </c>
      <c r="BX383" s="72">
        <v>2</v>
      </c>
      <c r="BY383" s="72">
        <v>2</v>
      </c>
      <c r="BZ383" s="72">
        <v>2</v>
      </c>
      <c r="CA383" s="72">
        <v>2</v>
      </c>
      <c r="CB383" s="72">
        <v>2</v>
      </c>
      <c r="CC383" s="72">
        <v>2</v>
      </c>
      <c r="CD383" s="72">
        <v>2</v>
      </c>
      <c r="CE383" s="72">
        <v>2</v>
      </c>
      <c r="CF383" s="72">
        <v>2</v>
      </c>
      <c r="CG383" s="72">
        <v>2</v>
      </c>
      <c r="CH383" s="72">
        <v>2</v>
      </c>
      <c r="CI383" s="72">
        <v>2</v>
      </c>
      <c r="CJ383" s="72">
        <v>2</v>
      </c>
      <c r="CK383" s="72">
        <v>2</v>
      </c>
      <c r="CL383" s="72">
        <v>2</v>
      </c>
      <c r="CM383" s="72">
        <v>2</v>
      </c>
      <c r="CN383" s="72">
        <v>2</v>
      </c>
      <c r="CO383" s="72">
        <v>2</v>
      </c>
      <c r="CP383" s="72">
        <v>2</v>
      </c>
      <c r="CQ383" s="72">
        <v>2</v>
      </c>
      <c r="CR383" s="72">
        <v>2</v>
      </c>
      <c r="CS383" s="72">
        <v>2</v>
      </c>
      <c r="CT383" s="72">
        <v>2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</row>
    <row r="384" spans="1:121" x14ac:dyDescent="0.35">
      <c r="A384" s="7"/>
      <c r="B384" s="77" t="s">
        <v>1352</v>
      </c>
      <c r="C384" s="78" t="s">
        <v>1359</v>
      </c>
      <c r="D384" s="10" t="s">
        <v>594</v>
      </c>
      <c r="E384" s="8" t="s">
        <v>1206</v>
      </c>
      <c r="F384" s="10"/>
      <c r="G384" s="10"/>
      <c r="H384" s="10" t="s">
        <v>41</v>
      </c>
      <c r="I384" s="11"/>
      <c r="J384" s="10"/>
      <c r="K384" s="10"/>
      <c r="L384" s="8"/>
      <c r="M384" s="12">
        <v>200</v>
      </c>
      <c r="N384" s="12">
        <f t="shared" si="8"/>
        <v>400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>
        <v>6</v>
      </c>
      <c r="BK384" s="72">
        <v>4</v>
      </c>
      <c r="BL384" s="72">
        <v>4</v>
      </c>
      <c r="BM384" s="72">
        <v>2</v>
      </c>
      <c r="BN384" s="72">
        <v>2</v>
      </c>
      <c r="BO384" s="72">
        <v>2</v>
      </c>
      <c r="BP384" s="72">
        <v>2</v>
      </c>
      <c r="BQ384" s="72">
        <v>2</v>
      </c>
      <c r="BR384" s="72">
        <v>2</v>
      </c>
      <c r="BS384" s="72">
        <v>2</v>
      </c>
      <c r="BT384" s="72">
        <v>2</v>
      </c>
      <c r="BU384" s="72">
        <v>2</v>
      </c>
      <c r="BV384" s="72">
        <v>2</v>
      </c>
      <c r="BW384" s="72">
        <v>2</v>
      </c>
      <c r="BX384" s="72">
        <v>2</v>
      </c>
      <c r="BY384" s="72">
        <v>2</v>
      </c>
      <c r="BZ384" s="72">
        <v>2</v>
      </c>
      <c r="CA384" s="72">
        <v>2</v>
      </c>
      <c r="CB384" s="72">
        <v>2</v>
      </c>
      <c r="CC384" s="72">
        <v>2</v>
      </c>
      <c r="CD384" s="72">
        <v>2</v>
      </c>
      <c r="CE384" s="72">
        <v>2</v>
      </c>
      <c r="CF384" s="72">
        <v>2</v>
      </c>
      <c r="CG384" s="72">
        <v>2</v>
      </c>
      <c r="CH384" s="72">
        <v>2</v>
      </c>
      <c r="CI384" s="72">
        <v>2</v>
      </c>
      <c r="CJ384" s="72">
        <v>2</v>
      </c>
      <c r="CK384" s="72">
        <v>2</v>
      </c>
      <c r="CL384" s="72">
        <v>2</v>
      </c>
      <c r="CM384" s="72">
        <v>2</v>
      </c>
      <c r="CN384" s="72">
        <v>2</v>
      </c>
      <c r="CO384" s="72">
        <v>2</v>
      </c>
      <c r="CP384" s="72">
        <v>2</v>
      </c>
      <c r="CQ384" s="72">
        <v>2</v>
      </c>
      <c r="CR384" s="72">
        <v>2</v>
      </c>
      <c r="CS384" s="72">
        <v>2</v>
      </c>
      <c r="CT384" s="72">
        <v>2</v>
      </c>
      <c r="CU384" s="72">
        <v>2</v>
      </c>
      <c r="CV384" s="72">
        <v>2</v>
      </c>
      <c r="CW384" s="72">
        <v>2</v>
      </c>
      <c r="CX384" s="72">
        <v>2</v>
      </c>
      <c r="CY384" s="72">
        <v>2</v>
      </c>
      <c r="CZ384" s="72">
        <v>2</v>
      </c>
      <c r="DA384" s="72">
        <v>2</v>
      </c>
      <c r="DB384" s="72">
        <v>2</v>
      </c>
      <c r="DC384" s="72">
        <v>2</v>
      </c>
      <c r="DD384" s="72">
        <v>2</v>
      </c>
      <c r="DE384" s="72">
        <v>2</v>
      </c>
      <c r="DF384" s="72">
        <v>2</v>
      </c>
      <c r="DG384" s="72">
        <v>2</v>
      </c>
      <c r="DH384" s="72">
        <v>2</v>
      </c>
      <c r="DI384" s="72">
        <v>2</v>
      </c>
      <c r="DJ384" s="72">
        <v>2</v>
      </c>
      <c r="DK384" s="72">
        <v>2</v>
      </c>
      <c r="DL384" s="72">
        <v>2</v>
      </c>
      <c r="DM384" s="72">
        <v>2</v>
      </c>
      <c r="DN384" s="72">
        <v>2</v>
      </c>
      <c r="DO384" s="72">
        <v>2</v>
      </c>
      <c r="DP384" s="72">
        <v>2</v>
      </c>
      <c r="DQ384" s="72">
        <v>2</v>
      </c>
    </row>
    <row r="385" spans="1:121" x14ac:dyDescent="0.35">
      <c r="A385" s="7"/>
      <c r="B385" s="77" t="s">
        <v>1171</v>
      </c>
      <c r="C385" s="78" t="s">
        <v>1180</v>
      </c>
      <c r="D385" s="10" t="s">
        <v>594</v>
      </c>
      <c r="E385" s="8" t="s">
        <v>1206</v>
      </c>
      <c r="F385" s="10">
        <v>1006</v>
      </c>
      <c r="G385" s="10" t="s">
        <v>40</v>
      </c>
      <c r="H385" s="10" t="s">
        <v>41</v>
      </c>
      <c r="I385" s="11"/>
      <c r="J385" s="10"/>
      <c r="K385" s="10" t="s">
        <v>153</v>
      </c>
      <c r="L385" s="8"/>
      <c r="M385" s="12">
        <v>207.53</v>
      </c>
      <c r="N385" s="12">
        <f t="shared" si="8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72"/>
      <c r="AO385" s="72">
        <v>5</v>
      </c>
      <c r="AP385" s="72">
        <v>5</v>
      </c>
      <c r="AQ385" s="72">
        <v>5</v>
      </c>
      <c r="AR385" s="72">
        <v>5</v>
      </c>
      <c r="AS385" s="72">
        <v>5</v>
      </c>
      <c r="AT385" s="72">
        <v>5</v>
      </c>
      <c r="AU385" s="72">
        <v>5</v>
      </c>
      <c r="AV385" s="72">
        <v>5</v>
      </c>
      <c r="AW385" s="72">
        <v>5</v>
      </c>
      <c r="AX385" s="72">
        <v>5</v>
      </c>
      <c r="AY385" s="72">
        <v>5</v>
      </c>
      <c r="AZ385" s="72">
        <v>5</v>
      </c>
      <c r="BA385" s="72">
        <v>5</v>
      </c>
      <c r="BB385" s="72">
        <v>5</v>
      </c>
      <c r="BC385" s="72">
        <v>5</v>
      </c>
      <c r="BD385" s="72">
        <v>5</v>
      </c>
      <c r="BE385" s="72">
        <v>5</v>
      </c>
      <c r="BF385" s="72">
        <v>5</v>
      </c>
      <c r="BG385" s="72">
        <v>5</v>
      </c>
      <c r="BH385" s="72">
        <v>5</v>
      </c>
      <c r="BI385" s="72">
        <v>5</v>
      </c>
      <c r="BJ385" s="72">
        <v>5</v>
      </c>
      <c r="BK385" s="72">
        <v>5</v>
      </c>
      <c r="BL385" s="72">
        <v>5</v>
      </c>
      <c r="BM385" s="72">
        <v>5</v>
      </c>
      <c r="BN385" s="72">
        <v>5</v>
      </c>
      <c r="BO385" s="72">
        <v>5</v>
      </c>
      <c r="BP385" s="72">
        <v>5</v>
      </c>
      <c r="BQ385" s="72">
        <v>5</v>
      </c>
      <c r="BR385" s="72">
        <v>5</v>
      </c>
      <c r="BS385" s="72">
        <v>5</v>
      </c>
      <c r="BT385" s="72">
        <v>5</v>
      </c>
      <c r="BU385" s="72">
        <v>5</v>
      </c>
      <c r="BV385" s="72">
        <v>5</v>
      </c>
      <c r="BW385" s="72">
        <v>5</v>
      </c>
      <c r="BX385" s="72">
        <v>5</v>
      </c>
      <c r="BY385" s="72">
        <v>5</v>
      </c>
      <c r="BZ385" s="72">
        <v>5</v>
      </c>
      <c r="CA385" s="72">
        <v>5</v>
      </c>
      <c r="CB385" s="72">
        <v>5</v>
      </c>
      <c r="CC385" s="72">
        <v>5</v>
      </c>
      <c r="CD385" s="72">
        <v>5</v>
      </c>
      <c r="CE385" s="72">
        <v>5</v>
      </c>
      <c r="CF385" s="72">
        <v>5</v>
      </c>
      <c r="CG385" s="72">
        <v>5</v>
      </c>
      <c r="CH385" s="72">
        <v>5</v>
      </c>
      <c r="CI385" s="72">
        <v>5</v>
      </c>
      <c r="CJ385" s="72">
        <v>5</v>
      </c>
      <c r="CK385" s="72">
        <v>5</v>
      </c>
      <c r="CL385" s="72">
        <v>5</v>
      </c>
      <c r="CM385" s="72">
        <v>5</v>
      </c>
      <c r="CN385" s="72">
        <v>5</v>
      </c>
      <c r="CO385" s="72">
        <v>5</v>
      </c>
      <c r="CP385" s="72">
        <v>5</v>
      </c>
      <c r="CQ385" s="72">
        <v>5</v>
      </c>
      <c r="CR385" s="72">
        <v>5</v>
      </c>
      <c r="CS385" s="72">
        <v>5</v>
      </c>
      <c r="CT385" s="72">
        <v>5</v>
      </c>
      <c r="CU385" s="72">
        <v>5</v>
      </c>
      <c r="CV385" s="72">
        <v>5</v>
      </c>
      <c r="CW385" s="72">
        <v>5</v>
      </c>
      <c r="CX385" s="72">
        <v>5</v>
      </c>
      <c r="CY385" s="72">
        <v>5</v>
      </c>
      <c r="CZ385" s="72">
        <v>5</v>
      </c>
      <c r="DA385" s="72">
        <v>5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</row>
    <row r="386" spans="1:121" x14ac:dyDescent="0.35">
      <c r="A386" s="7"/>
      <c r="B386" s="77" t="s">
        <v>1486</v>
      </c>
      <c r="C386" s="78" t="s">
        <v>1180</v>
      </c>
      <c r="D386" s="10" t="s">
        <v>594</v>
      </c>
      <c r="E386" s="8" t="s">
        <v>1206</v>
      </c>
      <c r="F386" s="10">
        <v>1006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131.33000000000001</v>
      </c>
      <c r="N386" s="12">
        <f t="shared" si="8"/>
        <v>33751.810000000005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>
        <v>329</v>
      </c>
      <c r="CK386" s="72">
        <v>329</v>
      </c>
      <c r="CL386" s="72">
        <v>329</v>
      </c>
      <c r="CM386" s="72">
        <v>329</v>
      </c>
      <c r="CN386" s="72">
        <v>313</v>
      </c>
      <c r="CO386" s="72">
        <v>313</v>
      </c>
      <c r="CP386" s="72">
        <v>312</v>
      </c>
      <c r="CQ386" s="72">
        <v>312</v>
      </c>
      <c r="CR386" s="72">
        <v>312</v>
      </c>
      <c r="CS386" s="72">
        <v>252</v>
      </c>
      <c r="CT386" s="72">
        <v>252</v>
      </c>
      <c r="CU386" s="72">
        <v>252</v>
      </c>
      <c r="CV386" s="72">
        <v>440</v>
      </c>
      <c r="CW386" s="72">
        <v>440</v>
      </c>
      <c r="CX386" s="72">
        <v>436</v>
      </c>
      <c r="CY386" s="72">
        <v>436</v>
      </c>
      <c r="CZ386" s="72">
        <v>436</v>
      </c>
      <c r="DA386" s="72">
        <v>436</v>
      </c>
      <c r="DB386" s="72">
        <v>426</v>
      </c>
      <c r="DC386" s="72">
        <v>426</v>
      </c>
      <c r="DD386" s="72">
        <v>426</v>
      </c>
      <c r="DE386" s="72">
        <v>426</v>
      </c>
      <c r="DF386" s="72">
        <v>426</v>
      </c>
      <c r="DG386" s="72">
        <v>276</v>
      </c>
      <c r="DH386" s="72">
        <v>276</v>
      </c>
      <c r="DI386" s="72">
        <v>268</v>
      </c>
      <c r="DJ386" s="72">
        <v>268</v>
      </c>
      <c r="DK386" s="72">
        <v>260</v>
      </c>
      <c r="DL386" s="72">
        <v>260</v>
      </c>
      <c r="DM386" s="72">
        <v>260</v>
      </c>
      <c r="DN386" s="72">
        <v>260</v>
      </c>
      <c r="DO386" s="72">
        <v>257</v>
      </c>
      <c r="DP386" s="72">
        <v>257</v>
      </c>
      <c r="DQ386" s="72">
        <v>257</v>
      </c>
    </row>
    <row r="387" spans="1:121" x14ac:dyDescent="0.35">
      <c r="A387" s="7"/>
      <c r="B387" s="8" t="s">
        <v>639</v>
      </c>
      <c r="C387" s="9" t="s">
        <v>640</v>
      </c>
      <c r="D387" s="10" t="s">
        <v>594</v>
      </c>
      <c r="E387" s="8" t="s">
        <v>1206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/>
      <c r="L387" s="8"/>
      <c r="M387" s="12">
        <v>460</v>
      </c>
      <c r="N387" s="12">
        <f t="shared" ref="N387:N450" si="11">M387*DQ387</f>
        <v>0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0</v>
      </c>
      <c r="DP387" s="72">
        <v>0</v>
      </c>
      <c r="DQ387" s="72">
        <v>0</v>
      </c>
    </row>
    <row r="388" spans="1:121" x14ac:dyDescent="0.35">
      <c r="A388" s="7"/>
      <c r="B388" s="77" t="s">
        <v>1172</v>
      </c>
      <c r="C388" s="9" t="s">
        <v>1181</v>
      </c>
      <c r="D388" s="10" t="s">
        <v>594</v>
      </c>
      <c r="E388" s="8" t="s">
        <v>1206</v>
      </c>
      <c r="F388" s="10">
        <v>1002</v>
      </c>
      <c r="G388" s="10" t="s">
        <v>40</v>
      </c>
      <c r="H388" s="10" t="s">
        <v>41</v>
      </c>
      <c r="I388" s="11"/>
      <c r="J388" s="10"/>
      <c r="K388" s="10"/>
      <c r="L388" s="8"/>
      <c r="M388" s="12">
        <v>395</v>
      </c>
      <c r="N388" s="12">
        <f t="shared" si="11"/>
        <v>395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>
        <v>32</v>
      </c>
      <c r="AP388" s="72">
        <v>32</v>
      </c>
      <c r="AQ388" s="72">
        <v>32</v>
      </c>
      <c r="AR388" s="72">
        <v>32</v>
      </c>
      <c r="AS388" s="72">
        <v>32</v>
      </c>
      <c r="AT388" s="72">
        <v>32</v>
      </c>
      <c r="AU388" s="72">
        <v>32</v>
      </c>
      <c r="AV388" s="72">
        <v>32</v>
      </c>
      <c r="AW388" s="72">
        <v>32</v>
      </c>
      <c r="AX388" s="72">
        <v>32</v>
      </c>
      <c r="AY388" s="72">
        <v>32</v>
      </c>
      <c r="AZ388" s="72">
        <v>32</v>
      </c>
      <c r="BA388" s="72">
        <v>32</v>
      </c>
      <c r="BB388" s="72">
        <v>32</v>
      </c>
      <c r="BC388" s="72">
        <v>32</v>
      </c>
      <c r="BD388" s="72">
        <v>32</v>
      </c>
      <c r="BE388" s="72">
        <v>32</v>
      </c>
      <c r="BF388" s="72">
        <v>32</v>
      </c>
      <c r="BG388" s="72">
        <v>32</v>
      </c>
      <c r="BH388" s="72">
        <v>29</v>
      </c>
      <c r="BI388" s="72">
        <v>29</v>
      </c>
      <c r="BJ388" s="72">
        <v>29</v>
      </c>
      <c r="BK388" s="72">
        <v>29</v>
      </c>
      <c r="BL388" s="72">
        <v>29</v>
      </c>
      <c r="BM388" s="72">
        <v>29</v>
      </c>
      <c r="BN388" s="72">
        <v>29</v>
      </c>
      <c r="BO388" s="72">
        <v>29</v>
      </c>
      <c r="BP388" s="72">
        <v>26</v>
      </c>
      <c r="BQ388" s="72">
        <v>24</v>
      </c>
      <c r="BR388" s="72">
        <v>24</v>
      </c>
      <c r="BS388" s="72">
        <v>24</v>
      </c>
      <c r="BT388" s="72">
        <v>24</v>
      </c>
      <c r="BU388" s="72">
        <v>24</v>
      </c>
      <c r="BV388" s="72">
        <v>24</v>
      </c>
      <c r="BW388" s="72">
        <v>23</v>
      </c>
      <c r="BX388" s="72">
        <v>23</v>
      </c>
      <c r="BY388" s="72">
        <v>13</v>
      </c>
      <c r="BZ388" s="72">
        <v>13</v>
      </c>
      <c r="CA388" s="72">
        <v>13</v>
      </c>
      <c r="CB388" s="72">
        <v>13</v>
      </c>
      <c r="CC388" s="72">
        <v>13</v>
      </c>
      <c r="CD388" s="72">
        <v>13</v>
      </c>
      <c r="CE388" s="72">
        <v>13</v>
      </c>
      <c r="CF388" s="72">
        <v>12</v>
      </c>
      <c r="CG388" s="72">
        <v>12</v>
      </c>
      <c r="CH388" s="72">
        <v>12</v>
      </c>
      <c r="CI388" s="72">
        <v>12</v>
      </c>
      <c r="CJ388" s="72">
        <v>12</v>
      </c>
      <c r="CK388" s="72">
        <v>12</v>
      </c>
      <c r="CL388" s="72">
        <v>9</v>
      </c>
      <c r="CM388" s="72">
        <v>9</v>
      </c>
      <c r="CN388" s="72">
        <v>9</v>
      </c>
      <c r="CO388" s="72">
        <v>9</v>
      </c>
      <c r="CP388" s="72">
        <v>9</v>
      </c>
      <c r="CQ388" s="72">
        <v>9</v>
      </c>
      <c r="CR388" s="72">
        <v>9</v>
      </c>
      <c r="CS388" s="72">
        <v>9</v>
      </c>
      <c r="CT388" s="72">
        <v>9</v>
      </c>
      <c r="CU388" s="72">
        <v>9</v>
      </c>
      <c r="CV388" s="72">
        <v>9</v>
      </c>
      <c r="CW388" s="72">
        <v>9</v>
      </c>
      <c r="CX388" s="72">
        <v>9</v>
      </c>
      <c r="CY388" s="72">
        <v>9</v>
      </c>
      <c r="CZ388" s="72">
        <v>9</v>
      </c>
      <c r="DA388" s="72">
        <v>9</v>
      </c>
      <c r="DB388" s="72">
        <v>6</v>
      </c>
      <c r="DC388" s="72">
        <v>6</v>
      </c>
      <c r="DD388" s="72">
        <v>6</v>
      </c>
      <c r="DE388" s="72">
        <v>6</v>
      </c>
      <c r="DF388" s="72">
        <v>6</v>
      </c>
      <c r="DG388" s="72">
        <v>6</v>
      </c>
      <c r="DH388" s="72">
        <v>2</v>
      </c>
      <c r="DI388" s="72">
        <v>2</v>
      </c>
      <c r="DJ388" s="72">
        <v>1</v>
      </c>
      <c r="DK388" s="72">
        <v>1</v>
      </c>
      <c r="DL388" s="72">
        <v>1</v>
      </c>
      <c r="DM388" s="72">
        <v>1</v>
      </c>
      <c r="DN388" s="72">
        <v>1</v>
      </c>
      <c r="DO388" s="72">
        <v>1</v>
      </c>
      <c r="DP388" s="72">
        <v>1</v>
      </c>
      <c r="DQ388" s="72">
        <v>1</v>
      </c>
    </row>
    <row r="389" spans="1:121" x14ac:dyDescent="0.35">
      <c r="A389" s="7"/>
      <c r="B389" s="8" t="s">
        <v>641</v>
      </c>
      <c r="C389" s="9" t="s">
        <v>642</v>
      </c>
      <c r="D389" s="10" t="s">
        <v>594</v>
      </c>
      <c r="E389" s="8" t="s">
        <v>1206</v>
      </c>
      <c r="F389" s="10">
        <v>1002</v>
      </c>
      <c r="G389" s="10" t="s">
        <v>40</v>
      </c>
      <c r="H389" s="10" t="s">
        <v>41</v>
      </c>
      <c r="I389" s="11">
        <v>0</v>
      </c>
      <c r="J389" s="10"/>
      <c r="K389" s="10"/>
      <c r="L389" s="8"/>
      <c r="M389" s="12"/>
      <c r="N389" s="12">
        <f t="shared" si="11"/>
        <v>0</v>
      </c>
      <c r="O389" s="11">
        <v>3</v>
      </c>
      <c r="P389" s="11">
        <v>3</v>
      </c>
      <c r="Q389" s="11">
        <v>3</v>
      </c>
      <c r="R389" s="11">
        <v>3</v>
      </c>
      <c r="S389" s="11">
        <v>3</v>
      </c>
      <c r="T389" s="11">
        <v>1</v>
      </c>
      <c r="U389" s="11">
        <v>1</v>
      </c>
      <c r="V389" s="11">
        <v>1</v>
      </c>
      <c r="W389" s="11">
        <v>1</v>
      </c>
      <c r="X389" s="11">
        <v>1</v>
      </c>
      <c r="Y389" s="11">
        <v>1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>
        <v>0</v>
      </c>
    </row>
    <row r="390" spans="1:121" x14ac:dyDescent="0.35">
      <c r="A390" s="7"/>
      <c r="B390" s="8" t="s">
        <v>643</v>
      </c>
      <c r="C390" s="9" t="s">
        <v>644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>
        <v>1</v>
      </c>
      <c r="J390" s="10"/>
      <c r="K390" s="10" t="s">
        <v>153</v>
      </c>
      <c r="L390" s="8"/>
      <c r="M390" s="12"/>
      <c r="N390" s="12">
        <f t="shared" si="11"/>
        <v>0</v>
      </c>
      <c r="O390" s="11">
        <v>1</v>
      </c>
      <c r="P390" s="11">
        <v>1</v>
      </c>
      <c r="Q390" s="11">
        <v>1</v>
      </c>
      <c r="R390" s="11">
        <v>1</v>
      </c>
      <c r="S390" s="11">
        <v>1</v>
      </c>
      <c r="T390" s="11">
        <v>1</v>
      </c>
      <c r="U390" s="11">
        <v>1</v>
      </c>
      <c r="V390" s="11">
        <v>1</v>
      </c>
      <c r="W390" s="11">
        <v>1</v>
      </c>
      <c r="X390" s="11">
        <v>1</v>
      </c>
      <c r="Y390" s="11">
        <v>1</v>
      </c>
      <c r="Z390" s="11">
        <v>1</v>
      </c>
      <c r="AA390" s="11">
        <v>1</v>
      </c>
      <c r="AB390" s="11">
        <v>1</v>
      </c>
      <c r="AC390" s="11">
        <v>1</v>
      </c>
      <c r="AD390" s="11">
        <v>1</v>
      </c>
      <c r="AE390" s="11">
        <v>1</v>
      </c>
      <c r="AF390" s="11">
        <v>1</v>
      </c>
      <c r="AG390" s="11">
        <v>1</v>
      </c>
      <c r="AH390" s="11">
        <v>1</v>
      </c>
      <c r="AI390" s="11">
        <v>1</v>
      </c>
      <c r="AJ390" s="11">
        <v>1</v>
      </c>
      <c r="AK390" s="11">
        <v>1</v>
      </c>
      <c r="AL390" s="11">
        <v>1</v>
      </c>
      <c r="AM390" s="11">
        <v>1</v>
      </c>
      <c r="AN390" s="72">
        <v>1</v>
      </c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  <c r="DG390" s="72">
        <v>1</v>
      </c>
      <c r="DH390" s="72">
        <v>1</v>
      </c>
      <c r="DI390" s="72">
        <v>1</v>
      </c>
      <c r="DJ390" s="72">
        <v>1</v>
      </c>
      <c r="DK390" s="72">
        <v>1</v>
      </c>
      <c r="DL390" s="72">
        <v>1</v>
      </c>
      <c r="DM390" s="72">
        <v>1</v>
      </c>
      <c r="DN390" s="72">
        <v>1</v>
      </c>
      <c r="DO390" s="72">
        <v>1</v>
      </c>
      <c r="DP390" s="72">
        <v>1</v>
      </c>
      <c r="DQ390" s="72">
        <v>1</v>
      </c>
    </row>
    <row r="391" spans="1:121" x14ac:dyDescent="0.35">
      <c r="A391" s="7"/>
      <c r="B391" s="8" t="s">
        <v>1173</v>
      </c>
      <c r="C391" s="9" t="s">
        <v>1182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>
        <v>1094.81</v>
      </c>
      <c r="N391" s="12">
        <f t="shared" si="11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5</v>
      </c>
      <c r="AP391" s="72">
        <v>5</v>
      </c>
      <c r="AQ391" s="72">
        <v>5</v>
      </c>
      <c r="AR391" s="72">
        <v>5</v>
      </c>
      <c r="AS391" s="72">
        <v>5</v>
      </c>
      <c r="AT391" s="72">
        <v>5</v>
      </c>
      <c r="AU391" s="72">
        <v>5</v>
      </c>
      <c r="AV391" s="72">
        <v>5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5</v>
      </c>
      <c r="BS391" s="72">
        <v>5</v>
      </c>
      <c r="BT391" s="72">
        <v>5</v>
      </c>
      <c r="BU391" s="72">
        <v>5</v>
      </c>
      <c r="BV391" s="72">
        <v>5</v>
      </c>
      <c r="BW391" s="72">
        <v>5</v>
      </c>
      <c r="BX391" s="72">
        <v>5</v>
      </c>
      <c r="BY391" s="72">
        <v>5</v>
      </c>
      <c r="BZ391" s="72">
        <v>5</v>
      </c>
      <c r="CA391" s="72">
        <v>5</v>
      </c>
      <c r="CB391" s="72">
        <v>5</v>
      </c>
      <c r="CC391" s="72">
        <v>5</v>
      </c>
      <c r="CD391" s="72">
        <v>5</v>
      </c>
      <c r="CE391" s="72">
        <v>5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>
        <v>0</v>
      </c>
    </row>
    <row r="392" spans="1:121" x14ac:dyDescent="0.35">
      <c r="A392" s="7"/>
      <c r="B392" s="8" t="s">
        <v>645</v>
      </c>
      <c r="C392" s="9" t="s">
        <v>646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 t="s">
        <v>42</v>
      </c>
      <c r="L392" s="8" t="s">
        <v>647</v>
      </c>
      <c r="M392" s="12">
        <v>1775</v>
      </c>
      <c r="N392" s="12">
        <f t="shared" si="11"/>
        <v>1775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1</v>
      </c>
      <c r="BI392" s="72">
        <v>1</v>
      </c>
      <c r="BJ392" s="72">
        <v>1</v>
      </c>
      <c r="BK392" s="72">
        <v>1</v>
      </c>
      <c r="BL392" s="72">
        <v>1</v>
      </c>
      <c r="BM392" s="72">
        <v>1</v>
      </c>
      <c r="BN392" s="72">
        <v>1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1</v>
      </c>
      <c r="DP392" s="72">
        <v>1</v>
      </c>
      <c r="DQ392" s="72">
        <v>1</v>
      </c>
    </row>
    <row r="393" spans="1:121" x14ac:dyDescent="0.35">
      <c r="A393" s="7"/>
      <c r="B393" s="8" t="s">
        <v>648</v>
      </c>
      <c r="C393" s="9" t="s">
        <v>649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5</v>
      </c>
      <c r="J393" s="10"/>
      <c r="K393" s="10" t="s">
        <v>42</v>
      </c>
      <c r="L393" s="8"/>
      <c r="M393" s="12">
        <v>530</v>
      </c>
      <c r="N393" s="12">
        <f t="shared" si="11"/>
        <v>0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>
        <v>5</v>
      </c>
      <c r="AC393" s="11">
        <v>5</v>
      </c>
      <c r="AD393" s="11">
        <v>5</v>
      </c>
      <c r="AE393" s="11">
        <v>5</v>
      </c>
      <c r="AF393" s="11">
        <v>5</v>
      </c>
      <c r="AG393" s="11">
        <v>5</v>
      </c>
      <c r="AH393" s="11">
        <v>5</v>
      </c>
      <c r="AI393" s="11">
        <v>5</v>
      </c>
      <c r="AJ393" s="11">
        <v>5</v>
      </c>
      <c r="AK393" s="11">
        <v>5</v>
      </c>
      <c r="AL393" s="11">
        <v>5</v>
      </c>
      <c r="AM393" s="11">
        <v>5</v>
      </c>
      <c r="AN393" s="72">
        <v>5</v>
      </c>
      <c r="AO393" s="72">
        <v>5</v>
      </c>
      <c r="AP393" s="72">
        <v>5</v>
      </c>
      <c r="AQ393" s="72">
        <v>0</v>
      </c>
      <c r="AR393" s="72">
        <v>0</v>
      </c>
      <c r="AS393" s="72">
        <v>0</v>
      </c>
      <c r="AT393" s="72">
        <v>0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0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  <c r="DQ393" s="72">
        <v>0</v>
      </c>
    </row>
    <row r="394" spans="1:121" ht="39.85" x14ac:dyDescent="0.35">
      <c r="A394" s="7"/>
      <c r="B394" s="8" t="s">
        <v>650</v>
      </c>
      <c r="C394" s="9" t="s">
        <v>651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>
        <v>2</v>
      </c>
      <c r="K394" s="10" t="s">
        <v>153</v>
      </c>
      <c r="L394" s="14" t="s">
        <v>652</v>
      </c>
      <c r="M394" s="12">
        <v>875.72</v>
      </c>
      <c r="N394" s="12">
        <f t="shared" si="11"/>
        <v>0</v>
      </c>
      <c r="O394" s="11">
        <v>16</v>
      </c>
      <c r="P394" s="11">
        <v>16</v>
      </c>
      <c r="Q394" s="11">
        <v>15</v>
      </c>
      <c r="R394" s="11">
        <v>15</v>
      </c>
      <c r="S394" s="11">
        <v>15</v>
      </c>
      <c r="T394" s="11">
        <v>13</v>
      </c>
      <c r="U394" s="11">
        <v>0</v>
      </c>
      <c r="V394" s="11">
        <v>0</v>
      </c>
      <c r="W394" s="11">
        <v>0</v>
      </c>
      <c r="X394" s="11">
        <v>0</v>
      </c>
      <c r="Y394" s="11">
        <v>0</v>
      </c>
      <c r="Z394" s="11">
        <v>0</v>
      </c>
      <c r="AA394" s="11">
        <v>0</v>
      </c>
      <c r="AB394" s="11">
        <v>20</v>
      </c>
      <c r="AC394" s="11">
        <v>20</v>
      </c>
      <c r="AD394" s="11">
        <v>20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7</v>
      </c>
      <c r="AP394" s="72">
        <v>7</v>
      </c>
      <c r="AQ394" s="72">
        <v>0</v>
      </c>
      <c r="AR394" s="72">
        <v>1</v>
      </c>
      <c r="AS394" s="72">
        <v>1</v>
      </c>
      <c r="AT394" s="72">
        <v>1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24</v>
      </c>
      <c r="BE394" s="72">
        <v>24</v>
      </c>
      <c r="BF394" s="72">
        <v>24</v>
      </c>
      <c r="BG394" s="72">
        <v>24</v>
      </c>
      <c r="BH394" s="72">
        <v>24</v>
      </c>
      <c r="BI394" s="72">
        <v>24</v>
      </c>
      <c r="BJ394" s="72">
        <v>24</v>
      </c>
      <c r="BK394" s="72">
        <v>21</v>
      </c>
      <c r="BL394" s="72">
        <v>21</v>
      </c>
      <c r="BM394" s="72">
        <v>21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1</v>
      </c>
      <c r="BT394" s="72">
        <v>1</v>
      </c>
      <c r="BU394" s="72">
        <v>1</v>
      </c>
      <c r="BV394" s="72">
        <v>2</v>
      </c>
      <c r="BW394" s="72">
        <v>1</v>
      </c>
      <c r="BX394" s="72">
        <v>1</v>
      </c>
      <c r="BY394" s="72">
        <v>1</v>
      </c>
      <c r="BZ394" s="72">
        <v>1</v>
      </c>
      <c r="CA394" s="72">
        <v>1</v>
      </c>
      <c r="CB394" s="72">
        <v>1</v>
      </c>
      <c r="CC394" s="72">
        <v>1</v>
      </c>
      <c r="CD394" s="72">
        <v>1</v>
      </c>
      <c r="CE394" s="72">
        <v>1</v>
      </c>
      <c r="CF394" s="72">
        <v>1</v>
      </c>
      <c r="CG394" s="72">
        <v>1</v>
      </c>
      <c r="CH394" s="72">
        <v>1</v>
      </c>
      <c r="CI394" s="72">
        <v>1</v>
      </c>
      <c r="CJ394" s="72">
        <v>1</v>
      </c>
      <c r="CK394" s="72">
        <v>1</v>
      </c>
      <c r="CL394" s="72">
        <v>1</v>
      </c>
      <c r="CM394" s="72">
        <v>1</v>
      </c>
      <c r="CN394" s="72">
        <v>1</v>
      </c>
      <c r="CO394" s="72">
        <v>1</v>
      </c>
      <c r="CP394" s="72">
        <v>1</v>
      </c>
      <c r="CQ394" s="72">
        <v>1</v>
      </c>
      <c r="CR394" s="72">
        <v>1</v>
      </c>
      <c r="CS394" s="72">
        <v>1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</row>
    <row r="395" spans="1:121" x14ac:dyDescent="0.35">
      <c r="A395" s="7"/>
      <c r="B395" s="8" t="s">
        <v>1353</v>
      </c>
      <c r="C395" s="9" t="s">
        <v>651</v>
      </c>
      <c r="D395" s="10" t="s">
        <v>594</v>
      </c>
      <c r="E395" s="8" t="s">
        <v>1203</v>
      </c>
      <c r="F395" s="10"/>
      <c r="G395" s="10"/>
      <c r="H395" s="10" t="s">
        <v>41</v>
      </c>
      <c r="I395" s="11"/>
      <c r="J395" s="10"/>
      <c r="K395" s="10"/>
      <c r="L395" s="14"/>
      <c r="M395" s="12"/>
      <c r="N395" s="12">
        <f t="shared" si="11"/>
        <v>0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>
        <v>1</v>
      </c>
      <c r="BK395" s="72">
        <v>1</v>
      </c>
      <c r="BL395" s="72">
        <v>1</v>
      </c>
      <c r="BM395" s="72">
        <v>1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>
        <v>0</v>
      </c>
    </row>
    <row r="396" spans="1:121" ht="39.85" x14ac:dyDescent="0.35">
      <c r="A396" s="7"/>
      <c r="B396" s="8" t="s">
        <v>653</v>
      </c>
      <c r="C396" s="9" t="s">
        <v>654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>
        <v>0</v>
      </c>
      <c r="K396" s="10" t="s">
        <v>153</v>
      </c>
      <c r="L396" s="14" t="s">
        <v>655</v>
      </c>
      <c r="M396" s="12">
        <v>975</v>
      </c>
      <c r="N396" s="12">
        <f t="shared" si="11"/>
        <v>0</v>
      </c>
      <c r="O396" s="11"/>
      <c r="P396" s="11"/>
      <c r="Q396" s="11">
        <v>6</v>
      </c>
      <c r="R396" s="11">
        <v>6</v>
      </c>
      <c r="S396" s="11">
        <v>6</v>
      </c>
      <c r="T396" s="11">
        <v>6</v>
      </c>
      <c r="U396" s="11">
        <v>6</v>
      </c>
      <c r="V396" s="11">
        <v>6</v>
      </c>
      <c r="W396" s="11">
        <v>6</v>
      </c>
      <c r="X396" s="11">
        <v>5</v>
      </c>
      <c r="Y396" s="11">
        <v>5</v>
      </c>
      <c r="Z396" s="11">
        <v>5</v>
      </c>
      <c r="AA396" s="11">
        <v>5</v>
      </c>
      <c r="AB396" s="11">
        <v>6</v>
      </c>
      <c r="AC396" s="11">
        <v>6</v>
      </c>
      <c r="AD396" s="11">
        <v>6</v>
      </c>
      <c r="AE396" s="11">
        <v>6</v>
      </c>
      <c r="AF396" s="11">
        <v>6</v>
      </c>
      <c r="AG396" s="11">
        <v>6</v>
      </c>
      <c r="AH396" s="11">
        <v>0</v>
      </c>
      <c r="AI396" s="11">
        <v>0</v>
      </c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</row>
    <row r="397" spans="1:121" x14ac:dyDescent="0.35">
      <c r="A397" s="7"/>
      <c r="B397" s="8" t="s">
        <v>1269</v>
      </c>
      <c r="C397" s="78" t="s">
        <v>1278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14"/>
      <c r="M397" s="12"/>
      <c r="N397" s="12">
        <f t="shared" si="11"/>
        <v>0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</row>
    <row r="398" spans="1:121" x14ac:dyDescent="0.35">
      <c r="A398" s="7"/>
      <c r="B398" s="8" t="s">
        <v>656</v>
      </c>
      <c r="C398" s="9" t="s">
        <v>657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42</v>
      </c>
      <c r="L398" s="8" t="s">
        <v>658</v>
      </c>
      <c r="M398" s="12"/>
      <c r="N398" s="12">
        <f t="shared" si="11"/>
        <v>0</v>
      </c>
      <c r="O398" s="11">
        <v>6</v>
      </c>
      <c r="P398" s="11">
        <v>6</v>
      </c>
      <c r="Q398" s="11">
        <v>6</v>
      </c>
      <c r="R398" s="11">
        <v>6</v>
      </c>
      <c r="S398" s="11">
        <v>6</v>
      </c>
      <c r="T398" s="11">
        <v>0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</row>
    <row r="399" spans="1:121" x14ac:dyDescent="0.35">
      <c r="A399" s="7"/>
      <c r="B399" s="8" t="s">
        <v>660</v>
      </c>
      <c r="C399" s="9" t="s">
        <v>661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11</v>
      </c>
      <c r="J399" s="10"/>
      <c r="K399" s="10" t="s">
        <v>42</v>
      </c>
      <c r="L399" s="8" t="s">
        <v>662</v>
      </c>
      <c r="M399" s="12">
        <v>1323</v>
      </c>
      <c r="N399" s="12">
        <f t="shared" si="11"/>
        <v>0</v>
      </c>
      <c r="O399" s="11"/>
      <c r="P399" s="11"/>
      <c r="Q399" s="11">
        <v>30</v>
      </c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>
        <v>11</v>
      </c>
      <c r="AC399" s="11">
        <v>11</v>
      </c>
      <c r="AD399" s="11">
        <v>11</v>
      </c>
      <c r="AE399" s="11">
        <v>11</v>
      </c>
      <c r="AF399" s="11">
        <v>11</v>
      </c>
      <c r="AG399" s="11">
        <v>11</v>
      </c>
      <c r="AH399" s="11">
        <v>11</v>
      </c>
      <c r="AI399" s="11">
        <v>11</v>
      </c>
      <c r="AJ399" s="11">
        <v>11</v>
      </c>
      <c r="AK399" s="11">
        <v>11</v>
      </c>
      <c r="AL399" s="11">
        <v>11</v>
      </c>
      <c r="AM399" s="11">
        <v>11</v>
      </c>
      <c r="AN399" s="72">
        <v>11</v>
      </c>
      <c r="AO399" s="72">
        <v>11</v>
      </c>
      <c r="AP399" s="72">
        <v>11</v>
      </c>
      <c r="AQ399" s="72">
        <v>11</v>
      </c>
      <c r="AR399" s="72">
        <v>11</v>
      </c>
      <c r="AS399" s="72">
        <v>11</v>
      </c>
      <c r="AT399" s="72">
        <v>10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25</v>
      </c>
      <c r="BE399" s="72">
        <v>25</v>
      </c>
      <c r="BF399" s="72">
        <v>25</v>
      </c>
      <c r="BG399" s="72">
        <v>25</v>
      </c>
      <c r="BH399" s="72">
        <v>25</v>
      </c>
      <c r="BI399" s="72">
        <v>25</v>
      </c>
      <c r="BJ399" s="72">
        <v>25</v>
      </c>
      <c r="BK399" s="72">
        <v>25</v>
      </c>
      <c r="BL399" s="72">
        <v>25</v>
      </c>
      <c r="BM399" s="72">
        <v>25</v>
      </c>
      <c r="BN399" s="72">
        <v>14</v>
      </c>
      <c r="BO399" s="72">
        <v>14</v>
      </c>
      <c r="BP399" s="72">
        <v>13</v>
      </c>
      <c r="BQ399" s="72">
        <v>13</v>
      </c>
      <c r="BR399" s="72">
        <v>3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</row>
    <row r="400" spans="1:121" x14ac:dyDescent="0.35">
      <c r="A400" s="7"/>
      <c r="B400" s="77" t="s">
        <v>1388</v>
      </c>
      <c r="C400" s="9" t="s">
        <v>1390</v>
      </c>
      <c r="D400" s="10" t="s">
        <v>594</v>
      </c>
      <c r="E400" s="8" t="s">
        <v>1203</v>
      </c>
      <c r="F400" s="10"/>
      <c r="G400" s="10"/>
      <c r="H400" s="10" t="s">
        <v>41</v>
      </c>
      <c r="I400" s="11">
        <v>0</v>
      </c>
      <c r="J400" s="10"/>
      <c r="K400" s="10"/>
      <c r="L400" s="8"/>
      <c r="M400" s="12"/>
      <c r="N400" s="12">
        <f t="shared" si="11"/>
        <v>0</v>
      </c>
      <c r="O400" s="11">
        <v>0</v>
      </c>
      <c r="P400" s="11">
        <v>0</v>
      </c>
      <c r="Q400" s="11">
        <v>0</v>
      </c>
      <c r="R400" s="11">
        <v>0</v>
      </c>
      <c r="S400" s="11">
        <v>0</v>
      </c>
      <c r="T400" s="11">
        <v>0</v>
      </c>
      <c r="U400" s="11">
        <v>0</v>
      </c>
      <c r="V400" s="11">
        <v>0</v>
      </c>
      <c r="W400" s="11">
        <v>0</v>
      </c>
      <c r="X400" s="11">
        <v>0</v>
      </c>
      <c r="Y400" s="11">
        <v>0</v>
      </c>
      <c r="Z400" s="11">
        <v>0</v>
      </c>
      <c r="AA400" s="11">
        <v>0</v>
      </c>
      <c r="AB400" s="11">
        <v>0</v>
      </c>
      <c r="AC400" s="11">
        <v>0</v>
      </c>
      <c r="AD400" s="11">
        <v>0</v>
      </c>
      <c r="AE400" s="11">
        <v>0</v>
      </c>
      <c r="AF400" s="11">
        <v>0</v>
      </c>
      <c r="AG400" s="11">
        <v>0</v>
      </c>
      <c r="AH400" s="11">
        <v>0</v>
      </c>
      <c r="AI400" s="11">
        <v>0</v>
      </c>
      <c r="AJ400" s="11">
        <v>0</v>
      </c>
      <c r="AK400" s="11">
        <v>0</v>
      </c>
      <c r="AL400" s="11">
        <v>0</v>
      </c>
      <c r="AM400" s="11">
        <v>0</v>
      </c>
      <c r="AN400" s="72">
        <v>0</v>
      </c>
      <c r="AO400" s="72">
        <v>0</v>
      </c>
      <c r="AP400" s="72">
        <v>0</v>
      </c>
      <c r="AQ400" s="72">
        <v>0</v>
      </c>
      <c r="AR400" s="72">
        <v>0</v>
      </c>
      <c r="AS400" s="72">
        <v>0</v>
      </c>
      <c r="AT400" s="72">
        <v>0</v>
      </c>
      <c r="AU400" s="72">
        <v>0</v>
      </c>
      <c r="AV400" s="72">
        <v>0</v>
      </c>
      <c r="AW400" s="72">
        <v>0</v>
      </c>
      <c r="AX400" s="72">
        <v>0</v>
      </c>
      <c r="AY400" s="72">
        <v>0</v>
      </c>
      <c r="AZ400" s="72">
        <v>0</v>
      </c>
      <c r="BA400" s="72">
        <v>0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0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1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</row>
    <row r="401" spans="1:121" x14ac:dyDescent="0.35">
      <c r="A401" s="7"/>
      <c r="B401" s="8" t="s">
        <v>663</v>
      </c>
      <c r="C401" s="9" t="s">
        <v>664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20</v>
      </c>
      <c r="J401" s="10"/>
      <c r="K401" s="10" t="s">
        <v>153</v>
      </c>
      <c r="L401" s="8"/>
      <c r="M401" s="12">
        <v>1348</v>
      </c>
      <c r="N401" s="12">
        <f t="shared" si="11"/>
        <v>0</v>
      </c>
      <c r="O401" s="11">
        <v>25</v>
      </c>
      <c r="P401" s="11">
        <v>25</v>
      </c>
      <c r="Q401" s="11">
        <v>30</v>
      </c>
      <c r="R401" s="11">
        <v>30</v>
      </c>
      <c r="S401" s="11">
        <v>30</v>
      </c>
      <c r="T401" s="11">
        <v>30</v>
      </c>
      <c r="U401" s="11">
        <v>22</v>
      </c>
      <c r="V401" s="11">
        <v>22</v>
      </c>
      <c r="W401" s="11">
        <v>22</v>
      </c>
      <c r="X401" s="11">
        <v>22</v>
      </c>
      <c r="Y401" s="11">
        <v>22</v>
      </c>
      <c r="Z401" s="11">
        <v>22</v>
      </c>
      <c r="AA401" s="11">
        <v>22</v>
      </c>
      <c r="AB401" s="11">
        <v>23</v>
      </c>
      <c r="AC401" s="11">
        <v>23</v>
      </c>
      <c r="AD401" s="11">
        <v>23</v>
      </c>
      <c r="AE401" s="11">
        <v>22</v>
      </c>
      <c r="AF401" s="11">
        <v>22</v>
      </c>
      <c r="AG401" s="11">
        <v>22</v>
      </c>
      <c r="AH401" s="11">
        <v>22</v>
      </c>
      <c r="AI401" s="11">
        <v>20</v>
      </c>
      <c r="AJ401" s="11">
        <v>20</v>
      </c>
      <c r="AK401" s="11">
        <v>20</v>
      </c>
      <c r="AL401" s="11">
        <v>20</v>
      </c>
      <c r="AM401" s="11">
        <v>20</v>
      </c>
      <c r="AN401" s="72">
        <v>20</v>
      </c>
      <c r="AO401" s="72">
        <v>23</v>
      </c>
      <c r="AP401" s="72">
        <v>21</v>
      </c>
      <c r="AQ401" s="72">
        <v>21</v>
      </c>
      <c r="AR401" s="72">
        <v>21</v>
      </c>
      <c r="AS401" s="72">
        <v>21</v>
      </c>
      <c r="AT401" s="72">
        <v>21</v>
      </c>
      <c r="AU401" s="72">
        <v>21</v>
      </c>
      <c r="AV401" s="72">
        <v>21</v>
      </c>
      <c r="AW401" s="72">
        <v>36</v>
      </c>
      <c r="AX401" s="72">
        <v>36</v>
      </c>
      <c r="AY401" s="72">
        <v>29</v>
      </c>
      <c r="AZ401" s="72">
        <v>29</v>
      </c>
      <c r="BA401" s="72">
        <v>29</v>
      </c>
      <c r="BB401" s="72">
        <v>28</v>
      </c>
      <c r="BC401" s="72">
        <v>28</v>
      </c>
      <c r="BD401" s="72">
        <v>28</v>
      </c>
      <c r="BE401" s="72">
        <v>28</v>
      </c>
      <c r="BF401" s="72">
        <v>28</v>
      </c>
      <c r="BG401" s="72">
        <v>28</v>
      </c>
      <c r="BH401" s="72">
        <v>28</v>
      </c>
      <c r="BI401" s="72">
        <v>28</v>
      </c>
      <c r="BJ401" s="72">
        <v>28</v>
      </c>
      <c r="BK401" s="72">
        <v>28</v>
      </c>
      <c r="BL401" s="72">
        <v>28</v>
      </c>
      <c r="BM401" s="72">
        <v>28</v>
      </c>
      <c r="BN401" s="72">
        <v>16</v>
      </c>
      <c r="BO401" s="72">
        <v>16</v>
      </c>
      <c r="BP401" s="72">
        <v>16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</row>
    <row r="402" spans="1:121" x14ac:dyDescent="0.35">
      <c r="A402" s="7"/>
      <c r="B402" s="77" t="s">
        <v>1337</v>
      </c>
      <c r="C402" s="9" t="s">
        <v>664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0</v>
      </c>
      <c r="J402" s="10">
        <v>1</v>
      </c>
      <c r="K402" s="10" t="s">
        <v>659</v>
      </c>
      <c r="L402" s="8" t="s">
        <v>665</v>
      </c>
      <c r="M402" s="12"/>
      <c r="N402" s="12">
        <f t="shared" si="11"/>
        <v>0</v>
      </c>
      <c r="O402" s="11">
        <v>0</v>
      </c>
      <c r="P402" s="11">
        <v>0</v>
      </c>
      <c r="Q402" s="11"/>
      <c r="R402" s="11">
        <v>0</v>
      </c>
      <c r="S402" s="11">
        <v>0</v>
      </c>
      <c r="T402" s="11">
        <v>0</v>
      </c>
      <c r="U402" s="11">
        <v>0</v>
      </c>
      <c r="V402" s="11">
        <v>0</v>
      </c>
      <c r="W402" s="11">
        <v>0</v>
      </c>
      <c r="X402" s="11">
        <v>0</v>
      </c>
      <c r="Y402" s="11">
        <v>0</v>
      </c>
      <c r="Z402" s="11">
        <v>0</v>
      </c>
      <c r="AA402" s="11">
        <v>22</v>
      </c>
      <c r="AB402" s="11">
        <v>0</v>
      </c>
      <c r="AC402" s="11">
        <v>0</v>
      </c>
      <c r="AD402" s="11">
        <v>0</v>
      </c>
      <c r="AE402" s="11">
        <v>0</v>
      </c>
      <c r="AF402" s="11">
        <v>0</v>
      </c>
      <c r="AG402" s="11">
        <v>0</v>
      </c>
      <c r="AH402" s="11">
        <v>0</v>
      </c>
      <c r="AI402" s="11">
        <v>0</v>
      </c>
      <c r="AJ402" s="11">
        <v>0</v>
      </c>
      <c r="AK402" s="11">
        <v>0</v>
      </c>
      <c r="AL402" s="11">
        <v>0</v>
      </c>
      <c r="AM402" s="11">
        <v>0</v>
      </c>
      <c r="AN402" s="72">
        <v>0</v>
      </c>
      <c r="AO402" s="72">
        <v>0</v>
      </c>
      <c r="AP402" s="72">
        <v>0</v>
      </c>
      <c r="AQ402" s="72">
        <v>0</v>
      </c>
      <c r="AR402" s="72">
        <v>0</v>
      </c>
      <c r="AS402" s="72">
        <v>0</v>
      </c>
      <c r="AT402" s="72">
        <v>0</v>
      </c>
      <c r="AU402" s="72">
        <v>0</v>
      </c>
      <c r="AV402" s="72">
        <v>0</v>
      </c>
      <c r="AW402" s="72">
        <v>0</v>
      </c>
      <c r="AX402" s="72">
        <v>0</v>
      </c>
      <c r="AY402" s="72">
        <v>0</v>
      </c>
      <c r="AZ402" s="72">
        <v>0</v>
      </c>
      <c r="BA402" s="72">
        <v>0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</row>
    <row r="403" spans="1:121" x14ac:dyDescent="0.35">
      <c r="A403" s="7"/>
      <c r="B403" s="8" t="s">
        <v>666</v>
      </c>
      <c r="C403" s="9" t="s">
        <v>1160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153</v>
      </c>
      <c r="L403" s="8" t="s">
        <v>667</v>
      </c>
      <c r="M403" s="12"/>
      <c r="N403" s="12">
        <f t="shared" si="11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1</v>
      </c>
      <c r="BK403" s="72">
        <v>1</v>
      </c>
      <c r="BL403" s="72">
        <v>1</v>
      </c>
      <c r="BM403" s="72">
        <v>1</v>
      </c>
      <c r="BN403" s="72">
        <v>1</v>
      </c>
      <c r="BO403" s="72">
        <v>1</v>
      </c>
      <c r="BP403" s="72">
        <v>1</v>
      </c>
      <c r="BQ403" s="72">
        <v>1</v>
      </c>
      <c r="BR403" s="72">
        <v>1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</row>
    <row r="404" spans="1:121" x14ac:dyDescent="0.35">
      <c r="A404" s="7"/>
      <c r="B404" s="8" t="s">
        <v>668</v>
      </c>
      <c r="C404" s="78" t="s">
        <v>1348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4</v>
      </c>
      <c r="J404" s="10">
        <v>1</v>
      </c>
      <c r="K404" s="10" t="s">
        <v>153</v>
      </c>
      <c r="L404" s="8" t="s">
        <v>669</v>
      </c>
      <c r="M404" s="12">
        <v>3000</v>
      </c>
      <c r="N404" s="12">
        <f t="shared" si="11"/>
        <v>12000</v>
      </c>
      <c r="O404" s="11">
        <v>5</v>
      </c>
      <c r="P404" s="11">
        <v>5</v>
      </c>
      <c r="Q404" s="11">
        <v>5</v>
      </c>
      <c r="R404" s="11">
        <v>5</v>
      </c>
      <c r="S404" s="11">
        <v>5</v>
      </c>
      <c r="T404" s="11">
        <v>5</v>
      </c>
      <c r="U404" s="11">
        <v>5</v>
      </c>
      <c r="V404" s="11">
        <v>5</v>
      </c>
      <c r="W404" s="11">
        <v>5</v>
      </c>
      <c r="X404" s="11">
        <v>4</v>
      </c>
      <c r="Y404" s="11">
        <v>4</v>
      </c>
      <c r="Z404" s="11">
        <v>4</v>
      </c>
      <c r="AA404" s="11">
        <v>4</v>
      </c>
      <c r="AB404" s="11">
        <v>4</v>
      </c>
      <c r="AC404" s="11">
        <v>4</v>
      </c>
      <c r="AD404" s="11">
        <v>4</v>
      </c>
      <c r="AE404" s="11">
        <v>4</v>
      </c>
      <c r="AF404" s="11">
        <v>4</v>
      </c>
      <c r="AG404" s="11">
        <v>4</v>
      </c>
      <c r="AH404" s="11">
        <v>4</v>
      </c>
      <c r="AI404" s="11">
        <v>4</v>
      </c>
      <c r="AJ404" s="11">
        <v>4</v>
      </c>
      <c r="AK404" s="11">
        <v>4</v>
      </c>
      <c r="AL404" s="11">
        <v>4</v>
      </c>
      <c r="AM404" s="11">
        <v>4</v>
      </c>
      <c r="AN404" s="72">
        <v>4</v>
      </c>
      <c r="AO404" s="72">
        <v>4</v>
      </c>
      <c r="AP404" s="72">
        <v>4</v>
      </c>
      <c r="AQ404" s="72">
        <v>4</v>
      </c>
      <c r="AR404" s="72">
        <v>4</v>
      </c>
      <c r="AS404" s="72">
        <v>4</v>
      </c>
      <c r="AT404" s="72">
        <v>4</v>
      </c>
      <c r="AU404" s="72">
        <v>4</v>
      </c>
      <c r="AV404" s="72">
        <v>4</v>
      </c>
      <c r="AW404" s="72">
        <v>4</v>
      </c>
      <c r="AX404" s="72">
        <v>4</v>
      </c>
      <c r="AY404" s="72">
        <v>4</v>
      </c>
      <c r="AZ404" s="72">
        <v>4</v>
      </c>
      <c r="BA404" s="72">
        <v>4</v>
      </c>
      <c r="BB404" s="72">
        <v>4</v>
      </c>
      <c r="BC404" s="72">
        <v>4</v>
      </c>
      <c r="BD404" s="72">
        <v>4</v>
      </c>
      <c r="BE404" s="72">
        <v>4</v>
      </c>
      <c r="BF404" s="72">
        <v>4</v>
      </c>
      <c r="BG404" s="72">
        <v>4</v>
      </c>
      <c r="BH404" s="72">
        <v>4</v>
      </c>
      <c r="BI404" s="72">
        <v>4</v>
      </c>
      <c r="BJ404" s="72">
        <v>4</v>
      </c>
      <c r="BK404" s="72">
        <v>4</v>
      </c>
      <c r="BL404" s="72">
        <v>4</v>
      </c>
      <c r="BM404" s="72">
        <v>4</v>
      </c>
      <c r="BN404" s="72">
        <v>4</v>
      </c>
      <c r="BO404" s="72">
        <v>4</v>
      </c>
      <c r="BP404" s="72">
        <v>4</v>
      </c>
      <c r="BQ404" s="72">
        <v>4</v>
      </c>
      <c r="BR404" s="72">
        <v>4</v>
      </c>
      <c r="BS404" s="72">
        <v>4</v>
      </c>
      <c r="BT404" s="72">
        <v>4</v>
      </c>
      <c r="BU404" s="72">
        <v>4</v>
      </c>
      <c r="BV404" s="72">
        <v>4</v>
      </c>
      <c r="BW404" s="72">
        <v>4</v>
      </c>
      <c r="BX404" s="72">
        <v>4</v>
      </c>
      <c r="BY404" s="72">
        <v>4</v>
      </c>
      <c r="BZ404" s="72">
        <v>4</v>
      </c>
      <c r="CA404" s="72">
        <v>4</v>
      </c>
      <c r="CB404" s="72">
        <v>4</v>
      </c>
      <c r="CC404" s="72">
        <v>4</v>
      </c>
      <c r="CD404" s="72">
        <v>4</v>
      </c>
      <c r="CE404" s="72">
        <v>4</v>
      </c>
      <c r="CF404" s="72">
        <v>4</v>
      </c>
      <c r="CG404" s="72">
        <v>4</v>
      </c>
      <c r="CH404" s="72">
        <v>4</v>
      </c>
      <c r="CI404" s="72">
        <v>4</v>
      </c>
      <c r="CJ404" s="72">
        <v>4</v>
      </c>
      <c r="CK404" s="72">
        <v>4</v>
      </c>
      <c r="CL404" s="72">
        <v>4</v>
      </c>
      <c r="CM404" s="72">
        <v>4</v>
      </c>
      <c r="CN404" s="72">
        <v>4</v>
      </c>
      <c r="CO404" s="72">
        <v>4</v>
      </c>
      <c r="CP404" s="72">
        <v>4</v>
      </c>
      <c r="CQ404" s="72">
        <v>4</v>
      </c>
      <c r="CR404" s="72">
        <v>4</v>
      </c>
      <c r="CS404" s="72">
        <v>4</v>
      </c>
      <c r="CT404" s="72">
        <v>4</v>
      </c>
      <c r="CU404" s="72">
        <v>4</v>
      </c>
      <c r="CV404" s="72">
        <v>4</v>
      </c>
      <c r="CW404" s="72">
        <v>4</v>
      </c>
      <c r="CX404" s="72">
        <v>4</v>
      </c>
      <c r="CY404" s="72">
        <v>4</v>
      </c>
      <c r="CZ404" s="72">
        <v>4</v>
      </c>
      <c r="DA404" s="72">
        <v>4</v>
      </c>
      <c r="DB404" s="72">
        <v>4</v>
      </c>
      <c r="DC404" s="72">
        <v>4</v>
      </c>
      <c r="DD404" s="72">
        <v>4</v>
      </c>
      <c r="DE404" s="72">
        <v>4</v>
      </c>
      <c r="DF404" s="72">
        <v>4</v>
      </c>
      <c r="DG404" s="72">
        <v>4</v>
      </c>
      <c r="DH404" s="72">
        <v>4</v>
      </c>
      <c r="DI404" s="72">
        <v>4</v>
      </c>
      <c r="DJ404" s="72">
        <v>4</v>
      </c>
      <c r="DK404" s="72">
        <v>4</v>
      </c>
      <c r="DL404" s="72">
        <v>4</v>
      </c>
      <c r="DM404" s="72">
        <v>4</v>
      </c>
      <c r="DN404" s="72">
        <v>4</v>
      </c>
      <c r="DO404" s="72">
        <v>4</v>
      </c>
      <c r="DP404" s="72">
        <v>4</v>
      </c>
      <c r="DQ404" s="72">
        <v>4</v>
      </c>
    </row>
    <row r="405" spans="1:121" x14ac:dyDescent="0.35">
      <c r="A405" s="7"/>
      <c r="B405" s="77" t="s">
        <v>1174</v>
      </c>
      <c r="C405" s="9" t="s">
        <v>1183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/>
      <c r="J405" s="10"/>
      <c r="K405" s="10"/>
      <c r="L405" s="8"/>
      <c r="M405" s="12"/>
      <c r="N405" s="12">
        <f t="shared" si="11"/>
        <v>0</v>
      </c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72"/>
      <c r="AO405" s="72">
        <v>1</v>
      </c>
      <c r="AP405" s="72">
        <v>1</v>
      </c>
      <c r="AQ405" s="72">
        <v>1</v>
      </c>
      <c r="AR405" s="72">
        <v>1</v>
      </c>
      <c r="AS405" s="72">
        <v>1</v>
      </c>
      <c r="AT405" s="72">
        <v>1</v>
      </c>
      <c r="AU405" s="72">
        <v>1</v>
      </c>
      <c r="AV405" s="72">
        <v>1</v>
      </c>
      <c r="AW405" s="72">
        <v>1</v>
      </c>
      <c r="AX405" s="72">
        <v>1</v>
      </c>
      <c r="AY405" s="72">
        <v>1</v>
      </c>
      <c r="AZ405" s="72">
        <v>1</v>
      </c>
      <c r="BA405" s="72">
        <v>1</v>
      </c>
      <c r="BB405" s="72">
        <v>1</v>
      </c>
      <c r="BC405" s="72">
        <v>1</v>
      </c>
      <c r="BD405" s="72">
        <v>1</v>
      </c>
      <c r="BE405" s="72">
        <v>1</v>
      </c>
      <c r="BF405" s="72">
        <v>1</v>
      </c>
      <c r="BG405" s="72">
        <v>1</v>
      </c>
      <c r="BH405" s="72">
        <v>1</v>
      </c>
      <c r="BI405" s="72">
        <v>1</v>
      </c>
      <c r="BJ405" s="72">
        <v>1</v>
      </c>
      <c r="BK405" s="72">
        <v>1</v>
      </c>
      <c r="BL405" s="72">
        <v>1</v>
      </c>
      <c r="BM405" s="72">
        <v>1</v>
      </c>
      <c r="BN405" s="72">
        <v>1</v>
      </c>
      <c r="BO405" s="72">
        <v>1</v>
      </c>
      <c r="BP405" s="72">
        <v>1</v>
      </c>
      <c r="BQ405" s="72">
        <v>1</v>
      </c>
      <c r="BR405" s="72">
        <v>1</v>
      </c>
      <c r="BS405" s="72">
        <v>1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</row>
    <row r="406" spans="1:121" x14ac:dyDescent="0.35">
      <c r="A406" s="7"/>
      <c r="B406" s="8" t="s">
        <v>670</v>
      </c>
      <c r="C406" s="9" t="s">
        <v>671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0</v>
      </c>
      <c r="J406" s="10"/>
      <c r="K406" s="10" t="s">
        <v>153</v>
      </c>
      <c r="L406" s="8"/>
      <c r="M406" s="12">
        <v>5138.74</v>
      </c>
      <c r="N406" s="12">
        <f t="shared" si="11"/>
        <v>0</v>
      </c>
      <c r="O406" s="11"/>
      <c r="P406" s="11"/>
      <c r="Q406" s="11">
        <v>2</v>
      </c>
      <c r="R406" s="11">
        <v>2</v>
      </c>
      <c r="S406" s="11">
        <v>2</v>
      </c>
      <c r="T406" s="11">
        <v>2</v>
      </c>
      <c r="U406" s="11">
        <v>2</v>
      </c>
      <c r="V406" s="11">
        <v>2</v>
      </c>
      <c r="W406" s="11">
        <v>2</v>
      </c>
      <c r="X406" s="11">
        <v>2</v>
      </c>
      <c r="Y406" s="11">
        <v>2</v>
      </c>
      <c r="Z406" s="11">
        <v>2</v>
      </c>
      <c r="AA406" s="11">
        <v>2</v>
      </c>
      <c r="AB406" s="11">
        <v>2</v>
      </c>
      <c r="AC406" s="11">
        <v>2</v>
      </c>
      <c r="AD406" s="11">
        <v>2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5</v>
      </c>
      <c r="AX406" s="72">
        <v>5</v>
      </c>
      <c r="AY406" s="72">
        <v>5</v>
      </c>
      <c r="AZ406" s="72">
        <v>5</v>
      </c>
      <c r="BA406" s="72">
        <v>5</v>
      </c>
      <c r="BB406" s="72">
        <v>5</v>
      </c>
      <c r="BC406" s="72">
        <v>5</v>
      </c>
      <c r="BD406" s="72">
        <v>5</v>
      </c>
      <c r="BE406" s="72">
        <v>5</v>
      </c>
      <c r="BF406" s="72">
        <v>5</v>
      </c>
      <c r="BG406" s="72">
        <v>5</v>
      </c>
      <c r="BH406" s="72">
        <v>5</v>
      </c>
      <c r="BI406" s="72">
        <v>5</v>
      </c>
      <c r="BJ406" s="72">
        <v>5</v>
      </c>
      <c r="BK406" s="72">
        <v>5</v>
      </c>
      <c r="BL406" s="72">
        <v>5</v>
      </c>
      <c r="BM406" s="72">
        <v>5</v>
      </c>
      <c r="BN406" s="72">
        <v>5</v>
      </c>
      <c r="BO406" s="72">
        <v>5</v>
      </c>
      <c r="BP406" s="72">
        <v>5</v>
      </c>
      <c r="BQ406" s="72">
        <v>3</v>
      </c>
      <c r="BR406" s="72">
        <v>1</v>
      </c>
      <c r="BS406" s="72">
        <v>1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</row>
    <row r="407" spans="1:121" x14ac:dyDescent="0.35">
      <c r="A407" s="7"/>
      <c r="B407" s="77" t="s">
        <v>1175</v>
      </c>
      <c r="C407" s="78" t="s">
        <v>1187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/>
      <c r="J407" s="10"/>
      <c r="K407" s="10"/>
      <c r="L407" s="8"/>
      <c r="M407" s="12">
        <v>3961.71</v>
      </c>
      <c r="N407" s="12">
        <f t="shared" si="11"/>
        <v>7923.42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  <c r="DJ407" s="72">
        <v>2</v>
      </c>
      <c r="DK407" s="72">
        <v>2</v>
      </c>
      <c r="DL407" s="72">
        <v>2</v>
      </c>
      <c r="DM407" s="72">
        <v>2</v>
      </c>
      <c r="DN407" s="72">
        <v>2</v>
      </c>
      <c r="DO407" s="72">
        <v>2</v>
      </c>
      <c r="DP407" s="72">
        <v>2</v>
      </c>
      <c r="DQ407" s="72">
        <v>2</v>
      </c>
    </row>
    <row r="408" spans="1:121" x14ac:dyDescent="0.35">
      <c r="A408" s="7"/>
      <c r="B408" s="8" t="s">
        <v>672</v>
      </c>
      <c r="C408" s="9" t="s">
        <v>673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674</v>
      </c>
      <c r="L408" s="8"/>
      <c r="M408" s="12"/>
      <c r="N408" s="12">
        <f t="shared" si="11"/>
        <v>0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</row>
    <row r="409" spans="1:121" x14ac:dyDescent="0.35">
      <c r="A409" s="7"/>
      <c r="B409" s="8" t="s">
        <v>1338</v>
      </c>
      <c r="C409" s="9" t="s">
        <v>673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1</v>
      </c>
      <c r="J409" s="10"/>
      <c r="K409" s="10" t="s">
        <v>42</v>
      </c>
      <c r="L409" s="8"/>
      <c r="M409" s="12">
        <v>5125.82</v>
      </c>
      <c r="N409" s="12">
        <f t="shared" si="11"/>
        <v>10251.64</v>
      </c>
      <c r="O409" s="11">
        <v>1</v>
      </c>
      <c r="P409" s="11">
        <v>1</v>
      </c>
      <c r="Q409" s="11">
        <v>1</v>
      </c>
      <c r="R409" s="11">
        <v>1</v>
      </c>
      <c r="S409" s="11">
        <v>1</v>
      </c>
      <c r="T409" s="11">
        <v>1</v>
      </c>
      <c r="U409" s="11">
        <v>1</v>
      </c>
      <c r="V409" s="11">
        <v>1</v>
      </c>
      <c r="W409" s="11">
        <v>1</v>
      </c>
      <c r="X409" s="11">
        <v>1</v>
      </c>
      <c r="Y409" s="11">
        <v>1</v>
      </c>
      <c r="Z409" s="11">
        <v>1</v>
      </c>
      <c r="AA409" s="11">
        <v>1</v>
      </c>
      <c r="AB409" s="11">
        <v>1</v>
      </c>
      <c r="AC409" s="11">
        <v>1</v>
      </c>
      <c r="AD409" s="11">
        <v>1</v>
      </c>
      <c r="AE409" s="11">
        <v>1</v>
      </c>
      <c r="AF409" s="11">
        <v>1</v>
      </c>
      <c r="AG409" s="11">
        <v>1</v>
      </c>
      <c r="AH409" s="11">
        <v>1</v>
      </c>
      <c r="AI409" s="11">
        <v>1</v>
      </c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2</v>
      </c>
      <c r="DN409" s="72">
        <v>2</v>
      </c>
      <c r="DO409" s="72">
        <v>2</v>
      </c>
      <c r="DP409" s="72">
        <v>2</v>
      </c>
      <c r="DQ409" s="72">
        <v>2</v>
      </c>
    </row>
    <row r="410" spans="1:121" x14ac:dyDescent="0.35">
      <c r="A410" s="7"/>
      <c r="B410" s="8" t="s">
        <v>675</v>
      </c>
      <c r="C410" s="9" t="s">
        <v>676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0</v>
      </c>
      <c r="J410" s="10"/>
      <c r="K410" s="10" t="s">
        <v>153</v>
      </c>
      <c r="L410" s="8"/>
      <c r="M410" s="12"/>
      <c r="N410" s="12">
        <f t="shared" si="11"/>
        <v>0</v>
      </c>
      <c r="O410" s="11"/>
      <c r="P410" s="11"/>
      <c r="Q410" s="11">
        <v>2</v>
      </c>
      <c r="R410" s="11">
        <v>2</v>
      </c>
      <c r="S410" s="11">
        <v>0</v>
      </c>
      <c r="T410" s="11">
        <v>0</v>
      </c>
      <c r="U410" s="11">
        <v>0</v>
      </c>
      <c r="V410" s="11">
        <v>0</v>
      </c>
      <c r="W410" s="11">
        <v>0</v>
      </c>
      <c r="X410" s="11">
        <v>0</v>
      </c>
      <c r="Y410" s="11">
        <v>0</v>
      </c>
      <c r="Z410" s="11">
        <v>0</v>
      </c>
      <c r="AA410" s="11">
        <v>0</v>
      </c>
      <c r="AB410" s="11">
        <v>0</v>
      </c>
      <c r="AC410" s="11">
        <v>0</v>
      </c>
      <c r="AD410" s="11">
        <v>0</v>
      </c>
      <c r="AE410" s="11">
        <v>0</v>
      </c>
      <c r="AF410" s="11">
        <v>0</v>
      </c>
      <c r="AG410" s="11">
        <v>0</v>
      </c>
      <c r="AH410" s="11">
        <v>0</v>
      </c>
      <c r="AI410" s="11">
        <v>0</v>
      </c>
      <c r="AJ410" s="11">
        <v>0</v>
      </c>
      <c r="AK410" s="11">
        <v>0</v>
      </c>
      <c r="AL410" s="11">
        <v>0</v>
      </c>
      <c r="AM410" s="11">
        <v>0</v>
      </c>
      <c r="AN410" s="72">
        <v>0</v>
      </c>
      <c r="AO410" s="72">
        <v>0</v>
      </c>
      <c r="AP410" s="72">
        <v>0</v>
      </c>
      <c r="AQ410" s="72">
        <v>0</v>
      </c>
      <c r="AR410" s="72">
        <v>0</v>
      </c>
      <c r="AS410" s="72">
        <v>0</v>
      </c>
      <c r="AT410" s="72">
        <v>0</v>
      </c>
      <c r="AU410" s="72">
        <v>0</v>
      </c>
      <c r="AV410" s="72">
        <v>0</v>
      </c>
      <c r="AW410" s="72">
        <v>0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</row>
    <row r="411" spans="1:121" x14ac:dyDescent="0.35">
      <c r="A411" s="7"/>
      <c r="B411" s="77" t="s">
        <v>1176</v>
      </c>
      <c r="C411" s="9" t="s">
        <v>1184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>
        <v>711.31</v>
      </c>
      <c r="N411" s="12">
        <f t="shared" si="11"/>
        <v>711.31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2</v>
      </c>
      <c r="AX411" s="72">
        <v>2</v>
      </c>
      <c r="AY411" s="72">
        <v>2</v>
      </c>
      <c r="AZ411" s="72">
        <v>2</v>
      </c>
      <c r="BA411" s="72">
        <v>2</v>
      </c>
      <c r="BB411" s="72">
        <v>2</v>
      </c>
      <c r="BC411" s="72">
        <v>2</v>
      </c>
      <c r="BD411" s="72">
        <v>2</v>
      </c>
      <c r="BE411" s="72">
        <v>2</v>
      </c>
      <c r="BF411" s="72">
        <v>2</v>
      </c>
      <c r="BG411" s="72">
        <v>2</v>
      </c>
      <c r="BH411" s="72">
        <v>2</v>
      </c>
      <c r="BI411" s="72">
        <v>2</v>
      </c>
      <c r="BJ411" s="72">
        <v>2</v>
      </c>
      <c r="BK411" s="72">
        <v>2</v>
      </c>
      <c r="BL411" s="72">
        <v>2</v>
      </c>
      <c r="BM411" s="72">
        <v>2</v>
      </c>
      <c r="BN411" s="72">
        <v>1</v>
      </c>
      <c r="BO411" s="72">
        <v>1</v>
      </c>
      <c r="BP411" s="72">
        <v>1</v>
      </c>
      <c r="BQ411" s="72">
        <v>1</v>
      </c>
      <c r="BR411" s="72">
        <v>1</v>
      </c>
      <c r="BS411" s="72">
        <v>1</v>
      </c>
      <c r="BT411" s="72">
        <v>1</v>
      </c>
      <c r="BU411" s="72">
        <v>1</v>
      </c>
      <c r="BV411" s="72">
        <v>1</v>
      </c>
      <c r="BW411" s="72">
        <v>1</v>
      </c>
      <c r="BX411" s="72">
        <v>1</v>
      </c>
      <c r="BY411" s="72">
        <v>1</v>
      </c>
      <c r="BZ411" s="72">
        <v>1</v>
      </c>
      <c r="CA411" s="72">
        <v>1</v>
      </c>
      <c r="CB411" s="72">
        <v>1</v>
      </c>
      <c r="CC411" s="72">
        <v>1</v>
      </c>
      <c r="CD411" s="72">
        <v>1</v>
      </c>
      <c r="CE411" s="72">
        <v>1</v>
      </c>
      <c r="CF411" s="72">
        <v>1</v>
      </c>
      <c r="CG411" s="72">
        <v>1</v>
      </c>
      <c r="CH411" s="72">
        <v>1</v>
      </c>
      <c r="CI411" s="72">
        <v>1</v>
      </c>
      <c r="CJ411" s="72">
        <v>1</v>
      </c>
      <c r="CK411" s="72">
        <v>1</v>
      </c>
      <c r="CL411" s="72">
        <v>1</v>
      </c>
      <c r="CM411" s="72">
        <v>1</v>
      </c>
      <c r="CN411" s="72">
        <v>1</v>
      </c>
      <c r="CO411" s="72">
        <v>1</v>
      </c>
      <c r="CP411" s="72">
        <v>1</v>
      </c>
      <c r="CQ411" s="72">
        <v>1</v>
      </c>
      <c r="CR411" s="72">
        <v>1</v>
      </c>
      <c r="CS411" s="72">
        <v>1</v>
      </c>
      <c r="CT411" s="72">
        <v>1</v>
      </c>
      <c r="CU411" s="72">
        <v>1</v>
      </c>
      <c r="CV411" s="72">
        <v>1</v>
      </c>
      <c r="CW411" s="72">
        <v>1</v>
      </c>
      <c r="CX411" s="72">
        <v>1</v>
      </c>
      <c r="CY411" s="72">
        <v>1</v>
      </c>
      <c r="CZ411" s="72">
        <v>1</v>
      </c>
      <c r="DA411" s="72">
        <v>1</v>
      </c>
      <c r="DB411" s="72">
        <v>1</v>
      </c>
      <c r="DC411" s="72">
        <v>1</v>
      </c>
      <c r="DD411" s="72">
        <v>1</v>
      </c>
      <c r="DE411" s="72">
        <v>1</v>
      </c>
      <c r="DF411" s="72">
        <v>1</v>
      </c>
      <c r="DG411" s="72">
        <v>1</v>
      </c>
      <c r="DH411" s="72">
        <v>1</v>
      </c>
      <c r="DI411" s="72">
        <v>1</v>
      </c>
      <c r="DJ411" s="72">
        <v>1</v>
      </c>
      <c r="DK411" s="72">
        <v>1</v>
      </c>
      <c r="DL411" s="72">
        <v>1</v>
      </c>
      <c r="DM411" s="72">
        <v>1</v>
      </c>
      <c r="DN411" s="72">
        <v>1</v>
      </c>
      <c r="DO411" s="72">
        <v>1</v>
      </c>
      <c r="DP411" s="72">
        <v>1</v>
      </c>
      <c r="DQ411" s="72">
        <v>1</v>
      </c>
    </row>
    <row r="412" spans="1:121" x14ac:dyDescent="0.35">
      <c r="A412" s="7"/>
      <c r="B412" s="77" t="s">
        <v>1270</v>
      </c>
      <c r="C412" s="78" t="s">
        <v>1279</v>
      </c>
      <c r="D412" s="10" t="s">
        <v>594</v>
      </c>
      <c r="E412" s="8" t="s">
        <v>1203</v>
      </c>
      <c r="F412" s="10"/>
      <c r="G412" s="10"/>
      <c r="H412" s="10" t="s">
        <v>41</v>
      </c>
      <c r="I412" s="11"/>
      <c r="J412" s="10"/>
      <c r="K412" s="10"/>
      <c r="L412" s="8"/>
      <c r="M412" s="12">
        <v>1692.44</v>
      </c>
      <c r="N412" s="12">
        <f t="shared" si="11"/>
        <v>5077.32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>
        <v>5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5</v>
      </c>
      <c r="BR412" s="72">
        <v>3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  <c r="DI412" s="72">
        <v>3</v>
      </c>
      <c r="DJ412" s="72">
        <v>3</v>
      </c>
      <c r="DK412" s="72">
        <v>3</v>
      </c>
      <c r="DL412" s="72">
        <v>3</v>
      </c>
      <c r="DM412" s="72">
        <v>3</v>
      </c>
      <c r="DN412" s="72">
        <v>3</v>
      </c>
      <c r="DO412" s="72">
        <v>3</v>
      </c>
      <c r="DP412" s="72">
        <v>3</v>
      </c>
      <c r="DQ412" s="72">
        <v>3</v>
      </c>
    </row>
    <row r="413" spans="1:121" x14ac:dyDescent="0.35">
      <c r="A413" s="7"/>
      <c r="B413" s="8" t="s">
        <v>677</v>
      </c>
      <c r="C413" s="9" t="s">
        <v>678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>
        <v>0</v>
      </c>
      <c r="K413" s="10" t="s">
        <v>153</v>
      </c>
      <c r="L413" s="8" t="s">
        <v>658</v>
      </c>
      <c r="M413" s="12"/>
      <c r="N413" s="12">
        <f t="shared" si="11"/>
        <v>0</v>
      </c>
      <c r="O413" s="11">
        <v>3</v>
      </c>
      <c r="P413" s="11">
        <v>3</v>
      </c>
      <c r="Q413" s="11">
        <v>3</v>
      </c>
      <c r="R413" s="11">
        <v>3</v>
      </c>
      <c r="S413" s="11">
        <v>3</v>
      </c>
      <c r="T413" s="11">
        <v>3</v>
      </c>
      <c r="U413" s="11">
        <v>0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2</v>
      </c>
      <c r="CG413" s="72">
        <v>2</v>
      </c>
      <c r="CH413" s="72">
        <v>2</v>
      </c>
      <c r="CI413" s="72">
        <v>2</v>
      </c>
      <c r="CJ413" s="72">
        <v>2</v>
      </c>
      <c r="CK413" s="72">
        <v>2</v>
      </c>
      <c r="CL413" s="72">
        <v>2</v>
      </c>
      <c r="CM413" s="72">
        <v>2</v>
      </c>
      <c r="CN413" s="72">
        <v>2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</row>
    <row r="414" spans="1:121" x14ac:dyDescent="0.35">
      <c r="A414" s="7"/>
      <c r="B414" s="77" t="s">
        <v>1177</v>
      </c>
      <c r="C414" s="9" t="s">
        <v>1185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/>
      <c r="J414" s="10"/>
      <c r="K414" s="10"/>
      <c r="L414" s="8"/>
      <c r="M414" s="12">
        <v>1030.18</v>
      </c>
      <c r="N414" s="12">
        <f t="shared" si="11"/>
        <v>0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>
        <v>2</v>
      </c>
      <c r="AP414" s="72">
        <v>2</v>
      </c>
      <c r="AQ414" s="72">
        <v>2</v>
      </c>
      <c r="AR414" s="72">
        <v>2</v>
      </c>
      <c r="AS414" s="72">
        <v>2</v>
      </c>
      <c r="AT414" s="72">
        <v>2</v>
      </c>
      <c r="AU414" s="72">
        <v>2</v>
      </c>
      <c r="AV414" s="72">
        <v>2</v>
      </c>
      <c r="AW414" s="72">
        <v>2</v>
      </c>
      <c r="AX414" s="72">
        <v>2</v>
      </c>
      <c r="AY414" s="72">
        <v>2</v>
      </c>
      <c r="AZ414" s="72">
        <v>2</v>
      </c>
      <c r="BA414" s="72">
        <v>2</v>
      </c>
      <c r="BB414" s="72">
        <v>2</v>
      </c>
      <c r="BC414" s="72">
        <v>2</v>
      </c>
      <c r="BD414" s="72">
        <v>2</v>
      </c>
      <c r="BE414" s="72">
        <v>2</v>
      </c>
      <c r="BF414" s="72">
        <v>2</v>
      </c>
      <c r="BG414" s="72">
        <v>2</v>
      </c>
      <c r="BH414" s="72">
        <v>2</v>
      </c>
      <c r="BI414" s="72">
        <v>2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0</v>
      </c>
      <c r="DN414" s="72">
        <v>0</v>
      </c>
      <c r="DO414" s="72">
        <v>0</v>
      </c>
      <c r="DP414" s="72">
        <v>0</v>
      </c>
      <c r="DQ414" s="72">
        <v>0</v>
      </c>
    </row>
    <row r="415" spans="1:121" x14ac:dyDescent="0.35">
      <c r="A415" s="7"/>
      <c r="B415" s="8" t="s">
        <v>679</v>
      </c>
      <c r="C415" s="9" t="s">
        <v>680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4</v>
      </c>
      <c r="J415" s="10">
        <v>0</v>
      </c>
      <c r="K415" s="10" t="s">
        <v>153</v>
      </c>
      <c r="L415" s="8"/>
      <c r="M415" s="12">
        <v>1843.48</v>
      </c>
      <c r="N415" s="12">
        <f t="shared" si="11"/>
        <v>0</v>
      </c>
      <c r="O415" s="11">
        <v>10</v>
      </c>
      <c r="P415" s="11">
        <v>10</v>
      </c>
      <c r="Q415" s="11">
        <v>10</v>
      </c>
      <c r="R415" s="11">
        <v>10</v>
      </c>
      <c r="S415" s="11">
        <v>10</v>
      </c>
      <c r="T415" s="11">
        <v>10</v>
      </c>
      <c r="U415" s="11">
        <v>4</v>
      </c>
      <c r="V415" s="11">
        <v>4</v>
      </c>
      <c r="W415" s="11">
        <v>4</v>
      </c>
      <c r="X415" s="11">
        <v>4</v>
      </c>
      <c r="Y415" s="11">
        <v>4</v>
      </c>
      <c r="Z415" s="11">
        <v>4</v>
      </c>
      <c r="AA415" s="11">
        <v>4</v>
      </c>
      <c r="AB415" s="11">
        <v>4</v>
      </c>
      <c r="AC415" s="11">
        <v>4</v>
      </c>
      <c r="AD415" s="11">
        <v>4</v>
      </c>
      <c r="AE415" s="11">
        <v>4</v>
      </c>
      <c r="AF415" s="11">
        <v>4</v>
      </c>
      <c r="AG415" s="11">
        <v>4</v>
      </c>
      <c r="AH415" s="11">
        <v>4</v>
      </c>
      <c r="AI415" s="11">
        <v>4</v>
      </c>
      <c r="AJ415" s="11">
        <v>4</v>
      </c>
      <c r="AK415" s="11">
        <v>4</v>
      </c>
      <c r="AL415" s="11">
        <v>4</v>
      </c>
      <c r="AM415" s="11">
        <v>4</v>
      </c>
      <c r="AN415" s="72">
        <v>4</v>
      </c>
      <c r="AO415" s="72">
        <v>6</v>
      </c>
      <c r="AP415" s="72">
        <v>6</v>
      </c>
      <c r="AQ415" s="72">
        <v>6</v>
      </c>
      <c r="AR415" s="72">
        <v>6</v>
      </c>
      <c r="AS415" s="72">
        <v>6</v>
      </c>
      <c r="AT415" s="72">
        <v>6</v>
      </c>
      <c r="AU415" s="72">
        <v>6</v>
      </c>
      <c r="AV415" s="72">
        <v>6</v>
      </c>
      <c r="AW415" s="72">
        <v>6</v>
      </c>
      <c r="AX415" s="72">
        <v>6</v>
      </c>
      <c r="AY415" s="72">
        <v>6</v>
      </c>
      <c r="AZ415" s="72">
        <v>6</v>
      </c>
      <c r="BA415" s="72">
        <v>6</v>
      </c>
      <c r="BB415" s="72">
        <v>6</v>
      </c>
      <c r="BC415" s="72">
        <v>6</v>
      </c>
      <c r="BD415" s="72">
        <v>6</v>
      </c>
      <c r="BE415" s="72">
        <v>6</v>
      </c>
      <c r="BF415" s="72">
        <v>6</v>
      </c>
      <c r="BG415" s="72">
        <v>6</v>
      </c>
      <c r="BH415" s="72">
        <v>6</v>
      </c>
      <c r="BI415" s="72">
        <v>6</v>
      </c>
      <c r="BJ415" s="72">
        <v>6</v>
      </c>
      <c r="BK415" s="72">
        <v>6</v>
      </c>
      <c r="BL415" s="72">
        <v>6</v>
      </c>
      <c r="BM415" s="72">
        <v>6</v>
      </c>
      <c r="BN415" s="72">
        <v>6</v>
      </c>
      <c r="BO415" s="72">
        <v>6</v>
      </c>
      <c r="BP415" s="72">
        <v>6</v>
      </c>
      <c r="BQ415" s="72">
        <v>6</v>
      </c>
      <c r="BR415" s="72">
        <v>6</v>
      </c>
      <c r="BS415" s="72">
        <v>6</v>
      </c>
      <c r="BT415" s="72">
        <v>6</v>
      </c>
      <c r="BU415" s="72">
        <v>6</v>
      </c>
      <c r="BV415" s="72">
        <v>6</v>
      </c>
      <c r="BW415" s="72">
        <v>6</v>
      </c>
      <c r="BX415" s="72">
        <v>6</v>
      </c>
      <c r="BY415" s="72">
        <v>6</v>
      </c>
      <c r="BZ415" s="72">
        <v>6</v>
      </c>
      <c r="CA415" s="72">
        <v>6</v>
      </c>
      <c r="CB415" s="72">
        <v>6</v>
      </c>
      <c r="CC415" s="72">
        <v>6</v>
      </c>
      <c r="CD415" s="72">
        <v>6</v>
      </c>
      <c r="CE415" s="72">
        <v>6</v>
      </c>
      <c r="CF415" s="72">
        <v>6</v>
      </c>
      <c r="CG415" s="72">
        <v>6</v>
      </c>
      <c r="CH415" s="72">
        <v>6</v>
      </c>
      <c r="CI415" s="72">
        <v>6</v>
      </c>
      <c r="CJ415" s="72">
        <v>6</v>
      </c>
      <c r="CK415" s="72">
        <v>6</v>
      </c>
      <c r="CL415" s="72">
        <v>6</v>
      </c>
      <c r="CM415" s="72">
        <v>6</v>
      </c>
      <c r="CN415" s="72">
        <v>6</v>
      </c>
      <c r="CO415" s="72">
        <v>6</v>
      </c>
      <c r="CP415" s="72">
        <v>6</v>
      </c>
      <c r="CQ415" s="72">
        <v>6</v>
      </c>
      <c r="CR415" s="72">
        <v>6</v>
      </c>
      <c r="CS415" s="72">
        <v>6</v>
      </c>
      <c r="CT415" s="72">
        <v>6</v>
      </c>
      <c r="CU415" s="72">
        <v>6</v>
      </c>
      <c r="CV415" s="72">
        <v>6</v>
      </c>
      <c r="CW415" s="72">
        <v>6</v>
      </c>
      <c r="CX415" s="72">
        <v>6</v>
      </c>
      <c r="CY415" s="72">
        <v>6</v>
      </c>
      <c r="CZ415" s="72">
        <v>6</v>
      </c>
      <c r="DA415" s="72">
        <v>6</v>
      </c>
      <c r="DB415" s="72">
        <v>6</v>
      </c>
      <c r="DC415" s="72">
        <v>6</v>
      </c>
      <c r="DD415" s="72">
        <v>6</v>
      </c>
      <c r="DE415" s="72">
        <v>6</v>
      </c>
      <c r="DF415" s="72">
        <v>6</v>
      </c>
      <c r="DG415" s="72">
        <v>6</v>
      </c>
      <c r="DH415" s="72">
        <v>6</v>
      </c>
      <c r="DI415" s="72">
        <v>6</v>
      </c>
      <c r="DJ415" s="72">
        <v>6</v>
      </c>
      <c r="DK415" s="72">
        <v>6</v>
      </c>
      <c r="DL415" s="72">
        <v>6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</row>
    <row r="416" spans="1:121" x14ac:dyDescent="0.35">
      <c r="A416" s="7"/>
      <c r="B416" s="77" t="s">
        <v>1271</v>
      </c>
      <c r="C416" s="78" t="s">
        <v>1186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2"/>
      <c r="N416" s="12">
        <f t="shared" si="11"/>
        <v>0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7</v>
      </c>
      <c r="AX416" s="72">
        <v>7</v>
      </c>
      <c r="AY416" s="72">
        <v>7</v>
      </c>
      <c r="AZ416" s="72">
        <v>7</v>
      </c>
      <c r="BA416" s="72">
        <v>7</v>
      </c>
      <c r="BB416" s="72">
        <v>7</v>
      </c>
      <c r="BC416" s="72">
        <v>7</v>
      </c>
      <c r="BD416" s="72">
        <v>7</v>
      </c>
      <c r="BE416" s="72">
        <v>7</v>
      </c>
      <c r="BF416" s="72">
        <v>7</v>
      </c>
      <c r="BG416" s="72">
        <v>7</v>
      </c>
      <c r="BH416" s="72">
        <v>7</v>
      </c>
      <c r="BI416" s="72">
        <v>7</v>
      </c>
      <c r="BJ416" s="72">
        <v>7</v>
      </c>
      <c r="BK416" s="72">
        <v>7</v>
      </c>
      <c r="BL416" s="72">
        <v>7</v>
      </c>
      <c r="BM416" s="72">
        <v>7</v>
      </c>
      <c r="BN416" s="72">
        <v>7</v>
      </c>
      <c r="BO416" s="72">
        <v>7</v>
      </c>
      <c r="BP416" s="72">
        <v>7</v>
      </c>
      <c r="BQ416" s="72">
        <v>7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</row>
    <row r="417" spans="1:121" x14ac:dyDescent="0.35">
      <c r="A417" s="7"/>
      <c r="B417" s="8" t="s">
        <v>681</v>
      </c>
      <c r="C417" s="9" t="s">
        <v>682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>
        <v>42</v>
      </c>
      <c r="J417" s="10">
        <v>1</v>
      </c>
      <c r="K417" s="10" t="s">
        <v>153</v>
      </c>
      <c r="L417" s="8" t="s">
        <v>683</v>
      </c>
      <c r="M417" s="12">
        <v>1833</v>
      </c>
      <c r="N417" s="12">
        <f t="shared" si="11"/>
        <v>10998</v>
      </c>
      <c r="O417" s="11">
        <v>6</v>
      </c>
      <c r="P417" s="11">
        <v>6</v>
      </c>
      <c r="Q417" s="11">
        <v>18</v>
      </c>
      <c r="R417" s="11">
        <v>43</v>
      </c>
      <c r="S417" s="11">
        <v>43</v>
      </c>
      <c r="T417" s="11">
        <v>43</v>
      </c>
      <c r="U417" s="11">
        <v>43</v>
      </c>
      <c r="V417" s="11">
        <v>43</v>
      </c>
      <c r="W417" s="11">
        <v>43</v>
      </c>
      <c r="X417" s="11">
        <v>43</v>
      </c>
      <c r="Y417" s="11">
        <v>42</v>
      </c>
      <c r="Z417" s="11">
        <v>42</v>
      </c>
      <c r="AA417" s="11">
        <v>42</v>
      </c>
      <c r="AB417" s="11">
        <v>42</v>
      </c>
      <c r="AC417" s="11">
        <v>42</v>
      </c>
      <c r="AD417" s="11">
        <v>42</v>
      </c>
      <c r="AE417" s="11">
        <v>42</v>
      </c>
      <c r="AF417" s="11">
        <v>42</v>
      </c>
      <c r="AG417" s="11">
        <v>42</v>
      </c>
      <c r="AH417" s="11">
        <v>42</v>
      </c>
      <c r="AI417" s="11">
        <v>42</v>
      </c>
      <c r="AJ417" s="11">
        <v>42</v>
      </c>
      <c r="AK417" s="11">
        <v>42</v>
      </c>
      <c r="AL417" s="11">
        <v>42</v>
      </c>
      <c r="AM417" s="11">
        <v>42</v>
      </c>
      <c r="AN417" s="72">
        <v>42</v>
      </c>
      <c r="AO417" s="72">
        <v>42</v>
      </c>
      <c r="AP417" s="72">
        <v>42</v>
      </c>
      <c r="AQ417" s="72">
        <v>42</v>
      </c>
      <c r="AR417" s="72">
        <v>42</v>
      </c>
      <c r="AS417" s="72">
        <v>42</v>
      </c>
      <c r="AT417" s="72">
        <v>42</v>
      </c>
      <c r="AU417" s="72">
        <v>42</v>
      </c>
      <c r="AV417" s="72">
        <v>42</v>
      </c>
      <c r="AW417" s="72">
        <v>42</v>
      </c>
      <c r="AX417" s="72">
        <v>42</v>
      </c>
      <c r="AY417" s="72">
        <v>42</v>
      </c>
      <c r="AZ417" s="72">
        <v>42</v>
      </c>
      <c r="BA417" s="72">
        <v>42</v>
      </c>
      <c r="BB417" s="72">
        <v>42</v>
      </c>
      <c r="BC417" s="72">
        <v>42</v>
      </c>
      <c r="BD417" s="72">
        <v>42</v>
      </c>
      <c r="BE417" s="72">
        <v>42</v>
      </c>
      <c r="BF417" s="72">
        <v>42</v>
      </c>
      <c r="BG417" s="72">
        <v>42</v>
      </c>
      <c r="BH417" s="72">
        <v>42</v>
      </c>
      <c r="BI417" s="72">
        <v>42</v>
      </c>
      <c r="BJ417" s="72">
        <v>42</v>
      </c>
      <c r="BK417" s="72">
        <v>40</v>
      </c>
      <c r="BL417" s="72">
        <v>40</v>
      </c>
      <c r="BM417" s="72">
        <v>40</v>
      </c>
      <c r="BN417" s="72">
        <v>40</v>
      </c>
      <c r="BO417" s="72">
        <v>40</v>
      </c>
      <c r="BP417" s="72">
        <v>40</v>
      </c>
      <c r="BQ417" s="72">
        <v>40</v>
      </c>
      <c r="BR417" s="72">
        <v>38</v>
      </c>
      <c r="BS417" s="72">
        <v>38</v>
      </c>
      <c r="BT417" s="72">
        <v>38</v>
      </c>
      <c r="BU417" s="72">
        <v>38</v>
      </c>
      <c r="BV417" s="72">
        <v>38</v>
      </c>
      <c r="BW417" s="72">
        <v>38</v>
      </c>
      <c r="BX417" s="72">
        <v>38</v>
      </c>
      <c r="BY417" s="72">
        <v>38</v>
      </c>
      <c r="BZ417" s="72">
        <v>38</v>
      </c>
      <c r="CA417" s="72">
        <v>38</v>
      </c>
      <c r="CB417" s="72">
        <v>38</v>
      </c>
      <c r="CC417" s="72">
        <v>38</v>
      </c>
      <c r="CD417" s="72">
        <v>38</v>
      </c>
      <c r="CE417" s="72">
        <v>38</v>
      </c>
      <c r="CF417" s="72">
        <v>38</v>
      </c>
      <c r="CG417" s="72">
        <v>38</v>
      </c>
      <c r="CH417" s="72">
        <v>38</v>
      </c>
      <c r="CI417" s="72">
        <v>38</v>
      </c>
      <c r="CJ417" s="72">
        <v>37</v>
      </c>
      <c r="CK417" s="72">
        <v>37</v>
      </c>
      <c r="CL417" s="72">
        <v>37</v>
      </c>
      <c r="CM417" s="72">
        <v>37</v>
      </c>
      <c r="CN417" s="72">
        <v>37</v>
      </c>
      <c r="CO417" s="72">
        <v>37</v>
      </c>
      <c r="CP417" s="72">
        <v>37</v>
      </c>
      <c r="CQ417" s="72">
        <v>37</v>
      </c>
      <c r="CR417" s="72">
        <v>36</v>
      </c>
      <c r="CS417" s="72">
        <v>36</v>
      </c>
      <c r="CT417" s="72">
        <v>36</v>
      </c>
      <c r="CU417" s="72">
        <v>13</v>
      </c>
      <c r="CV417" s="72">
        <v>13</v>
      </c>
      <c r="CW417" s="72">
        <v>13</v>
      </c>
      <c r="CX417" s="72">
        <v>13</v>
      </c>
      <c r="CY417" s="72">
        <v>13</v>
      </c>
      <c r="CZ417" s="72">
        <v>13</v>
      </c>
      <c r="DA417" s="72">
        <v>13</v>
      </c>
      <c r="DB417" s="72">
        <v>13</v>
      </c>
      <c r="DC417" s="72">
        <v>13</v>
      </c>
      <c r="DD417" s="72">
        <v>13</v>
      </c>
      <c r="DE417" s="72">
        <v>14</v>
      </c>
      <c r="DF417" s="72">
        <v>14</v>
      </c>
      <c r="DG417" s="72">
        <v>14</v>
      </c>
      <c r="DH417" s="72">
        <v>12</v>
      </c>
      <c r="DI417" s="72">
        <v>12</v>
      </c>
      <c r="DJ417" s="72">
        <v>12</v>
      </c>
      <c r="DK417" s="72">
        <v>10</v>
      </c>
      <c r="DL417" s="72">
        <v>8</v>
      </c>
      <c r="DM417" s="72">
        <v>6</v>
      </c>
      <c r="DN417" s="72">
        <v>6</v>
      </c>
      <c r="DO417" s="72">
        <v>6</v>
      </c>
      <c r="DP417" s="72">
        <v>6</v>
      </c>
      <c r="DQ417" s="72">
        <v>6</v>
      </c>
    </row>
    <row r="418" spans="1:121" x14ac:dyDescent="0.35">
      <c r="A418" s="7"/>
      <c r="B418" s="8" t="s">
        <v>684</v>
      </c>
      <c r="C418" s="9" t="s">
        <v>685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5</v>
      </c>
      <c r="J418" s="10"/>
      <c r="K418" s="10" t="s">
        <v>153</v>
      </c>
      <c r="L418" s="8"/>
      <c r="M418" s="12">
        <v>2782.61</v>
      </c>
      <c r="N418" s="12">
        <f t="shared" si="11"/>
        <v>19478.27</v>
      </c>
      <c r="O418" s="11">
        <v>5</v>
      </c>
      <c r="P418" s="11">
        <v>5</v>
      </c>
      <c r="Q418" s="11">
        <v>5</v>
      </c>
      <c r="R418" s="11">
        <v>5</v>
      </c>
      <c r="S418" s="11">
        <v>5</v>
      </c>
      <c r="T418" s="11">
        <v>5</v>
      </c>
      <c r="U418" s="11">
        <v>5</v>
      </c>
      <c r="V418" s="11">
        <v>5</v>
      </c>
      <c r="W418" s="11">
        <v>5</v>
      </c>
      <c r="X418" s="11">
        <v>5</v>
      </c>
      <c r="Y418" s="11">
        <v>5</v>
      </c>
      <c r="Z418" s="11">
        <v>5</v>
      </c>
      <c r="AA418" s="11">
        <v>5</v>
      </c>
      <c r="AB418" s="11">
        <v>5</v>
      </c>
      <c r="AC418" s="11">
        <v>5</v>
      </c>
      <c r="AD418" s="11">
        <v>5</v>
      </c>
      <c r="AE418" s="11">
        <v>5</v>
      </c>
      <c r="AF418" s="11">
        <v>5</v>
      </c>
      <c r="AG418" s="11">
        <v>5</v>
      </c>
      <c r="AH418" s="11">
        <v>5</v>
      </c>
      <c r="AI418" s="11">
        <v>5</v>
      </c>
      <c r="AJ418" s="11">
        <v>5</v>
      </c>
      <c r="AK418" s="11">
        <v>5</v>
      </c>
      <c r="AL418" s="11">
        <v>5</v>
      </c>
      <c r="AM418" s="11">
        <v>5</v>
      </c>
      <c r="AN418" s="72">
        <v>5</v>
      </c>
      <c r="AO418" s="72">
        <v>7</v>
      </c>
      <c r="AP418" s="72">
        <v>7</v>
      </c>
      <c r="AQ418" s="72">
        <v>7</v>
      </c>
      <c r="AR418" s="72">
        <v>7</v>
      </c>
      <c r="AS418" s="72">
        <v>7</v>
      </c>
      <c r="AT418" s="72">
        <v>7</v>
      </c>
      <c r="AU418" s="72">
        <v>7</v>
      </c>
      <c r="AV418" s="72">
        <v>7</v>
      </c>
      <c r="AW418" s="72">
        <v>7</v>
      </c>
      <c r="AX418" s="72">
        <v>7</v>
      </c>
      <c r="AY418" s="72">
        <v>7</v>
      </c>
      <c r="AZ418" s="72">
        <v>7</v>
      </c>
      <c r="BA418" s="72">
        <v>7</v>
      </c>
      <c r="BB418" s="72">
        <v>7</v>
      </c>
      <c r="BC418" s="72">
        <v>7</v>
      </c>
      <c r="BD418" s="72">
        <v>7</v>
      </c>
      <c r="BE418" s="72">
        <v>7</v>
      </c>
      <c r="BF418" s="72">
        <v>7</v>
      </c>
      <c r="BG418" s="72">
        <v>7</v>
      </c>
      <c r="BH418" s="72">
        <v>7</v>
      </c>
      <c r="BI418" s="72">
        <v>7</v>
      </c>
      <c r="BJ418" s="72">
        <v>7</v>
      </c>
      <c r="BK418" s="72">
        <v>7</v>
      </c>
      <c r="BL418" s="72">
        <v>7</v>
      </c>
      <c r="BM418" s="72">
        <v>7</v>
      </c>
      <c r="BN418" s="72">
        <v>7</v>
      </c>
      <c r="BO418" s="72">
        <v>7</v>
      </c>
      <c r="BP418" s="72">
        <v>7</v>
      </c>
      <c r="BQ418" s="72">
        <v>7</v>
      </c>
      <c r="BR418" s="72">
        <v>7</v>
      </c>
      <c r="BS418" s="72">
        <v>7</v>
      </c>
      <c r="BT418" s="72">
        <v>7</v>
      </c>
      <c r="BU418" s="72">
        <v>7</v>
      </c>
      <c r="BV418" s="72">
        <v>7</v>
      </c>
      <c r="BW418" s="72">
        <v>7</v>
      </c>
      <c r="BX418" s="72">
        <v>7</v>
      </c>
      <c r="BY418" s="72">
        <v>7</v>
      </c>
      <c r="BZ418" s="72">
        <v>7</v>
      </c>
      <c r="CA418" s="72">
        <v>7</v>
      </c>
      <c r="CB418" s="72">
        <v>7</v>
      </c>
      <c r="CC418" s="72">
        <v>7</v>
      </c>
      <c r="CD418" s="72">
        <v>7</v>
      </c>
      <c r="CE418" s="72">
        <v>7</v>
      </c>
      <c r="CF418" s="72">
        <v>7</v>
      </c>
      <c r="CG418" s="72">
        <v>7</v>
      </c>
      <c r="CH418" s="72">
        <v>7</v>
      </c>
      <c r="CI418" s="72">
        <v>7</v>
      </c>
      <c r="CJ418" s="72">
        <v>7</v>
      </c>
      <c r="CK418" s="72">
        <v>7</v>
      </c>
      <c r="CL418" s="72">
        <v>7</v>
      </c>
      <c r="CM418" s="72">
        <v>7</v>
      </c>
      <c r="CN418" s="72">
        <v>7</v>
      </c>
      <c r="CO418" s="72">
        <v>7</v>
      </c>
      <c r="CP418" s="72">
        <v>7</v>
      </c>
      <c r="CQ418" s="72">
        <v>7</v>
      </c>
      <c r="CR418" s="72">
        <v>7</v>
      </c>
      <c r="CS418" s="72">
        <v>7</v>
      </c>
      <c r="CT418" s="72">
        <v>7</v>
      </c>
      <c r="CU418" s="72">
        <v>7</v>
      </c>
      <c r="CV418" s="72">
        <v>7</v>
      </c>
      <c r="CW418" s="72">
        <v>7</v>
      </c>
      <c r="CX418" s="72">
        <v>7</v>
      </c>
      <c r="CY418" s="72">
        <v>7</v>
      </c>
      <c r="CZ418" s="72">
        <v>7</v>
      </c>
      <c r="DA418" s="72">
        <v>7</v>
      </c>
      <c r="DB418" s="72">
        <v>7</v>
      </c>
      <c r="DC418" s="72">
        <v>7</v>
      </c>
      <c r="DD418" s="72">
        <v>7</v>
      </c>
      <c r="DE418" s="72">
        <v>7</v>
      </c>
      <c r="DF418" s="72">
        <v>7</v>
      </c>
      <c r="DG418" s="72">
        <v>7</v>
      </c>
      <c r="DH418" s="72">
        <v>7</v>
      </c>
      <c r="DI418" s="72">
        <v>7</v>
      </c>
      <c r="DJ418" s="72">
        <v>7</v>
      </c>
      <c r="DK418" s="72">
        <v>7</v>
      </c>
      <c r="DL418" s="72">
        <v>7</v>
      </c>
      <c r="DM418" s="72">
        <v>7</v>
      </c>
      <c r="DN418" s="72">
        <v>7</v>
      </c>
      <c r="DO418" s="72">
        <v>7</v>
      </c>
      <c r="DP418" s="72">
        <v>7</v>
      </c>
      <c r="DQ418" s="72">
        <v>7</v>
      </c>
    </row>
    <row r="419" spans="1:121" x14ac:dyDescent="0.35">
      <c r="A419" s="7"/>
      <c r="B419" s="8" t="s">
        <v>686</v>
      </c>
      <c r="C419" s="9" t="s">
        <v>687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0</v>
      </c>
      <c r="J419" s="10"/>
      <c r="K419" s="10" t="s">
        <v>153</v>
      </c>
      <c r="L419" s="8"/>
      <c r="M419" s="12"/>
      <c r="N419" s="12">
        <f t="shared" si="11"/>
        <v>0</v>
      </c>
      <c r="O419" s="11"/>
      <c r="P419" s="11"/>
      <c r="Q419" s="11">
        <v>2</v>
      </c>
      <c r="R419" s="11">
        <v>2</v>
      </c>
      <c r="S419" s="11">
        <v>2</v>
      </c>
      <c r="T419" s="11">
        <v>2</v>
      </c>
      <c r="U419" s="11">
        <v>2</v>
      </c>
      <c r="V419" s="11">
        <v>2</v>
      </c>
      <c r="W419" s="11">
        <v>2</v>
      </c>
      <c r="X419" s="11">
        <v>2</v>
      </c>
      <c r="Y419" s="11">
        <v>2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0</v>
      </c>
      <c r="AG419" s="11">
        <v>0</v>
      </c>
      <c r="AH419" s="11">
        <v>0</v>
      </c>
      <c r="AI419" s="11">
        <v>0</v>
      </c>
      <c r="AJ419" s="11">
        <v>0</v>
      </c>
      <c r="AK419" s="11">
        <v>0</v>
      </c>
      <c r="AL419" s="11">
        <v>0</v>
      </c>
      <c r="AM419" s="11">
        <v>0</v>
      </c>
      <c r="AN419" s="72">
        <v>0</v>
      </c>
      <c r="AO419" s="72">
        <v>0</v>
      </c>
      <c r="AP419" s="72">
        <v>0</v>
      </c>
      <c r="AQ419" s="72">
        <v>0</v>
      </c>
      <c r="AR419" s="72">
        <v>0</v>
      </c>
      <c r="AS419" s="72">
        <v>0</v>
      </c>
      <c r="AT419" s="72">
        <v>0</v>
      </c>
      <c r="AU419" s="72">
        <v>0</v>
      </c>
      <c r="AV419" s="72">
        <v>0</v>
      </c>
      <c r="AW419" s="72">
        <v>0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</row>
    <row r="420" spans="1:121" x14ac:dyDescent="0.35">
      <c r="A420" s="7"/>
      <c r="B420" s="8" t="s">
        <v>688</v>
      </c>
      <c r="C420" s="9" t="s">
        <v>689</v>
      </c>
      <c r="D420" s="10" t="s">
        <v>594</v>
      </c>
      <c r="E420" s="8" t="s">
        <v>1205</v>
      </c>
      <c r="F420" s="10">
        <v>1006</v>
      </c>
      <c r="G420" s="10" t="s">
        <v>40</v>
      </c>
      <c r="H420" s="10" t="s">
        <v>41</v>
      </c>
      <c r="I420" s="11">
        <v>0</v>
      </c>
      <c r="J420" s="10"/>
      <c r="K420" s="10" t="s">
        <v>42</v>
      </c>
      <c r="L420" s="8"/>
      <c r="M420" s="12"/>
      <c r="N420" s="12">
        <f t="shared" si="11"/>
        <v>0</v>
      </c>
      <c r="O420" s="11">
        <v>1</v>
      </c>
      <c r="P420" s="11">
        <v>1</v>
      </c>
      <c r="Q420" s="11">
        <v>1</v>
      </c>
      <c r="R420" s="11">
        <v>1</v>
      </c>
      <c r="S420" s="11">
        <v>1</v>
      </c>
      <c r="T420" s="11">
        <v>1</v>
      </c>
      <c r="U420" s="11">
        <v>1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</row>
    <row r="421" spans="1:121" x14ac:dyDescent="0.35">
      <c r="A421" s="7"/>
      <c r="B421" s="8" t="s">
        <v>690</v>
      </c>
      <c r="C421" s="7" t="s">
        <v>691</v>
      </c>
      <c r="D421" s="10" t="s">
        <v>594</v>
      </c>
      <c r="E421" s="8" t="s">
        <v>1205</v>
      </c>
      <c r="F421" s="10">
        <v>1006</v>
      </c>
      <c r="G421" s="10" t="s">
        <v>40</v>
      </c>
      <c r="H421" s="10" t="s">
        <v>41</v>
      </c>
      <c r="I421" s="11">
        <v>60</v>
      </c>
      <c r="J421" s="10">
        <v>0</v>
      </c>
      <c r="K421" s="10" t="s">
        <v>692</v>
      </c>
      <c r="L421" s="8"/>
      <c r="M421" s="12">
        <v>12.78</v>
      </c>
      <c r="N421" s="12">
        <f t="shared" si="11"/>
        <v>63.9</v>
      </c>
      <c r="O421" s="11">
        <v>86</v>
      </c>
      <c r="P421" s="11">
        <v>86</v>
      </c>
      <c r="Q421" s="11">
        <v>119</v>
      </c>
      <c r="R421" s="11">
        <v>144</v>
      </c>
      <c r="S421" s="11">
        <v>144</v>
      </c>
      <c r="T421" s="11">
        <v>144</v>
      </c>
      <c r="U421" s="11">
        <v>100</v>
      </c>
      <c r="V421" s="11">
        <v>100</v>
      </c>
      <c r="W421" s="11">
        <v>100</v>
      </c>
      <c r="X421" s="11">
        <v>100</v>
      </c>
      <c r="Y421" s="11">
        <v>100</v>
      </c>
      <c r="Z421" s="11">
        <v>90</v>
      </c>
      <c r="AA421" s="11">
        <v>90</v>
      </c>
      <c r="AB421" s="11">
        <v>75</v>
      </c>
      <c r="AC421" s="11">
        <v>75</v>
      </c>
      <c r="AD421" s="11">
        <v>75</v>
      </c>
      <c r="AE421" s="11">
        <v>70</v>
      </c>
      <c r="AF421" s="11">
        <v>70</v>
      </c>
      <c r="AG421" s="11">
        <v>70</v>
      </c>
      <c r="AH421" s="11">
        <v>70</v>
      </c>
      <c r="AI421" s="11">
        <v>60</v>
      </c>
      <c r="AJ421" s="11">
        <v>60</v>
      </c>
      <c r="AK421" s="11">
        <v>60</v>
      </c>
      <c r="AL421" s="11">
        <v>58</v>
      </c>
      <c r="AM421" s="11">
        <v>54</v>
      </c>
      <c r="AN421" s="72">
        <v>46</v>
      </c>
      <c r="AO421" s="72">
        <v>47</v>
      </c>
      <c r="AP421" s="72">
        <v>47</v>
      </c>
      <c r="AQ421" s="72">
        <v>47</v>
      </c>
      <c r="AR421" s="72">
        <v>47</v>
      </c>
      <c r="AS421" s="72">
        <v>47</v>
      </c>
      <c r="AT421" s="72">
        <v>47</v>
      </c>
      <c r="AU421" s="72">
        <v>47</v>
      </c>
      <c r="AV421" s="72">
        <v>47</v>
      </c>
      <c r="AW421" s="72">
        <v>47</v>
      </c>
      <c r="AX421" s="72">
        <v>47</v>
      </c>
      <c r="AY421" s="72">
        <v>47</v>
      </c>
      <c r="AZ421" s="72">
        <v>47</v>
      </c>
      <c r="BA421" s="72">
        <v>47</v>
      </c>
      <c r="BB421" s="72">
        <v>44</v>
      </c>
      <c r="BC421" s="72">
        <v>44</v>
      </c>
      <c r="BD421" s="72">
        <v>44</v>
      </c>
      <c r="BE421" s="72">
        <v>44</v>
      </c>
      <c r="BF421" s="72">
        <v>44</v>
      </c>
      <c r="BG421" s="72">
        <v>44</v>
      </c>
      <c r="BH421" s="72">
        <v>44</v>
      </c>
      <c r="BI421" s="72">
        <v>44</v>
      </c>
      <c r="BJ421" s="72">
        <v>44</v>
      </c>
      <c r="BK421" s="72">
        <v>28</v>
      </c>
      <c r="BL421" s="72">
        <v>28</v>
      </c>
      <c r="BM421" s="72">
        <v>28</v>
      </c>
      <c r="BN421" s="72">
        <v>1</v>
      </c>
      <c r="BO421" s="72">
        <v>1</v>
      </c>
      <c r="BP421" s="72">
        <v>1</v>
      </c>
      <c r="BQ421" s="72">
        <v>1</v>
      </c>
      <c r="BR421" s="72">
        <v>0</v>
      </c>
      <c r="BS421" s="72">
        <v>0</v>
      </c>
      <c r="BT421" s="72">
        <v>0</v>
      </c>
      <c r="BU421" s="72">
        <v>0</v>
      </c>
      <c r="BV421" s="72">
        <v>2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50</v>
      </c>
      <c r="CX421" s="72">
        <v>50</v>
      </c>
      <c r="CY421" s="72">
        <v>27</v>
      </c>
      <c r="CZ421" s="72">
        <v>27</v>
      </c>
      <c r="DA421" s="72">
        <v>27</v>
      </c>
      <c r="DB421" s="72">
        <v>27</v>
      </c>
      <c r="DC421" s="72">
        <v>27</v>
      </c>
      <c r="DD421" s="72">
        <v>27</v>
      </c>
      <c r="DE421" s="72">
        <v>27</v>
      </c>
      <c r="DF421" s="72">
        <v>27</v>
      </c>
      <c r="DG421" s="72">
        <v>27</v>
      </c>
      <c r="DH421" s="72">
        <v>23</v>
      </c>
      <c r="DI421" s="72">
        <v>23</v>
      </c>
      <c r="DJ421" s="72">
        <v>23</v>
      </c>
      <c r="DK421" s="72">
        <v>21</v>
      </c>
      <c r="DL421" s="72">
        <v>17</v>
      </c>
      <c r="DM421" s="72">
        <v>5</v>
      </c>
      <c r="DN421" s="72">
        <v>5</v>
      </c>
      <c r="DO421" s="72">
        <v>5</v>
      </c>
      <c r="DP421" s="72">
        <v>5</v>
      </c>
      <c r="DQ421" s="72">
        <v>5</v>
      </c>
    </row>
    <row r="422" spans="1:121" x14ac:dyDescent="0.35">
      <c r="A422" s="7"/>
      <c r="B422" s="8" t="s">
        <v>693</v>
      </c>
      <c r="C422" s="9" t="s">
        <v>694</v>
      </c>
      <c r="D422" s="10" t="s">
        <v>594</v>
      </c>
      <c r="E422" s="8" t="s">
        <v>1205</v>
      </c>
      <c r="F422" s="10">
        <v>1006</v>
      </c>
      <c r="G422" s="10" t="s">
        <v>40</v>
      </c>
      <c r="H422" s="10" t="s">
        <v>41</v>
      </c>
      <c r="I422" s="11">
        <v>2</v>
      </c>
      <c r="J422" s="10"/>
      <c r="K422" s="10"/>
      <c r="L422" s="8"/>
      <c r="M422" s="12">
        <v>458.22</v>
      </c>
      <c r="N422" s="12">
        <f t="shared" si="11"/>
        <v>916.44</v>
      </c>
      <c r="O422" s="11">
        <v>2</v>
      </c>
      <c r="P422" s="11">
        <v>2</v>
      </c>
      <c r="Q422" s="11">
        <v>2</v>
      </c>
      <c r="R422" s="11">
        <v>2</v>
      </c>
      <c r="S422" s="11">
        <v>2</v>
      </c>
      <c r="T422" s="11">
        <v>2</v>
      </c>
      <c r="U422" s="11">
        <v>2</v>
      </c>
      <c r="V422" s="11">
        <v>2</v>
      </c>
      <c r="W422" s="11">
        <v>2</v>
      </c>
      <c r="X422" s="11">
        <v>2</v>
      </c>
      <c r="Y422" s="11">
        <v>2</v>
      </c>
      <c r="Z422" s="11">
        <v>2</v>
      </c>
      <c r="AA422" s="11">
        <v>2</v>
      </c>
      <c r="AB422" s="11">
        <v>2</v>
      </c>
      <c r="AC422" s="11">
        <v>2</v>
      </c>
      <c r="AD422" s="11">
        <v>2</v>
      </c>
      <c r="AE422" s="11">
        <v>2</v>
      </c>
      <c r="AF422" s="11">
        <v>2</v>
      </c>
      <c r="AG422" s="11">
        <v>2</v>
      </c>
      <c r="AH422" s="11">
        <v>2</v>
      </c>
      <c r="AI422" s="11">
        <v>2</v>
      </c>
      <c r="AJ422" s="11">
        <v>2</v>
      </c>
      <c r="AK422" s="11">
        <v>2</v>
      </c>
      <c r="AL422" s="11">
        <v>2</v>
      </c>
      <c r="AM422" s="11">
        <v>2</v>
      </c>
      <c r="AN422" s="72">
        <v>2</v>
      </c>
      <c r="AO422" s="72">
        <v>2</v>
      </c>
      <c r="AP422" s="72">
        <v>2</v>
      </c>
      <c r="AQ422" s="72">
        <v>2</v>
      </c>
      <c r="AR422" s="72">
        <v>2</v>
      </c>
      <c r="AS422" s="72">
        <v>2</v>
      </c>
      <c r="AT422" s="72">
        <v>2</v>
      </c>
      <c r="AU422" s="72">
        <v>2</v>
      </c>
      <c r="AV422" s="72">
        <v>2</v>
      </c>
      <c r="AW422" s="72">
        <v>2</v>
      </c>
      <c r="AX422" s="72">
        <v>2</v>
      </c>
      <c r="AY422" s="72">
        <v>2</v>
      </c>
      <c r="AZ422" s="72">
        <v>2</v>
      </c>
      <c r="BA422" s="72">
        <v>2</v>
      </c>
      <c r="BB422" s="72">
        <v>2</v>
      </c>
      <c r="BC422" s="72">
        <v>2</v>
      </c>
      <c r="BD422" s="72">
        <v>2</v>
      </c>
      <c r="BE422" s="72">
        <v>2</v>
      </c>
      <c r="BF422" s="72">
        <v>2</v>
      </c>
      <c r="BG422" s="72">
        <v>2</v>
      </c>
      <c r="BH422" s="72">
        <v>2</v>
      </c>
      <c r="BI422" s="72">
        <v>2</v>
      </c>
      <c r="BJ422" s="72">
        <v>2</v>
      </c>
      <c r="BK422" s="72">
        <v>2</v>
      </c>
      <c r="BL422" s="72">
        <v>2</v>
      </c>
      <c r="BM422" s="72">
        <v>2</v>
      </c>
      <c r="BN422" s="72">
        <v>2</v>
      </c>
      <c r="BO422" s="72">
        <v>2</v>
      </c>
      <c r="BP422" s="72">
        <v>2</v>
      </c>
      <c r="BQ422" s="72">
        <v>2</v>
      </c>
      <c r="BR422" s="72">
        <v>2</v>
      </c>
      <c r="BS422" s="72">
        <v>2</v>
      </c>
      <c r="BT422" s="72">
        <v>2</v>
      </c>
      <c r="BU422" s="72">
        <v>2</v>
      </c>
      <c r="BV422" s="72">
        <v>2</v>
      </c>
      <c r="BW422" s="72">
        <v>2</v>
      </c>
      <c r="BX422" s="72">
        <v>2</v>
      </c>
      <c r="BY422" s="72">
        <v>2</v>
      </c>
      <c r="BZ422" s="72">
        <v>2</v>
      </c>
      <c r="CA422" s="72">
        <v>2</v>
      </c>
      <c r="CB422" s="72">
        <v>2</v>
      </c>
      <c r="CC422" s="72">
        <v>2</v>
      </c>
      <c r="CD422" s="72">
        <v>2</v>
      </c>
      <c r="CE422" s="72">
        <v>2</v>
      </c>
      <c r="CF422" s="72">
        <v>2</v>
      </c>
      <c r="CG422" s="72">
        <v>2</v>
      </c>
      <c r="CH422" s="72">
        <v>2</v>
      </c>
      <c r="CI422" s="72">
        <v>2</v>
      </c>
      <c r="CJ422" s="72">
        <v>2</v>
      </c>
      <c r="CK422" s="72">
        <v>2</v>
      </c>
      <c r="CL422" s="72">
        <v>2</v>
      </c>
      <c r="CM422" s="72">
        <v>2</v>
      </c>
      <c r="CN422" s="72">
        <v>2</v>
      </c>
      <c r="CO422" s="72">
        <v>2</v>
      </c>
      <c r="CP422" s="72">
        <v>2</v>
      </c>
      <c r="CQ422" s="72">
        <v>2</v>
      </c>
      <c r="CR422" s="72">
        <v>2</v>
      </c>
      <c r="CS422" s="72">
        <v>2</v>
      </c>
      <c r="CT422" s="72">
        <v>2</v>
      </c>
      <c r="CU422" s="72">
        <v>2</v>
      </c>
      <c r="CV422" s="72">
        <v>2</v>
      </c>
      <c r="CW422" s="72">
        <v>2</v>
      </c>
      <c r="CX422" s="72">
        <v>2</v>
      </c>
      <c r="CY422" s="72">
        <v>2</v>
      </c>
      <c r="CZ422" s="72">
        <v>2</v>
      </c>
      <c r="DA422" s="72">
        <v>2</v>
      </c>
      <c r="DB422" s="72">
        <v>2</v>
      </c>
      <c r="DC422" s="72">
        <v>2</v>
      </c>
      <c r="DD422" s="72">
        <v>2</v>
      </c>
      <c r="DE422" s="72">
        <v>2</v>
      </c>
      <c r="DF422" s="72">
        <v>2</v>
      </c>
      <c r="DG422" s="72">
        <v>2</v>
      </c>
      <c r="DH422" s="72">
        <v>2</v>
      </c>
      <c r="DI422" s="72">
        <v>2</v>
      </c>
      <c r="DJ422" s="72">
        <v>2</v>
      </c>
      <c r="DK422" s="72">
        <v>2</v>
      </c>
      <c r="DL422" s="72">
        <v>2</v>
      </c>
      <c r="DM422" s="72">
        <v>2</v>
      </c>
      <c r="DN422" s="72">
        <v>2</v>
      </c>
      <c r="DO422" s="72">
        <v>2</v>
      </c>
      <c r="DP422" s="72">
        <v>2</v>
      </c>
      <c r="DQ422" s="72">
        <v>2</v>
      </c>
    </row>
    <row r="423" spans="1:121" x14ac:dyDescent="0.35">
      <c r="A423" s="7"/>
      <c r="B423" s="8" t="s">
        <v>695</v>
      </c>
      <c r="C423" s="9" t="s">
        <v>696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1</v>
      </c>
      <c r="J423" s="10"/>
      <c r="K423" s="10"/>
      <c r="L423" s="8"/>
      <c r="M423" s="12">
        <v>236</v>
      </c>
      <c r="N423" s="12">
        <f t="shared" si="11"/>
        <v>236</v>
      </c>
      <c r="O423" s="11">
        <v>1</v>
      </c>
      <c r="P423" s="11">
        <v>1</v>
      </c>
      <c r="Q423" s="11">
        <v>1</v>
      </c>
      <c r="R423" s="11">
        <v>1</v>
      </c>
      <c r="S423" s="11">
        <v>1</v>
      </c>
      <c r="T423" s="11">
        <v>1</v>
      </c>
      <c r="U423" s="11">
        <v>1</v>
      </c>
      <c r="V423" s="11">
        <v>1</v>
      </c>
      <c r="W423" s="11">
        <v>1</v>
      </c>
      <c r="X423" s="11">
        <v>1</v>
      </c>
      <c r="Y423" s="11">
        <v>1</v>
      </c>
      <c r="Z423" s="11">
        <v>1</v>
      </c>
      <c r="AA423" s="11">
        <v>1</v>
      </c>
      <c r="AB423" s="11">
        <v>1</v>
      </c>
      <c r="AC423" s="11">
        <v>1</v>
      </c>
      <c r="AD423" s="11">
        <v>1</v>
      </c>
      <c r="AE423" s="11">
        <v>1</v>
      </c>
      <c r="AF423" s="11">
        <v>1</v>
      </c>
      <c r="AG423" s="11">
        <v>1</v>
      </c>
      <c r="AH423" s="11">
        <v>1</v>
      </c>
      <c r="AI423" s="11">
        <v>1</v>
      </c>
      <c r="AJ423" s="11">
        <v>1</v>
      </c>
      <c r="AK423" s="11">
        <v>1</v>
      </c>
      <c r="AL423" s="11">
        <v>1</v>
      </c>
      <c r="AM423" s="11">
        <v>1</v>
      </c>
      <c r="AN423" s="72">
        <v>1</v>
      </c>
      <c r="AO423" s="72">
        <v>1</v>
      </c>
      <c r="AP423" s="72">
        <v>1</v>
      </c>
      <c r="AQ423" s="72">
        <v>1</v>
      </c>
      <c r="AR423" s="72">
        <v>1</v>
      </c>
      <c r="AS423" s="72">
        <v>1</v>
      </c>
      <c r="AT423" s="72">
        <v>1</v>
      </c>
      <c r="AU423" s="72">
        <v>1</v>
      </c>
      <c r="AV423" s="72">
        <v>1</v>
      </c>
      <c r="AW423" s="72">
        <v>1</v>
      </c>
      <c r="AX423" s="72">
        <v>1</v>
      </c>
      <c r="AY423" s="72">
        <v>1</v>
      </c>
      <c r="AZ423" s="72">
        <v>1</v>
      </c>
      <c r="BA423" s="72">
        <v>1</v>
      </c>
      <c r="BB423" s="72">
        <v>1</v>
      </c>
      <c r="BC423" s="72">
        <v>1</v>
      </c>
      <c r="BD423" s="72">
        <v>1</v>
      </c>
      <c r="BE423" s="72">
        <v>1</v>
      </c>
      <c r="BF423" s="72">
        <v>1</v>
      </c>
      <c r="BG423" s="72">
        <v>1</v>
      </c>
      <c r="BH423" s="72">
        <v>1</v>
      </c>
      <c r="BI423" s="72">
        <v>1</v>
      </c>
      <c r="BJ423" s="72">
        <v>1</v>
      </c>
      <c r="BK423" s="72">
        <v>1</v>
      </c>
      <c r="BL423" s="72">
        <v>1</v>
      </c>
      <c r="BM423" s="72">
        <v>1</v>
      </c>
      <c r="BN423" s="72">
        <v>1</v>
      </c>
      <c r="BO423" s="72">
        <v>1</v>
      </c>
      <c r="BP423" s="72">
        <v>1</v>
      </c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  <c r="DQ423" s="72">
        <v>1</v>
      </c>
    </row>
    <row r="424" spans="1:121" x14ac:dyDescent="0.35">
      <c r="A424" s="7"/>
      <c r="B424" s="77" t="s">
        <v>1247</v>
      </c>
      <c r="C424" s="9" t="s">
        <v>1252</v>
      </c>
      <c r="D424" s="10" t="s">
        <v>697</v>
      </c>
      <c r="E424" s="8" t="s">
        <v>1206</v>
      </c>
      <c r="F424" s="10"/>
      <c r="G424" s="10" t="s">
        <v>40</v>
      </c>
      <c r="H424" s="10" t="s">
        <v>41</v>
      </c>
      <c r="I424" s="11"/>
      <c r="J424" s="10"/>
      <c r="K424" s="10"/>
      <c r="L424" s="8"/>
      <c r="M424" s="12"/>
      <c r="N424" s="12">
        <f t="shared" si="11"/>
        <v>0</v>
      </c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72"/>
      <c r="AO424" s="72"/>
      <c r="AP424" s="72"/>
      <c r="AQ424" s="72"/>
      <c r="AR424" s="72"/>
      <c r="AS424" s="72"/>
      <c r="AT424" s="72"/>
      <c r="AU424" s="72">
        <v>9</v>
      </c>
      <c r="AV424" s="72">
        <v>9</v>
      </c>
      <c r="AW424" s="72">
        <v>9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</row>
    <row r="425" spans="1:121" x14ac:dyDescent="0.35">
      <c r="A425" s="7"/>
      <c r="B425" s="77" t="s">
        <v>1248</v>
      </c>
      <c r="C425" s="9" t="s">
        <v>1253</v>
      </c>
      <c r="D425" s="10" t="s">
        <v>697</v>
      </c>
      <c r="E425" s="8" t="s">
        <v>1205</v>
      </c>
      <c r="F425" s="10"/>
      <c r="G425" s="10" t="s">
        <v>40</v>
      </c>
      <c r="H425" s="10" t="s">
        <v>41</v>
      </c>
      <c r="I425" s="11"/>
      <c r="J425" s="10"/>
      <c r="K425" s="10"/>
      <c r="L425" s="8"/>
      <c r="M425" s="12"/>
      <c r="N425" s="12">
        <f t="shared" si="11"/>
        <v>0</v>
      </c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72"/>
      <c r="AO425" s="72"/>
      <c r="AP425" s="72"/>
      <c r="AQ425" s="72"/>
      <c r="AR425" s="72"/>
      <c r="AS425" s="72"/>
      <c r="AT425" s="72"/>
      <c r="AU425" s="72">
        <v>9</v>
      </c>
      <c r="AV425" s="72">
        <v>9</v>
      </c>
      <c r="AW425" s="72">
        <v>9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</row>
    <row r="426" spans="1:121" x14ac:dyDescent="0.35">
      <c r="A426" s="7"/>
      <c r="B426" s="14" t="s">
        <v>698</v>
      </c>
      <c r="C426" s="9" t="s">
        <v>699</v>
      </c>
      <c r="D426" s="10" t="s">
        <v>697</v>
      </c>
      <c r="E426" s="8" t="s">
        <v>1206</v>
      </c>
      <c r="F426" s="10">
        <v>1002</v>
      </c>
      <c r="G426" s="10" t="s">
        <v>40</v>
      </c>
      <c r="H426" s="10" t="s">
        <v>41</v>
      </c>
      <c r="I426" s="11">
        <v>6</v>
      </c>
      <c r="J426" s="10"/>
      <c r="K426" s="10" t="s">
        <v>42</v>
      </c>
      <c r="L426" s="8"/>
      <c r="M426" s="12">
        <v>462.33</v>
      </c>
      <c r="N426" s="12">
        <f t="shared" si="11"/>
        <v>2311.65</v>
      </c>
      <c r="O426" s="11">
        <v>6</v>
      </c>
      <c r="P426" s="11">
        <v>6</v>
      </c>
      <c r="Q426" s="11">
        <v>6</v>
      </c>
      <c r="R426" s="11">
        <v>6</v>
      </c>
      <c r="S426" s="11">
        <v>6</v>
      </c>
      <c r="T426" s="11">
        <v>6</v>
      </c>
      <c r="U426" s="11">
        <v>6</v>
      </c>
      <c r="V426" s="11">
        <v>6</v>
      </c>
      <c r="W426" s="11">
        <v>6</v>
      </c>
      <c r="X426" s="11">
        <v>6</v>
      </c>
      <c r="Y426" s="11">
        <v>6</v>
      </c>
      <c r="Z426" s="11">
        <v>6</v>
      </c>
      <c r="AA426" s="11">
        <v>6</v>
      </c>
      <c r="AB426" s="11">
        <v>6</v>
      </c>
      <c r="AC426" s="11">
        <v>6</v>
      </c>
      <c r="AD426" s="11">
        <v>6</v>
      </c>
      <c r="AE426" s="11">
        <v>6</v>
      </c>
      <c r="AF426" s="11">
        <v>6</v>
      </c>
      <c r="AG426" s="11">
        <v>6</v>
      </c>
      <c r="AH426" s="11">
        <v>6</v>
      </c>
      <c r="AI426" s="11">
        <v>6</v>
      </c>
      <c r="AJ426" s="11">
        <v>6</v>
      </c>
      <c r="AK426" s="11">
        <v>6</v>
      </c>
      <c r="AL426" s="11">
        <v>6</v>
      </c>
      <c r="AM426" s="11">
        <v>6</v>
      </c>
      <c r="AN426" s="72">
        <v>6</v>
      </c>
      <c r="AO426" s="72">
        <v>6</v>
      </c>
      <c r="AP426" s="72">
        <v>6</v>
      </c>
      <c r="AQ426" s="72">
        <v>6</v>
      </c>
      <c r="AR426" s="72">
        <v>6</v>
      </c>
      <c r="AS426" s="72">
        <v>6</v>
      </c>
      <c r="AT426" s="72">
        <v>6</v>
      </c>
      <c r="AU426" s="72">
        <v>6</v>
      </c>
      <c r="AV426" s="72">
        <v>6</v>
      </c>
      <c r="AW426" s="72">
        <v>6</v>
      </c>
      <c r="AX426" s="72">
        <v>5</v>
      </c>
      <c r="AY426" s="72">
        <v>5</v>
      </c>
      <c r="AZ426" s="72">
        <v>5</v>
      </c>
      <c r="BA426" s="72">
        <v>5</v>
      </c>
      <c r="BB426" s="72">
        <v>5</v>
      </c>
      <c r="BC426" s="72">
        <v>5</v>
      </c>
      <c r="BD426" s="72">
        <v>5</v>
      </c>
      <c r="BE426" s="72">
        <v>5</v>
      </c>
      <c r="BF426" s="72">
        <v>5</v>
      </c>
      <c r="BG426" s="72">
        <v>5</v>
      </c>
      <c r="BH426" s="72">
        <v>5</v>
      </c>
      <c r="BI426" s="72">
        <v>5</v>
      </c>
      <c r="BJ426" s="72">
        <v>5</v>
      </c>
      <c r="BK426" s="72">
        <v>5</v>
      </c>
      <c r="BL426" s="72">
        <v>5</v>
      </c>
      <c r="BM426" s="72">
        <v>5</v>
      </c>
      <c r="BN426" s="72">
        <v>5</v>
      </c>
      <c r="BO426" s="72">
        <v>5</v>
      </c>
      <c r="BP426" s="72">
        <v>5</v>
      </c>
      <c r="BQ426" s="72">
        <v>5</v>
      </c>
      <c r="BR426" s="72">
        <v>5</v>
      </c>
      <c r="BS426" s="72">
        <v>5</v>
      </c>
      <c r="BT426" s="72">
        <v>5</v>
      </c>
      <c r="BU426" s="72">
        <v>5</v>
      </c>
      <c r="BV426" s="72">
        <v>5</v>
      </c>
      <c r="BW426" s="72">
        <v>5</v>
      </c>
      <c r="BX426" s="72">
        <v>5</v>
      </c>
      <c r="BY426" s="72">
        <v>5</v>
      </c>
      <c r="BZ426" s="72">
        <v>5</v>
      </c>
      <c r="CA426" s="72">
        <v>5</v>
      </c>
      <c r="CB426" s="72">
        <v>5</v>
      </c>
      <c r="CC426" s="72">
        <v>5</v>
      </c>
      <c r="CD426" s="72">
        <v>5</v>
      </c>
      <c r="CE426" s="72">
        <v>5</v>
      </c>
      <c r="CF426" s="72">
        <v>5</v>
      </c>
      <c r="CG426" s="72">
        <v>5</v>
      </c>
      <c r="CH426" s="72">
        <v>5</v>
      </c>
      <c r="CI426" s="72">
        <v>5</v>
      </c>
      <c r="CJ426" s="72">
        <v>5</v>
      </c>
      <c r="CK426" s="72">
        <v>5</v>
      </c>
      <c r="CL426" s="72">
        <v>5</v>
      </c>
      <c r="CM426" s="72">
        <v>5</v>
      </c>
      <c r="CN426" s="72">
        <v>5</v>
      </c>
      <c r="CO426" s="72">
        <v>5</v>
      </c>
      <c r="CP426" s="72">
        <v>5</v>
      </c>
      <c r="CQ426" s="72">
        <v>5</v>
      </c>
      <c r="CR426" s="72">
        <v>5</v>
      </c>
      <c r="CS426" s="72">
        <v>5</v>
      </c>
      <c r="CT426" s="72">
        <v>5</v>
      </c>
      <c r="CU426" s="72">
        <v>5</v>
      </c>
      <c r="CV426" s="72">
        <v>5</v>
      </c>
      <c r="CW426" s="72">
        <v>5</v>
      </c>
      <c r="CX426" s="72">
        <v>5</v>
      </c>
      <c r="CY426" s="72">
        <v>5</v>
      </c>
      <c r="CZ426" s="72">
        <v>5</v>
      </c>
      <c r="DA426" s="72">
        <v>5</v>
      </c>
      <c r="DB426" s="72">
        <v>5</v>
      </c>
      <c r="DC426" s="72">
        <v>5</v>
      </c>
      <c r="DD426" s="72">
        <v>5</v>
      </c>
      <c r="DE426" s="72">
        <v>5</v>
      </c>
      <c r="DF426" s="72">
        <v>5</v>
      </c>
      <c r="DG426" s="72">
        <v>5</v>
      </c>
      <c r="DH426" s="72">
        <v>5</v>
      </c>
      <c r="DI426" s="72">
        <v>5</v>
      </c>
      <c r="DJ426" s="72">
        <v>5</v>
      </c>
      <c r="DK426" s="72">
        <v>5</v>
      </c>
      <c r="DL426" s="72">
        <v>5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</row>
    <row r="427" spans="1:121" x14ac:dyDescent="0.35">
      <c r="A427" s="7"/>
      <c r="B427" s="14" t="s">
        <v>700</v>
      </c>
      <c r="C427" s="9" t="s">
        <v>701</v>
      </c>
      <c r="D427" s="10" t="s">
        <v>697</v>
      </c>
      <c r="E427" s="8" t="s">
        <v>1206</v>
      </c>
      <c r="F427" s="10">
        <v>1002</v>
      </c>
      <c r="G427" s="10" t="s">
        <v>40</v>
      </c>
      <c r="H427" s="10" t="s">
        <v>41</v>
      </c>
      <c r="I427" s="11">
        <v>18</v>
      </c>
      <c r="J427" s="10"/>
      <c r="K427" s="10"/>
      <c r="L427" s="8"/>
      <c r="M427" s="12">
        <v>263</v>
      </c>
      <c r="N427" s="12">
        <f t="shared" si="11"/>
        <v>789</v>
      </c>
      <c r="O427" s="11">
        <v>18</v>
      </c>
      <c r="P427" s="11">
        <v>18</v>
      </c>
      <c r="Q427" s="11">
        <v>18</v>
      </c>
      <c r="R427" s="11">
        <v>18</v>
      </c>
      <c r="S427" s="11">
        <v>18</v>
      </c>
      <c r="T427" s="11">
        <v>18</v>
      </c>
      <c r="U427" s="11">
        <v>18</v>
      </c>
      <c r="V427" s="11">
        <v>18</v>
      </c>
      <c r="W427" s="11">
        <v>18</v>
      </c>
      <c r="X427" s="11">
        <v>18</v>
      </c>
      <c r="Y427" s="11">
        <v>18</v>
      </c>
      <c r="Z427" s="11">
        <v>18</v>
      </c>
      <c r="AA427" s="11">
        <v>18</v>
      </c>
      <c r="AB427" s="11">
        <v>18</v>
      </c>
      <c r="AC427" s="11">
        <v>18</v>
      </c>
      <c r="AD427" s="11">
        <v>18</v>
      </c>
      <c r="AE427" s="11">
        <v>18</v>
      </c>
      <c r="AF427" s="11">
        <v>18</v>
      </c>
      <c r="AG427" s="11">
        <v>18</v>
      </c>
      <c r="AH427" s="11">
        <v>18</v>
      </c>
      <c r="AI427" s="11">
        <v>18</v>
      </c>
      <c r="AJ427" s="11">
        <v>18</v>
      </c>
      <c r="AK427" s="11">
        <v>18</v>
      </c>
      <c r="AL427" s="11">
        <v>18</v>
      </c>
      <c r="AM427" s="11">
        <v>18</v>
      </c>
      <c r="AN427" s="72">
        <v>18</v>
      </c>
      <c r="AO427" s="72">
        <v>18</v>
      </c>
      <c r="AP427" s="72">
        <v>10</v>
      </c>
      <c r="AQ427" s="72">
        <v>10</v>
      </c>
      <c r="AR427" s="72">
        <v>10</v>
      </c>
      <c r="AS427" s="72">
        <v>10</v>
      </c>
      <c r="AT427" s="72">
        <v>10</v>
      </c>
      <c r="AU427" s="72">
        <v>10</v>
      </c>
      <c r="AV427" s="72">
        <v>10</v>
      </c>
      <c r="AW427" s="72">
        <v>10</v>
      </c>
      <c r="AX427" s="72">
        <v>10</v>
      </c>
      <c r="AY427" s="72">
        <v>10</v>
      </c>
      <c r="AZ427" s="72">
        <v>10</v>
      </c>
      <c r="BA427" s="72">
        <v>10</v>
      </c>
      <c r="BB427" s="72">
        <v>10</v>
      </c>
      <c r="BC427" s="72">
        <v>10</v>
      </c>
      <c r="BD427" s="72">
        <v>10</v>
      </c>
      <c r="BE427" s="72">
        <v>10</v>
      </c>
      <c r="BF427" s="72">
        <v>10</v>
      </c>
      <c r="BG427" s="72">
        <v>10</v>
      </c>
      <c r="BH427" s="72">
        <v>10</v>
      </c>
      <c r="BI427" s="72">
        <v>10</v>
      </c>
      <c r="BJ427" s="72">
        <v>10</v>
      </c>
      <c r="BK427" s="72">
        <v>10</v>
      </c>
      <c r="BL427" s="72">
        <v>10</v>
      </c>
      <c r="BM427" s="72">
        <v>10</v>
      </c>
      <c r="BN427" s="72">
        <v>10</v>
      </c>
      <c r="BO427" s="72">
        <v>9</v>
      </c>
      <c r="BP427" s="72">
        <v>9</v>
      </c>
      <c r="BQ427" s="72">
        <v>6</v>
      </c>
      <c r="BR427" s="72">
        <v>4</v>
      </c>
      <c r="BS427" s="72">
        <v>3</v>
      </c>
      <c r="BT427" s="72">
        <v>3</v>
      </c>
      <c r="BU427" s="72">
        <v>3</v>
      </c>
      <c r="BV427" s="72">
        <v>3</v>
      </c>
      <c r="BW427" s="72">
        <v>3</v>
      </c>
      <c r="BX427" s="72">
        <v>3</v>
      </c>
      <c r="BY427" s="72">
        <v>3</v>
      </c>
      <c r="BZ427" s="72">
        <v>3</v>
      </c>
      <c r="CA427" s="72">
        <v>3</v>
      </c>
      <c r="CB427" s="72">
        <v>3</v>
      </c>
      <c r="CC427" s="72">
        <v>3</v>
      </c>
      <c r="CD427" s="72">
        <v>3</v>
      </c>
      <c r="CE427" s="72">
        <v>3</v>
      </c>
      <c r="CF427" s="72">
        <v>3</v>
      </c>
      <c r="CG427" s="72">
        <v>3</v>
      </c>
      <c r="CH427" s="72">
        <v>3</v>
      </c>
      <c r="CI427" s="72">
        <v>3</v>
      </c>
      <c r="CJ427" s="72">
        <v>3</v>
      </c>
      <c r="CK427" s="72">
        <v>3</v>
      </c>
      <c r="CL427" s="72">
        <v>3</v>
      </c>
      <c r="CM427" s="72">
        <v>3</v>
      </c>
      <c r="CN427" s="72">
        <v>3</v>
      </c>
      <c r="CO427" s="72">
        <v>3</v>
      </c>
      <c r="CP427" s="72">
        <v>3</v>
      </c>
      <c r="CQ427" s="72">
        <v>3</v>
      </c>
      <c r="CR427" s="72">
        <v>3</v>
      </c>
      <c r="CS427" s="72">
        <v>3</v>
      </c>
      <c r="CT427" s="72">
        <v>3</v>
      </c>
      <c r="CU427" s="72">
        <v>3</v>
      </c>
      <c r="CV427" s="72">
        <v>3</v>
      </c>
      <c r="CW427" s="72">
        <v>3</v>
      </c>
      <c r="CX427" s="72">
        <v>3</v>
      </c>
      <c r="CY427" s="72">
        <v>3</v>
      </c>
      <c r="CZ427" s="72">
        <v>3</v>
      </c>
      <c r="DA427" s="72">
        <v>3</v>
      </c>
      <c r="DB427" s="72">
        <v>3</v>
      </c>
      <c r="DC427" s="72">
        <v>3</v>
      </c>
      <c r="DD427" s="72">
        <v>3</v>
      </c>
      <c r="DE427" s="72">
        <v>3</v>
      </c>
      <c r="DF427" s="72">
        <v>3</v>
      </c>
      <c r="DG427" s="72">
        <v>3</v>
      </c>
      <c r="DH427" s="72">
        <v>3</v>
      </c>
      <c r="DI427" s="72">
        <v>3</v>
      </c>
      <c r="DJ427" s="72">
        <v>3</v>
      </c>
      <c r="DK427" s="72">
        <v>3</v>
      </c>
      <c r="DL427" s="72">
        <v>3</v>
      </c>
      <c r="DM427" s="72">
        <v>3</v>
      </c>
      <c r="DN427" s="72">
        <v>3</v>
      </c>
      <c r="DO427" s="72">
        <v>3</v>
      </c>
      <c r="DP427" s="72">
        <v>3</v>
      </c>
      <c r="DQ427" s="72">
        <v>3</v>
      </c>
    </row>
    <row r="428" spans="1:121" x14ac:dyDescent="0.35">
      <c r="A428" s="7"/>
      <c r="B428" s="14" t="s">
        <v>1379</v>
      </c>
      <c r="C428" s="9" t="s">
        <v>701</v>
      </c>
      <c r="D428" s="10" t="s">
        <v>697</v>
      </c>
      <c r="E428" s="8" t="s">
        <v>1206</v>
      </c>
      <c r="F428" s="10"/>
      <c r="G428" s="10"/>
      <c r="H428" s="10" t="s">
        <v>41</v>
      </c>
      <c r="I428" s="11"/>
      <c r="J428" s="10"/>
      <c r="K428" s="10"/>
      <c r="L428" s="8"/>
      <c r="M428" s="12">
        <v>263</v>
      </c>
      <c r="N428" s="12">
        <f t="shared" si="11"/>
        <v>263</v>
      </c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</row>
    <row r="429" spans="1:121" x14ac:dyDescent="0.35">
      <c r="A429" s="7"/>
      <c r="B429" s="8" t="s">
        <v>702</v>
      </c>
      <c r="C429" s="9" t="s">
        <v>703</v>
      </c>
      <c r="D429" s="10" t="s">
        <v>697</v>
      </c>
      <c r="E429" s="8" t="s">
        <v>1206</v>
      </c>
      <c r="F429" s="10">
        <v>1002</v>
      </c>
      <c r="G429" s="10" t="s">
        <v>40</v>
      </c>
      <c r="H429" s="10" t="s">
        <v>41</v>
      </c>
      <c r="I429" s="11">
        <v>7</v>
      </c>
      <c r="J429" s="10"/>
      <c r="K429" s="10" t="s">
        <v>42</v>
      </c>
      <c r="L429" s="8"/>
      <c r="M429" s="12">
        <v>96.1</v>
      </c>
      <c r="N429" s="12">
        <f t="shared" si="11"/>
        <v>0</v>
      </c>
      <c r="O429" s="11">
        <v>25</v>
      </c>
      <c r="P429" s="11">
        <v>25</v>
      </c>
      <c r="Q429" s="11">
        <v>25</v>
      </c>
      <c r="R429" s="11">
        <v>25</v>
      </c>
      <c r="S429" s="11">
        <v>25</v>
      </c>
      <c r="T429" s="11">
        <v>25</v>
      </c>
      <c r="U429" s="11">
        <v>25</v>
      </c>
      <c r="V429" s="11">
        <v>25</v>
      </c>
      <c r="W429" s="11">
        <v>25</v>
      </c>
      <c r="X429" s="11">
        <v>10</v>
      </c>
      <c r="Y429" s="11">
        <v>10</v>
      </c>
      <c r="Z429" s="11">
        <v>7</v>
      </c>
      <c r="AA429" s="11">
        <v>7</v>
      </c>
      <c r="AB429" s="11">
        <v>7</v>
      </c>
      <c r="AC429" s="11">
        <v>7</v>
      </c>
      <c r="AD429" s="11">
        <v>7</v>
      </c>
      <c r="AE429" s="11">
        <v>7</v>
      </c>
      <c r="AF429" s="11">
        <v>7</v>
      </c>
      <c r="AG429" s="11">
        <v>7</v>
      </c>
      <c r="AH429" s="11">
        <v>7</v>
      </c>
      <c r="AI429" s="11">
        <v>7</v>
      </c>
      <c r="AJ429" s="11">
        <v>7</v>
      </c>
      <c r="AK429" s="11">
        <v>7</v>
      </c>
      <c r="AL429" s="11">
        <v>7</v>
      </c>
      <c r="AM429" s="11">
        <v>7</v>
      </c>
      <c r="AN429" s="72">
        <v>7</v>
      </c>
      <c r="AO429" s="72">
        <v>7</v>
      </c>
      <c r="AP429" s="72">
        <v>7</v>
      </c>
      <c r="AQ429" s="72">
        <v>7</v>
      </c>
      <c r="AR429" s="72">
        <v>7</v>
      </c>
      <c r="AS429" s="72">
        <v>7</v>
      </c>
      <c r="AT429" s="72">
        <v>7</v>
      </c>
      <c r="AU429" s="72">
        <v>7</v>
      </c>
      <c r="AV429" s="72">
        <v>7</v>
      </c>
      <c r="AW429" s="72">
        <v>7</v>
      </c>
      <c r="AX429" s="72">
        <v>7</v>
      </c>
      <c r="AY429" s="72">
        <v>7</v>
      </c>
      <c r="AZ429" s="72">
        <v>7</v>
      </c>
      <c r="BA429" s="72">
        <v>7</v>
      </c>
      <c r="BB429" s="72">
        <v>7</v>
      </c>
      <c r="BC429" s="72">
        <v>7</v>
      </c>
      <c r="BD429" s="72">
        <v>7</v>
      </c>
      <c r="BE429" s="72">
        <v>7</v>
      </c>
      <c r="BF429" s="72">
        <v>7</v>
      </c>
      <c r="BG429" s="72">
        <v>7</v>
      </c>
      <c r="BH429" s="72">
        <v>7</v>
      </c>
      <c r="BI429" s="72">
        <v>7</v>
      </c>
      <c r="BJ429" s="72">
        <v>7</v>
      </c>
      <c r="BK429" s="72">
        <v>7</v>
      </c>
      <c r="BL429" s="72">
        <v>7</v>
      </c>
      <c r="BM429" s="72">
        <v>7</v>
      </c>
      <c r="BN429" s="72">
        <v>7</v>
      </c>
      <c r="BO429" s="72">
        <v>7</v>
      </c>
      <c r="BP429" s="72">
        <v>7</v>
      </c>
      <c r="BQ429" s="72">
        <v>7</v>
      </c>
      <c r="BR429" s="72">
        <v>7</v>
      </c>
      <c r="BS429" s="72">
        <v>6</v>
      </c>
      <c r="BT429" s="72">
        <v>6</v>
      </c>
      <c r="BU429" s="72">
        <v>6</v>
      </c>
      <c r="BV429" s="72">
        <v>6</v>
      </c>
      <c r="BW429" s="72">
        <v>6</v>
      </c>
      <c r="BX429" s="72">
        <v>6</v>
      </c>
      <c r="BY429" s="72">
        <v>6</v>
      </c>
      <c r="BZ429" s="72">
        <v>6</v>
      </c>
      <c r="CA429" s="72">
        <v>6</v>
      </c>
      <c r="CB429" s="72">
        <v>6</v>
      </c>
      <c r="CC429" s="72">
        <v>6</v>
      </c>
      <c r="CD429" s="72">
        <v>6</v>
      </c>
      <c r="CE429" s="72">
        <v>6</v>
      </c>
      <c r="CF429" s="72">
        <v>6</v>
      </c>
      <c r="CG429" s="72">
        <v>6</v>
      </c>
      <c r="CH429" s="72">
        <v>6</v>
      </c>
      <c r="CI429" s="72">
        <v>6</v>
      </c>
      <c r="CJ429" s="72">
        <v>6</v>
      </c>
      <c r="CK429" s="72">
        <v>6</v>
      </c>
      <c r="CL429" s="72">
        <v>6</v>
      </c>
      <c r="CM429" s="72">
        <v>6</v>
      </c>
      <c r="CN429" s="72">
        <v>6</v>
      </c>
      <c r="CO429" s="72">
        <v>6</v>
      </c>
      <c r="CP429" s="72">
        <v>6</v>
      </c>
      <c r="CQ429" s="72">
        <v>6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</row>
    <row r="430" spans="1:121" x14ac:dyDescent="0.35">
      <c r="A430" s="7"/>
      <c r="B430" s="8" t="s">
        <v>704</v>
      </c>
      <c r="C430" s="9" t="s">
        <v>705</v>
      </c>
      <c r="D430" s="10" t="s">
        <v>697</v>
      </c>
      <c r="E430" s="8" t="s">
        <v>1206</v>
      </c>
      <c r="F430" s="10">
        <v>1002</v>
      </c>
      <c r="G430" s="10" t="s">
        <v>40</v>
      </c>
      <c r="H430" s="10" t="s">
        <v>41</v>
      </c>
      <c r="I430" s="11">
        <v>190</v>
      </c>
      <c r="J430" s="10"/>
      <c r="K430" s="10" t="s">
        <v>42</v>
      </c>
      <c r="L430" s="8"/>
      <c r="M430" s="12">
        <v>96</v>
      </c>
      <c r="N430" s="12">
        <f t="shared" si="11"/>
        <v>96</v>
      </c>
      <c r="O430" s="11">
        <v>188</v>
      </c>
      <c r="P430" s="11">
        <v>188</v>
      </c>
      <c r="Q430" s="11">
        <v>188</v>
      </c>
      <c r="R430" s="11">
        <v>188</v>
      </c>
      <c r="S430" s="11">
        <v>188</v>
      </c>
      <c r="T430" s="11">
        <v>188</v>
      </c>
      <c r="U430" s="11">
        <v>188</v>
      </c>
      <c r="V430" s="11">
        <v>188</v>
      </c>
      <c r="W430" s="11">
        <v>188</v>
      </c>
      <c r="X430" s="11">
        <v>188</v>
      </c>
      <c r="Y430" s="11">
        <v>188</v>
      </c>
      <c r="Z430" s="11">
        <v>188</v>
      </c>
      <c r="AA430" s="11">
        <v>188</v>
      </c>
      <c r="AB430" s="11">
        <v>188</v>
      </c>
      <c r="AC430" s="11">
        <v>190</v>
      </c>
      <c r="AD430" s="11">
        <v>190</v>
      </c>
      <c r="AE430" s="11">
        <v>190</v>
      </c>
      <c r="AF430" s="11">
        <v>190</v>
      </c>
      <c r="AG430" s="11">
        <v>190</v>
      </c>
      <c r="AH430" s="11">
        <v>190</v>
      </c>
      <c r="AI430" s="11">
        <v>190</v>
      </c>
      <c r="AJ430" s="11">
        <v>190</v>
      </c>
      <c r="AK430" s="11">
        <v>190</v>
      </c>
      <c r="AL430" s="11">
        <v>190</v>
      </c>
      <c r="AM430" s="11">
        <v>190</v>
      </c>
      <c r="AN430" s="72">
        <v>190</v>
      </c>
      <c r="AO430" s="72">
        <v>190</v>
      </c>
      <c r="AP430" s="72">
        <v>189</v>
      </c>
      <c r="AQ430" s="72">
        <v>189</v>
      </c>
      <c r="AR430" s="72">
        <v>189</v>
      </c>
      <c r="AS430" s="72">
        <v>189</v>
      </c>
      <c r="AT430" s="72">
        <v>189</v>
      </c>
      <c r="AU430" s="72">
        <v>189</v>
      </c>
      <c r="AV430" s="72">
        <v>189</v>
      </c>
      <c r="AW430" s="72">
        <v>189</v>
      </c>
      <c r="AX430" s="72">
        <v>188</v>
      </c>
      <c r="AY430" s="72">
        <v>188</v>
      </c>
      <c r="AZ430" s="72">
        <v>188</v>
      </c>
      <c r="BA430" s="72">
        <v>188</v>
      </c>
      <c r="BB430" s="72">
        <v>188</v>
      </c>
      <c r="BC430" s="72">
        <v>188</v>
      </c>
      <c r="BD430" s="72">
        <v>188</v>
      </c>
      <c r="BE430" s="72">
        <v>188</v>
      </c>
      <c r="BF430" s="72">
        <v>188</v>
      </c>
      <c r="BG430" s="72">
        <v>188</v>
      </c>
      <c r="BH430" s="72">
        <v>179</v>
      </c>
      <c r="BI430" s="72">
        <v>179</v>
      </c>
      <c r="BJ430" s="72">
        <v>179</v>
      </c>
      <c r="BK430" s="72">
        <v>179</v>
      </c>
      <c r="BL430" s="72">
        <v>179</v>
      </c>
      <c r="BM430" s="72">
        <v>167</v>
      </c>
      <c r="BN430" s="72">
        <v>161</v>
      </c>
      <c r="BO430" s="72">
        <v>110</v>
      </c>
      <c r="BP430" s="72">
        <v>103</v>
      </c>
      <c r="BQ430" s="72">
        <v>97</v>
      </c>
      <c r="BR430" s="72">
        <v>66</v>
      </c>
      <c r="BS430" s="72">
        <v>66</v>
      </c>
      <c r="BT430" s="72">
        <v>66</v>
      </c>
      <c r="BU430" s="72">
        <v>65</v>
      </c>
      <c r="BV430" s="72">
        <v>65</v>
      </c>
      <c r="BW430" s="72">
        <v>65</v>
      </c>
      <c r="BX430" s="72">
        <v>65</v>
      </c>
      <c r="BY430" s="72">
        <v>65</v>
      </c>
      <c r="BZ430" s="72">
        <v>62</v>
      </c>
      <c r="CA430" s="72">
        <v>43</v>
      </c>
      <c r="CB430" s="72">
        <v>43</v>
      </c>
      <c r="CC430" s="72">
        <v>43</v>
      </c>
      <c r="CD430" s="72">
        <v>41</v>
      </c>
      <c r="CE430" s="72">
        <v>41</v>
      </c>
      <c r="CF430" s="72">
        <v>41</v>
      </c>
      <c r="CG430" s="72">
        <v>41</v>
      </c>
      <c r="CH430" s="72">
        <v>35</v>
      </c>
      <c r="CI430" s="72">
        <v>34</v>
      </c>
      <c r="CJ430" s="72">
        <v>27</v>
      </c>
      <c r="CK430" s="72">
        <v>23</v>
      </c>
      <c r="CL430" s="72">
        <v>23</v>
      </c>
      <c r="CM430" s="72">
        <v>20</v>
      </c>
      <c r="CN430" s="72">
        <v>14</v>
      </c>
      <c r="CO430" s="72">
        <v>2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  <c r="DJ430" s="72">
        <v>1</v>
      </c>
      <c r="DK430" s="72">
        <v>1</v>
      </c>
      <c r="DL430" s="72">
        <v>1</v>
      </c>
      <c r="DM430" s="72">
        <v>1</v>
      </c>
      <c r="DN430" s="72">
        <v>1</v>
      </c>
      <c r="DO430" s="72">
        <v>1</v>
      </c>
      <c r="DP430" s="72">
        <v>1</v>
      </c>
      <c r="DQ430" s="72">
        <v>1</v>
      </c>
    </row>
    <row r="431" spans="1:121" x14ac:dyDescent="0.35">
      <c r="A431" s="7"/>
      <c r="B431" s="8" t="s">
        <v>706</v>
      </c>
      <c r="C431" s="9" t="s">
        <v>707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2</v>
      </c>
      <c r="J431" s="10"/>
      <c r="K431" s="10" t="s">
        <v>42</v>
      </c>
      <c r="L431" s="8"/>
      <c r="M431" s="12">
        <v>18</v>
      </c>
      <c r="N431" s="12">
        <f t="shared" si="11"/>
        <v>18</v>
      </c>
      <c r="O431" s="11">
        <v>6</v>
      </c>
      <c r="P431" s="11">
        <v>6</v>
      </c>
      <c r="Q431" s="11">
        <v>6</v>
      </c>
      <c r="R431" s="11">
        <v>5</v>
      </c>
      <c r="S431" s="11">
        <v>5</v>
      </c>
      <c r="T431" s="11">
        <v>3</v>
      </c>
      <c r="U431" s="11">
        <v>3</v>
      </c>
      <c r="V431" s="11">
        <v>3</v>
      </c>
      <c r="W431" s="11">
        <v>3</v>
      </c>
      <c r="X431" s="11">
        <v>3</v>
      </c>
      <c r="Y431" s="11">
        <v>3</v>
      </c>
      <c r="Z431" s="11">
        <v>2</v>
      </c>
      <c r="AA431" s="11">
        <v>2</v>
      </c>
      <c r="AB431" s="11">
        <v>2</v>
      </c>
      <c r="AC431" s="11">
        <v>2</v>
      </c>
      <c r="AD431" s="11">
        <v>2</v>
      </c>
      <c r="AE431" s="11">
        <v>2</v>
      </c>
      <c r="AF431" s="11">
        <v>2</v>
      </c>
      <c r="AG431" s="11">
        <v>2</v>
      </c>
      <c r="AH431" s="11">
        <v>2</v>
      </c>
      <c r="AI431" s="11">
        <v>2</v>
      </c>
      <c r="AJ431" s="11">
        <v>2</v>
      </c>
      <c r="AK431" s="11">
        <v>2</v>
      </c>
      <c r="AL431" s="11">
        <v>2</v>
      </c>
      <c r="AM431" s="11">
        <v>2</v>
      </c>
      <c r="AN431" s="72">
        <v>2</v>
      </c>
      <c r="AO431" s="72">
        <v>2</v>
      </c>
      <c r="AP431" s="72">
        <v>2</v>
      </c>
      <c r="AQ431" s="72">
        <v>2</v>
      </c>
      <c r="AR431" s="72">
        <v>2</v>
      </c>
      <c r="AS431" s="72">
        <v>2</v>
      </c>
      <c r="AT431" s="72">
        <v>2</v>
      </c>
      <c r="AU431" s="72">
        <v>2</v>
      </c>
      <c r="AV431" s="72">
        <v>2</v>
      </c>
      <c r="AW431" s="72">
        <v>2</v>
      </c>
      <c r="AX431" s="72">
        <v>2</v>
      </c>
      <c r="AY431" s="72">
        <v>2</v>
      </c>
      <c r="AZ431" s="72">
        <v>2</v>
      </c>
      <c r="BA431" s="72">
        <v>2</v>
      </c>
      <c r="BB431" s="72">
        <v>2</v>
      </c>
      <c r="BC431" s="72">
        <v>2</v>
      </c>
      <c r="BD431" s="72">
        <v>2</v>
      </c>
      <c r="BE431" s="72">
        <v>2</v>
      </c>
      <c r="BF431" s="72">
        <v>2</v>
      </c>
      <c r="BG431" s="72">
        <v>2</v>
      </c>
      <c r="BH431" s="72">
        <v>2</v>
      </c>
      <c r="BI431" s="72">
        <v>2</v>
      </c>
      <c r="BJ431" s="72">
        <v>2</v>
      </c>
      <c r="BK431" s="72">
        <v>2</v>
      </c>
      <c r="BL431" s="72">
        <v>2</v>
      </c>
      <c r="BM431" s="72">
        <v>2</v>
      </c>
      <c r="BN431" s="72">
        <v>2</v>
      </c>
      <c r="BO431" s="72">
        <v>1</v>
      </c>
      <c r="BP431" s="72">
        <v>1</v>
      </c>
      <c r="BQ431" s="72">
        <v>2</v>
      </c>
      <c r="BR431" s="72">
        <v>2</v>
      </c>
      <c r="BS431" s="72">
        <v>2</v>
      </c>
      <c r="BT431" s="72">
        <v>2</v>
      </c>
      <c r="BU431" s="72">
        <v>2</v>
      </c>
      <c r="BV431" s="72">
        <v>2</v>
      </c>
      <c r="BW431" s="72">
        <v>2</v>
      </c>
      <c r="BX431" s="72">
        <v>2</v>
      </c>
      <c r="BY431" s="72">
        <v>2</v>
      </c>
      <c r="BZ431" s="72">
        <v>2</v>
      </c>
      <c r="CA431" s="72">
        <v>2</v>
      </c>
      <c r="CB431" s="72">
        <v>2</v>
      </c>
      <c r="CC431" s="72">
        <v>2</v>
      </c>
      <c r="CD431" s="72">
        <v>2</v>
      </c>
      <c r="CE431" s="72">
        <v>2</v>
      </c>
      <c r="CF431" s="72">
        <v>2</v>
      </c>
      <c r="CG431" s="72">
        <v>2</v>
      </c>
      <c r="CH431" s="72">
        <v>2</v>
      </c>
      <c r="CI431" s="72">
        <v>2</v>
      </c>
      <c r="CJ431" s="72">
        <v>2</v>
      </c>
      <c r="CK431" s="72">
        <v>2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2</v>
      </c>
      <c r="CY431" s="72">
        <v>2</v>
      </c>
      <c r="CZ431" s="72">
        <v>2</v>
      </c>
      <c r="DA431" s="72">
        <v>2</v>
      </c>
      <c r="DB431" s="72">
        <v>2</v>
      </c>
      <c r="DC431" s="72">
        <v>2</v>
      </c>
      <c r="DD431" s="72">
        <v>2</v>
      </c>
      <c r="DE431" s="72">
        <v>2</v>
      </c>
      <c r="DF431" s="72">
        <v>2</v>
      </c>
      <c r="DG431" s="72">
        <v>2</v>
      </c>
      <c r="DH431" s="72">
        <v>2</v>
      </c>
      <c r="DI431" s="72">
        <v>2</v>
      </c>
      <c r="DJ431" s="72">
        <v>1</v>
      </c>
      <c r="DK431" s="72">
        <v>1</v>
      </c>
      <c r="DL431" s="72">
        <v>1</v>
      </c>
      <c r="DM431" s="72">
        <v>1</v>
      </c>
      <c r="DN431" s="72">
        <v>1</v>
      </c>
      <c r="DO431" s="72">
        <v>1</v>
      </c>
      <c r="DP431" s="72">
        <v>1</v>
      </c>
      <c r="DQ431" s="72">
        <v>1</v>
      </c>
    </row>
    <row r="432" spans="1:121" x14ac:dyDescent="0.35">
      <c r="A432" s="7"/>
      <c r="B432" s="8" t="s">
        <v>708</v>
      </c>
      <c r="C432" s="9" t="s">
        <v>709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23</v>
      </c>
      <c r="J432" s="10">
        <v>3</v>
      </c>
      <c r="K432" s="10" t="s">
        <v>42</v>
      </c>
      <c r="L432" s="8" t="s">
        <v>710</v>
      </c>
      <c r="M432" s="12">
        <v>30</v>
      </c>
      <c r="N432" s="12">
        <f t="shared" si="11"/>
        <v>120</v>
      </c>
      <c r="O432" s="11">
        <v>24</v>
      </c>
      <c r="P432" s="11">
        <v>24</v>
      </c>
      <c r="Q432" s="11">
        <v>24</v>
      </c>
      <c r="R432" s="11">
        <v>20</v>
      </c>
      <c r="S432" s="11">
        <v>20</v>
      </c>
      <c r="T432" s="11">
        <v>20</v>
      </c>
      <c r="U432" s="11">
        <v>20</v>
      </c>
      <c r="V432" s="11">
        <v>20</v>
      </c>
      <c r="W432" s="11">
        <v>23</v>
      </c>
      <c r="X432" s="11">
        <v>23</v>
      </c>
      <c r="Y432" s="11">
        <v>23</v>
      </c>
      <c r="Z432" s="11">
        <v>23</v>
      </c>
      <c r="AA432" s="11">
        <v>23</v>
      </c>
      <c r="AB432" s="11">
        <v>23</v>
      </c>
      <c r="AC432" s="11">
        <v>23</v>
      </c>
      <c r="AD432" s="11">
        <v>23</v>
      </c>
      <c r="AE432" s="11">
        <v>23</v>
      </c>
      <c r="AF432" s="11">
        <v>21</v>
      </c>
      <c r="AG432" s="11">
        <v>23</v>
      </c>
      <c r="AH432" s="11">
        <v>23</v>
      </c>
      <c r="AI432" s="11">
        <v>23</v>
      </c>
      <c r="AJ432" s="11">
        <v>23</v>
      </c>
      <c r="AK432" s="11">
        <v>23</v>
      </c>
      <c r="AL432" s="11">
        <v>23</v>
      </c>
      <c r="AM432" s="11">
        <v>23</v>
      </c>
      <c r="AN432" s="72">
        <v>19</v>
      </c>
      <c r="AO432" s="72">
        <v>23</v>
      </c>
      <c r="AP432" s="72">
        <v>23</v>
      </c>
      <c r="AQ432" s="72">
        <v>23</v>
      </c>
      <c r="AR432" s="72">
        <v>23</v>
      </c>
      <c r="AS432" s="72">
        <v>23</v>
      </c>
      <c r="AT432" s="72">
        <v>23</v>
      </c>
      <c r="AU432" s="72">
        <v>23</v>
      </c>
      <c r="AV432" s="72">
        <v>23</v>
      </c>
      <c r="AW432" s="72">
        <v>23</v>
      </c>
      <c r="AX432" s="72">
        <v>23</v>
      </c>
      <c r="AY432" s="72">
        <v>23</v>
      </c>
      <c r="AZ432" s="72">
        <v>21</v>
      </c>
      <c r="BA432" s="72">
        <v>21</v>
      </c>
      <c r="BB432" s="72">
        <v>5</v>
      </c>
      <c r="BC432" s="72">
        <v>5</v>
      </c>
      <c r="BD432" s="72">
        <v>5</v>
      </c>
      <c r="BE432" s="72">
        <v>4</v>
      </c>
      <c r="BF432" s="72">
        <v>4</v>
      </c>
      <c r="BG432" s="72">
        <v>4</v>
      </c>
      <c r="BH432" s="72">
        <v>2</v>
      </c>
      <c r="BI432" s="72">
        <v>2</v>
      </c>
      <c r="BJ432" s="72">
        <v>2</v>
      </c>
      <c r="BK432" s="72">
        <v>2</v>
      </c>
      <c r="BL432" s="72">
        <v>2</v>
      </c>
      <c r="BM432" s="72">
        <v>0</v>
      </c>
      <c r="BN432" s="72">
        <v>2</v>
      </c>
      <c r="BO432" s="72">
        <v>2</v>
      </c>
      <c r="BP432" s="72">
        <v>0</v>
      </c>
      <c r="BQ432" s="72">
        <v>0</v>
      </c>
      <c r="BR432" s="72">
        <v>1</v>
      </c>
      <c r="BS432" s="72">
        <v>1</v>
      </c>
      <c r="BT432" s="72">
        <v>1</v>
      </c>
      <c r="BU432" s="72">
        <v>1</v>
      </c>
      <c r="BV432" s="72">
        <v>1</v>
      </c>
      <c r="BW432" s="72">
        <v>1</v>
      </c>
      <c r="BX432" s="72">
        <v>1</v>
      </c>
      <c r="BY432" s="72">
        <v>1</v>
      </c>
      <c r="BZ432" s="72">
        <v>1</v>
      </c>
      <c r="CA432" s="72">
        <v>1</v>
      </c>
      <c r="CB432" s="72">
        <v>1</v>
      </c>
      <c r="CC432" s="72">
        <v>1</v>
      </c>
      <c r="CD432" s="72">
        <v>1</v>
      </c>
      <c r="CE432" s="72">
        <v>1</v>
      </c>
      <c r="CF432" s="72">
        <v>1</v>
      </c>
      <c r="CG432" s="72">
        <v>1</v>
      </c>
      <c r="CH432" s="72">
        <v>1</v>
      </c>
      <c r="CI432" s="72">
        <v>1</v>
      </c>
      <c r="CJ432" s="72">
        <v>1</v>
      </c>
      <c r="CK432" s="72">
        <v>1</v>
      </c>
      <c r="CL432" s="72">
        <v>1</v>
      </c>
      <c r="CM432" s="72">
        <v>1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4</v>
      </c>
      <c r="CX432" s="72">
        <v>4</v>
      </c>
      <c r="CY432" s="72">
        <v>4</v>
      </c>
      <c r="CZ432" s="72">
        <v>4</v>
      </c>
      <c r="DA432" s="72">
        <v>4</v>
      </c>
      <c r="DB432" s="72">
        <v>4</v>
      </c>
      <c r="DC432" s="72">
        <v>4</v>
      </c>
      <c r="DD432" s="72">
        <v>4</v>
      </c>
      <c r="DE432" s="72">
        <v>4</v>
      </c>
      <c r="DF432" s="72">
        <v>4</v>
      </c>
      <c r="DG432" s="72">
        <v>4</v>
      </c>
      <c r="DH432" s="72">
        <v>4</v>
      </c>
      <c r="DI432" s="72">
        <v>4</v>
      </c>
      <c r="DJ432" s="72">
        <v>4</v>
      </c>
      <c r="DK432" s="72">
        <v>4</v>
      </c>
      <c r="DL432" s="72">
        <v>4</v>
      </c>
      <c r="DM432" s="72">
        <v>4</v>
      </c>
      <c r="DN432" s="72">
        <v>4</v>
      </c>
      <c r="DO432" s="72">
        <v>4</v>
      </c>
      <c r="DP432" s="72">
        <v>4</v>
      </c>
      <c r="DQ432" s="72">
        <v>4</v>
      </c>
    </row>
    <row r="433" spans="1:121" x14ac:dyDescent="0.35">
      <c r="A433" s="7"/>
      <c r="B433" s="8" t="s">
        <v>711</v>
      </c>
      <c r="C433" s="9" t="s">
        <v>712</v>
      </c>
      <c r="D433" s="10" t="s">
        <v>697</v>
      </c>
      <c r="E433" s="8" t="s">
        <v>1203</v>
      </c>
      <c r="F433" s="10">
        <v>1002</v>
      </c>
      <c r="G433" s="10" t="s">
        <v>40</v>
      </c>
      <c r="H433" s="10" t="s">
        <v>41</v>
      </c>
      <c r="I433" s="11">
        <v>1</v>
      </c>
      <c r="J433" s="10"/>
      <c r="K433" s="10"/>
      <c r="L433" s="8"/>
      <c r="M433" s="12">
        <v>149.16999999999999</v>
      </c>
      <c r="N433" s="12">
        <f t="shared" si="11"/>
        <v>0</v>
      </c>
      <c r="O433" s="11">
        <v>1</v>
      </c>
      <c r="P433" s="11">
        <v>1</v>
      </c>
      <c r="Q433" s="11">
        <v>1</v>
      </c>
      <c r="R433" s="11">
        <v>1</v>
      </c>
      <c r="S433" s="11">
        <v>1</v>
      </c>
      <c r="T433" s="11">
        <v>1</v>
      </c>
      <c r="U433" s="11">
        <v>1</v>
      </c>
      <c r="V433" s="11">
        <v>1</v>
      </c>
      <c r="W433" s="11">
        <v>1</v>
      </c>
      <c r="X433" s="11">
        <v>1</v>
      </c>
      <c r="Y433" s="11">
        <v>1</v>
      </c>
      <c r="Z433" s="11">
        <v>1</v>
      </c>
      <c r="AA433" s="11">
        <v>1</v>
      </c>
      <c r="AB433" s="11">
        <v>1</v>
      </c>
      <c r="AC433" s="11">
        <v>1</v>
      </c>
      <c r="AD433" s="11">
        <v>1</v>
      </c>
      <c r="AE433" s="11">
        <v>1</v>
      </c>
      <c r="AF433" s="11">
        <v>1</v>
      </c>
      <c r="AG433" s="11">
        <v>1</v>
      </c>
      <c r="AH433" s="11">
        <v>1</v>
      </c>
      <c r="AI433" s="11">
        <v>1</v>
      </c>
      <c r="AJ433" s="11">
        <v>1</v>
      </c>
      <c r="AK433" s="11">
        <v>1</v>
      </c>
      <c r="AL433" s="11">
        <v>1</v>
      </c>
      <c r="AM433" s="11">
        <v>1</v>
      </c>
      <c r="AN433" s="72">
        <v>1</v>
      </c>
      <c r="AO433" s="72">
        <v>1</v>
      </c>
      <c r="AP433" s="72">
        <v>1</v>
      </c>
      <c r="AQ433" s="72">
        <v>1</v>
      </c>
      <c r="AR433" s="72">
        <v>1</v>
      </c>
      <c r="AS433" s="72">
        <v>1</v>
      </c>
      <c r="AT433" s="72">
        <v>1</v>
      </c>
      <c r="AU433" s="72">
        <v>1</v>
      </c>
      <c r="AV433" s="72">
        <v>1</v>
      </c>
      <c r="AW433" s="72">
        <v>1</v>
      </c>
      <c r="AX433" s="72">
        <v>1</v>
      </c>
      <c r="AY433" s="72">
        <v>1</v>
      </c>
      <c r="AZ433" s="72">
        <v>1</v>
      </c>
      <c r="BA433" s="72">
        <v>1</v>
      </c>
      <c r="BB433" s="72">
        <v>1</v>
      </c>
      <c r="BC433" s="72">
        <v>1</v>
      </c>
      <c r="BD433" s="72">
        <v>1</v>
      </c>
      <c r="BE433" s="72">
        <v>1</v>
      </c>
      <c r="BF433" s="72">
        <v>1</v>
      </c>
      <c r="BG433" s="72">
        <v>1</v>
      </c>
      <c r="BH433" s="72">
        <v>1</v>
      </c>
      <c r="BI433" s="72">
        <v>1</v>
      </c>
      <c r="BJ433" s="72">
        <v>1</v>
      </c>
      <c r="BK433" s="72">
        <v>1</v>
      </c>
      <c r="BL433" s="72">
        <v>1</v>
      </c>
      <c r="BM433" s="72">
        <v>1</v>
      </c>
      <c r="BN433" s="72">
        <v>1</v>
      </c>
      <c r="BO433" s="72">
        <v>1</v>
      </c>
      <c r="BP433" s="72">
        <v>1</v>
      </c>
      <c r="BQ433" s="72">
        <v>1</v>
      </c>
      <c r="BR433" s="72">
        <v>1</v>
      </c>
      <c r="BS433" s="72">
        <v>1</v>
      </c>
      <c r="BT433" s="72">
        <v>0</v>
      </c>
      <c r="BU433" s="72">
        <v>0</v>
      </c>
      <c r="BV433" s="72">
        <v>0</v>
      </c>
      <c r="BW433" s="72">
        <v>0</v>
      </c>
      <c r="BX433" s="72">
        <v>0</v>
      </c>
      <c r="BY433" s="72">
        <v>0</v>
      </c>
      <c r="BZ433" s="72">
        <v>0</v>
      </c>
      <c r="CA433" s="72">
        <v>0</v>
      </c>
      <c r="CB433" s="72">
        <v>0</v>
      </c>
      <c r="CC433" s="72">
        <v>0</v>
      </c>
      <c r="CD433" s="72">
        <v>0</v>
      </c>
      <c r="CE433" s="72">
        <v>0</v>
      </c>
      <c r="CF433" s="72">
        <v>0</v>
      </c>
      <c r="CG433" s="72">
        <v>0</v>
      </c>
      <c r="CH433" s="72">
        <v>0</v>
      </c>
      <c r="CI433" s="72">
        <v>0</v>
      </c>
      <c r="CJ433" s="72">
        <v>0</v>
      </c>
      <c r="CK433" s="72">
        <v>0</v>
      </c>
      <c r="CL433" s="72">
        <v>0</v>
      </c>
      <c r="CM433" s="72">
        <v>0</v>
      </c>
      <c r="CN433" s="72">
        <v>0</v>
      </c>
      <c r="CO433" s="72">
        <v>0</v>
      </c>
      <c r="CP433" s="72">
        <v>0</v>
      </c>
      <c r="CQ433" s="72">
        <v>0</v>
      </c>
      <c r="CR433" s="72">
        <v>0</v>
      </c>
      <c r="CS433" s="72">
        <v>0</v>
      </c>
      <c r="CT433" s="72">
        <v>0</v>
      </c>
      <c r="CU433" s="72">
        <v>0</v>
      </c>
      <c r="CV433" s="72">
        <v>0</v>
      </c>
      <c r="CW433" s="72">
        <v>0</v>
      </c>
      <c r="CX433" s="72">
        <v>0</v>
      </c>
      <c r="CY433" s="72">
        <v>0</v>
      </c>
      <c r="CZ433" s="72">
        <v>0</v>
      </c>
      <c r="DA433" s="72">
        <v>0</v>
      </c>
      <c r="DB433" s="72">
        <v>0</v>
      </c>
      <c r="DC433" s="72">
        <v>0</v>
      </c>
      <c r="DD433" s="72">
        <v>0</v>
      </c>
      <c r="DE433" s="72">
        <v>0</v>
      </c>
      <c r="DF433" s="72">
        <v>0</v>
      </c>
      <c r="DG433" s="72">
        <v>0</v>
      </c>
      <c r="DH433" s="72">
        <v>0</v>
      </c>
      <c r="DI433" s="72">
        <v>0</v>
      </c>
      <c r="DJ433" s="72">
        <v>0</v>
      </c>
      <c r="DK433" s="72">
        <v>0</v>
      </c>
      <c r="DL433" s="72">
        <v>0</v>
      </c>
      <c r="DM433" s="72">
        <v>0</v>
      </c>
      <c r="DN433" s="72">
        <v>0</v>
      </c>
      <c r="DO433" s="72">
        <v>0</v>
      </c>
      <c r="DP433" s="72">
        <v>0</v>
      </c>
      <c r="DQ433" s="72">
        <v>0</v>
      </c>
    </row>
    <row r="434" spans="1:121" x14ac:dyDescent="0.35">
      <c r="A434" s="7"/>
      <c r="B434" s="8" t="s">
        <v>713</v>
      </c>
      <c r="C434" s="9" t="s">
        <v>714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17</v>
      </c>
      <c r="J434" s="10"/>
      <c r="K434" s="10"/>
      <c r="L434" s="8"/>
      <c r="M434" s="12"/>
      <c r="N434" s="12">
        <f t="shared" si="11"/>
        <v>0</v>
      </c>
      <c r="O434" s="11">
        <v>28</v>
      </c>
      <c r="P434" s="11">
        <v>28</v>
      </c>
      <c r="Q434" s="11">
        <v>28</v>
      </c>
      <c r="R434" s="11">
        <v>28</v>
      </c>
      <c r="S434" s="11">
        <v>28</v>
      </c>
      <c r="T434" s="11">
        <v>28</v>
      </c>
      <c r="U434" s="11">
        <v>28</v>
      </c>
      <c r="V434" s="11">
        <v>28</v>
      </c>
      <c r="W434" s="11">
        <v>28</v>
      </c>
      <c r="X434" s="11">
        <v>28</v>
      </c>
      <c r="Y434" s="11">
        <v>28</v>
      </c>
      <c r="Z434" s="11">
        <v>27</v>
      </c>
      <c r="AA434" s="11">
        <v>27</v>
      </c>
      <c r="AB434" s="11">
        <v>27</v>
      </c>
      <c r="AC434" s="11">
        <v>27</v>
      </c>
      <c r="AD434" s="11">
        <v>27</v>
      </c>
      <c r="AE434" s="11">
        <v>27</v>
      </c>
      <c r="AF434" s="11">
        <v>17</v>
      </c>
      <c r="AG434" s="11">
        <v>17</v>
      </c>
      <c r="AH434" s="11">
        <v>17</v>
      </c>
      <c r="AI434" s="11">
        <v>17</v>
      </c>
      <c r="AJ434" s="11">
        <v>17</v>
      </c>
      <c r="AK434" s="11">
        <v>17</v>
      </c>
      <c r="AL434" s="11">
        <v>17</v>
      </c>
      <c r="AM434" s="11">
        <v>17</v>
      </c>
      <c r="AN434" s="72">
        <v>17</v>
      </c>
      <c r="AO434" s="72">
        <v>17</v>
      </c>
      <c r="AP434" s="72">
        <v>17</v>
      </c>
      <c r="AQ434" s="72">
        <v>17</v>
      </c>
      <c r="AR434" s="72">
        <v>17</v>
      </c>
      <c r="AS434" s="72">
        <v>17</v>
      </c>
      <c r="AT434" s="72">
        <v>17</v>
      </c>
      <c r="AU434" s="72">
        <v>17</v>
      </c>
      <c r="AV434" s="72">
        <v>17</v>
      </c>
      <c r="AW434" s="72">
        <v>17</v>
      </c>
      <c r="AX434" s="72">
        <v>17</v>
      </c>
      <c r="AY434" s="72">
        <v>17</v>
      </c>
      <c r="AZ434" s="72">
        <v>17</v>
      </c>
      <c r="BA434" s="72">
        <v>17</v>
      </c>
      <c r="BB434" s="72">
        <v>17</v>
      </c>
      <c r="BC434" s="72">
        <v>17</v>
      </c>
      <c r="BD434" s="72">
        <v>17</v>
      </c>
      <c r="BE434" s="72">
        <v>17</v>
      </c>
      <c r="BF434" s="72">
        <v>17</v>
      </c>
      <c r="BG434" s="72">
        <v>17</v>
      </c>
      <c r="BH434" s="72">
        <v>17</v>
      </c>
      <c r="BI434" s="72">
        <v>17</v>
      </c>
      <c r="BJ434" s="72">
        <v>17</v>
      </c>
      <c r="BK434" s="72">
        <v>8</v>
      </c>
      <c r="BL434" s="72">
        <v>9</v>
      </c>
      <c r="BM434" s="72">
        <v>9</v>
      </c>
      <c r="BN434" s="72">
        <v>9</v>
      </c>
      <c r="BO434" s="72">
        <v>9</v>
      </c>
      <c r="BP434" s="72">
        <v>9</v>
      </c>
      <c r="BQ434" s="72">
        <v>3</v>
      </c>
      <c r="BR434" s="72">
        <v>2</v>
      </c>
      <c r="BS434" s="72">
        <v>0</v>
      </c>
      <c r="BT434" s="72">
        <v>1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</row>
    <row r="435" spans="1:121" x14ac:dyDescent="0.35">
      <c r="A435" s="7"/>
      <c r="B435" s="8" t="s">
        <v>1386</v>
      </c>
      <c r="C435" s="9" t="s">
        <v>714</v>
      </c>
      <c r="D435" s="10" t="s">
        <v>697</v>
      </c>
      <c r="E435" s="8" t="s">
        <v>1203</v>
      </c>
      <c r="F435" s="10"/>
      <c r="G435" s="10"/>
      <c r="H435" s="10" t="s">
        <v>41</v>
      </c>
      <c r="I435" s="11">
        <v>0</v>
      </c>
      <c r="J435" s="10"/>
      <c r="K435" s="10"/>
      <c r="L435" s="8"/>
      <c r="M435" s="12">
        <v>415</v>
      </c>
      <c r="N435" s="12">
        <f t="shared" si="11"/>
        <v>0</v>
      </c>
      <c r="O435" s="11">
        <v>0</v>
      </c>
      <c r="P435" s="11">
        <v>0</v>
      </c>
      <c r="Q435" s="11">
        <v>0</v>
      </c>
      <c r="R435" s="11">
        <v>0</v>
      </c>
      <c r="S435" s="11">
        <v>0</v>
      </c>
      <c r="T435" s="11">
        <v>0</v>
      </c>
      <c r="U435" s="11">
        <v>0</v>
      </c>
      <c r="V435" s="11">
        <v>0</v>
      </c>
      <c r="W435" s="11">
        <v>0</v>
      </c>
      <c r="X435" s="11">
        <v>0</v>
      </c>
      <c r="Y435" s="11">
        <v>0</v>
      </c>
      <c r="Z435" s="11">
        <v>0</v>
      </c>
      <c r="AA435" s="11">
        <v>0</v>
      </c>
      <c r="AB435" s="11">
        <v>0</v>
      </c>
      <c r="AC435" s="11">
        <v>0</v>
      </c>
      <c r="AD435" s="11">
        <v>0</v>
      </c>
      <c r="AE435" s="11">
        <v>0</v>
      </c>
      <c r="AF435" s="11">
        <v>0</v>
      </c>
      <c r="AG435" s="11">
        <v>0</v>
      </c>
      <c r="AH435" s="11">
        <v>0</v>
      </c>
      <c r="AI435" s="11">
        <v>0</v>
      </c>
      <c r="AJ435" s="11">
        <v>0</v>
      </c>
      <c r="AK435" s="11">
        <v>0</v>
      </c>
      <c r="AL435" s="11">
        <v>0</v>
      </c>
      <c r="AM435" s="11">
        <v>0</v>
      </c>
      <c r="AN435" s="72">
        <v>0</v>
      </c>
      <c r="AO435" s="72">
        <v>0</v>
      </c>
      <c r="AP435" s="72">
        <v>0</v>
      </c>
      <c r="AQ435" s="72">
        <v>0</v>
      </c>
      <c r="AR435" s="72">
        <v>0</v>
      </c>
      <c r="AS435" s="72">
        <v>0</v>
      </c>
      <c r="AT435" s="72">
        <v>0</v>
      </c>
      <c r="AU435" s="72">
        <v>0</v>
      </c>
      <c r="AV435" s="72">
        <v>0</v>
      </c>
      <c r="AW435" s="72">
        <v>0</v>
      </c>
      <c r="AX435" s="72">
        <v>0</v>
      </c>
      <c r="AY435" s="72">
        <v>0</v>
      </c>
      <c r="AZ435" s="72">
        <v>0</v>
      </c>
      <c r="BA435" s="72">
        <v>0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1</v>
      </c>
      <c r="BV435" s="72">
        <v>1</v>
      </c>
      <c r="BW435" s="72">
        <v>1</v>
      </c>
      <c r="BX435" s="72">
        <v>1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0</v>
      </c>
      <c r="DG435" s="72">
        <v>0</v>
      </c>
      <c r="DH435" s="72">
        <v>0</v>
      </c>
      <c r="DI435" s="72">
        <v>0</v>
      </c>
      <c r="DJ435" s="72">
        <v>0</v>
      </c>
      <c r="DK435" s="72">
        <v>0</v>
      </c>
      <c r="DL435" s="72">
        <v>0</v>
      </c>
      <c r="DM435" s="72">
        <v>0</v>
      </c>
      <c r="DN435" s="72">
        <v>0</v>
      </c>
      <c r="DO435" s="72">
        <v>0</v>
      </c>
      <c r="DP435" s="72">
        <v>0</v>
      </c>
      <c r="DQ435" s="72">
        <v>0</v>
      </c>
    </row>
    <row r="436" spans="1:121" x14ac:dyDescent="0.35">
      <c r="A436" s="7"/>
      <c r="B436" s="8" t="s">
        <v>715</v>
      </c>
      <c r="C436" s="9" t="s">
        <v>716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0</v>
      </c>
      <c r="J436" s="10"/>
      <c r="K436" s="10"/>
      <c r="L436" s="8"/>
      <c r="M436" s="12">
        <v>625</v>
      </c>
      <c r="N436" s="12">
        <f t="shared" si="11"/>
        <v>0</v>
      </c>
      <c r="O436" s="11">
        <v>6</v>
      </c>
      <c r="P436" s="11">
        <v>6</v>
      </c>
      <c r="Q436" s="11">
        <v>6</v>
      </c>
      <c r="R436" s="11">
        <v>6</v>
      </c>
      <c r="S436" s="11">
        <v>6</v>
      </c>
      <c r="T436" s="11">
        <v>6</v>
      </c>
      <c r="U436" s="11">
        <v>6</v>
      </c>
      <c r="V436" s="11">
        <v>5</v>
      </c>
      <c r="W436" s="11">
        <v>5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2</v>
      </c>
      <c r="AF436" s="11">
        <v>0</v>
      </c>
      <c r="AG436" s="11">
        <v>0</v>
      </c>
      <c r="AH436" s="11">
        <v>0</v>
      </c>
      <c r="AI436" s="11">
        <v>0</v>
      </c>
      <c r="AJ436" s="11">
        <v>0</v>
      </c>
      <c r="AK436" s="11">
        <v>0</v>
      </c>
      <c r="AL436" s="11">
        <v>0</v>
      </c>
      <c r="AM436" s="11">
        <v>0</v>
      </c>
      <c r="AN436" s="72">
        <v>0</v>
      </c>
      <c r="AO436" s="72">
        <v>0</v>
      </c>
      <c r="AP436" s="72">
        <v>0</v>
      </c>
      <c r="AQ436" s="72">
        <v>0</v>
      </c>
      <c r="AR436" s="72">
        <v>0</v>
      </c>
      <c r="AS436" s="72">
        <v>0</v>
      </c>
      <c r="AT436" s="72">
        <v>0</v>
      </c>
      <c r="AU436" s="72">
        <v>0</v>
      </c>
      <c r="AV436" s="72">
        <v>0</v>
      </c>
      <c r="AW436" s="72">
        <v>0</v>
      </c>
      <c r="AX436" s="72">
        <v>0</v>
      </c>
      <c r="AY436" s="72">
        <v>0</v>
      </c>
      <c r="AZ436" s="72">
        <v>0</v>
      </c>
      <c r="BA436" s="72">
        <v>0</v>
      </c>
      <c r="BB436" s="72">
        <v>0</v>
      </c>
      <c r="BC436" s="72">
        <v>0</v>
      </c>
      <c r="BD436" s="72">
        <v>0</v>
      </c>
      <c r="BE436" s="72">
        <v>0</v>
      </c>
      <c r="BF436" s="72">
        <v>0</v>
      </c>
      <c r="BG436" s="72">
        <v>0</v>
      </c>
      <c r="BH436" s="72">
        <v>0</v>
      </c>
      <c r="BI436" s="72">
        <v>0</v>
      </c>
      <c r="BJ436" s="72">
        <v>0</v>
      </c>
      <c r="BK436" s="72">
        <v>0</v>
      </c>
      <c r="BL436" s="72">
        <v>0</v>
      </c>
      <c r="BM436" s="72">
        <v>0</v>
      </c>
      <c r="BN436" s="72">
        <v>0</v>
      </c>
      <c r="BO436" s="72">
        <v>0</v>
      </c>
      <c r="BP436" s="72">
        <v>0</v>
      </c>
      <c r="BQ436" s="72">
        <v>0</v>
      </c>
      <c r="BR436" s="72">
        <v>0</v>
      </c>
      <c r="BS436" s="72">
        <v>0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</row>
    <row r="437" spans="1:121" x14ac:dyDescent="0.35">
      <c r="A437" s="7"/>
      <c r="B437" s="77" t="s">
        <v>1309</v>
      </c>
      <c r="C437" s="9" t="s">
        <v>1311</v>
      </c>
      <c r="D437" s="10" t="s">
        <v>697</v>
      </c>
      <c r="E437" s="8" t="s">
        <v>1203</v>
      </c>
      <c r="F437" s="10"/>
      <c r="G437" s="10"/>
      <c r="H437" s="10" t="s">
        <v>41</v>
      </c>
      <c r="I437" s="11"/>
      <c r="J437" s="10"/>
      <c r="K437" s="10"/>
      <c r="L437" s="8"/>
      <c r="M437" s="12"/>
      <c r="N437" s="12">
        <f t="shared" si="11"/>
        <v>0</v>
      </c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>
        <v>2</v>
      </c>
      <c r="BF437" s="72">
        <v>2</v>
      </c>
      <c r="BG437" s="72">
        <v>2</v>
      </c>
      <c r="BH437" s="72">
        <v>1</v>
      </c>
      <c r="BI437" s="72">
        <v>1</v>
      </c>
      <c r="BJ437" s="72">
        <v>1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  <c r="DJ437" s="72">
        <v>0</v>
      </c>
      <c r="DK437" s="72">
        <v>0</v>
      </c>
      <c r="DL437" s="72">
        <v>0</v>
      </c>
      <c r="DM437" s="72">
        <v>0</v>
      </c>
      <c r="DN437" s="72">
        <v>0</v>
      </c>
      <c r="DO437" s="72">
        <v>0</v>
      </c>
      <c r="DP437" s="72">
        <v>0</v>
      </c>
      <c r="DQ437" s="72">
        <v>0</v>
      </c>
    </row>
    <row r="438" spans="1:121" x14ac:dyDescent="0.35">
      <c r="A438" s="7"/>
      <c r="B438" s="8" t="s">
        <v>717</v>
      </c>
      <c r="C438" s="9" t="s">
        <v>718</v>
      </c>
      <c r="D438" s="10" t="s">
        <v>697</v>
      </c>
      <c r="E438" s="8" t="s">
        <v>1205</v>
      </c>
      <c r="F438" s="10">
        <v>1006</v>
      </c>
      <c r="G438" s="10" t="s">
        <v>40</v>
      </c>
      <c r="H438" s="10" t="s">
        <v>41</v>
      </c>
      <c r="I438" s="11">
        <v>20</v>
      </c>
      <c r="J438" s="10"/>
      <c r="K438" s="10"/>
      <c r="L438" s="8"/>
      <c r="M438" s="12">
        <v>490</v>
      </c>
      <c r="N438" s="12">
        <f t="shared" si="11"/>
        <v>9800</v>
      </c>
      <c r="O438" s="11">
        <v>20</v>
      </c>
      <c r="P438" s="11">
        <v>20</v>
      </c>
      <c r="Q438" s="11">
        <v>20</v>
      </c>
      <c r="R438" s="11">
        <v>20</v>
      </c>
      <c r="S438" s="11">
        <v>20</v>
      </c>
      <c r="T438" s="11">
        <v>20</v>
      </c>
      <c r="U438" s="11">
        <v>20</v>
      </c>
      <c r="V438" s="11">
        <v>20</v>
      </c>
      <c r="W438" s="11">
        <v>20</v>
      </c>
      <c r="X438" s="11">
        <v>20</v>
      </c>
      <c r="Y438" s="11">
        <v>20</v>
      </c>
      <c r="Z438" s="11">
        <v>20</v>
      </c>
      <c r="AA438" s="11">
        <v>20</v>
      </c>
      <c r="AB438" s="11">
        <v>20</v>
      </c>
      <c r="AC438" s="11">
        <v>20</v>
      </c>
      <c r="AD438" s="11">
        <v>20</v>
      </c>
      <c r="AE438" s="11">
        <v>20</v>
      </c>
      <c r="AF438" s="11">
        <v>20</v>
      </c>
      <c r="AG438" s="11">
        <v>20</v>
      </c>
      <c r="AH438" s="11">
        <v>20</v>
      </c>
      <c r="AI438" s="11">
        <v>20</v>
      </c>
      <c r="AJ438" s="11">
        <v>20</v>
      </c>
      <c r="AK438" s="11">
        <v>20</v>
      </c>
      <c r="AL438" s="11">
        <v>20</v>
      </c>
      <c r="AM438" s="11">
        <v>20</v>
      </c>
      <c r="AN438" s="72">
        <v>20</v>
      </c>
      <c r="AO438" s="72">
        <v>20</v>
      </c>
      <c r="AP438" s="72">
        <v>20</v>
      </c>
      <c r="AQ438" s="72">
        <v>20</v>
      </c>
      <c r="AR438" s="72">
        <v>20</v>
      </c>
      <c r="AS438" s="72">
        <v>20</v>
      </c>
      <c r="AT438" s="72">
        <v>20</v>
      </c>
      <c r="AU438" s="72">
        <v>20</v>
      </c>
      <c r="AV438" s="72">
        <v>20</v>
      </c>
      <c r="AW438" s="72">
        <v>20</v>
      </c>
      <c r="AX438" s="72">
        <v>20</v>
      </c>
      <c r="AY438" s="72">
        <v>20</v>
      </c>
      <c r="AZ438" s="72">
        <v>20</v>
      </c>
      <c r="BA438" s="72">
        <v>20</v>
      </c>
      <c r="BB438" s="72">
        <v>20</v>
      </c>
      <c r="BC438" s="72">
        <v>20</v>
      </c>
      <c r="BD438" s="72">
        <v>20</v>
      </c>
      <c r="BE438" s="72">
        <v>20</v>
      </c>
      <c r="BF438" s="72">
        <v>20</v>
      </c>
      <c r="BG438" s="72">
        <v>20</v>
      </c>
      <c r="BH438" s="72">
        <v>20</v>
      </c>
      <c r="BI438" s="72">
        <v>20</v>
      </c>
      <c r="BJ438" s="72">
        <v>20</v>
      </c>
      <c r="BK438" s="72">
        <v>20</v>
      </c>
      <c r="BL438" s="72">
        <v>20</v>
      </c>
      <c r="BM438" s="72">
        <v>20</v>
      </c>
      <c r="BN438" s="72">
        <v>20</v>
      </c>
      <c r="BO438" s="72">
        <v>20</v>
      </c>
      <c r="BP438" s="72">
        <v>20</v>
      </c>
      <c r="BQ438" s="72">
        <v>20</v>
      </c>
      <c r="BR438" s="72">
        <v>20</v>
      </c>
      <c r="BS438" s="72">
        <v>20</v>
      </c>
      <c r="BT438" s="72">
        <v>20</v>
      </c>
      <c r="BU438" s="72">
        <v>20</v>
      </c>
      <c r="BV438" s="72">
        <v>20</v>
      </c>
      <c r="BW438" s="72">
        <v>20</v>
      </c>
      <c r="BX438" s="72">
        <v>20</v>
      </c>
      <c r="BY438" s="72">
        <v>20</v>
      </c>
      <c r="BZ438" s="72">
        <v>20</v>
      </c>
      <c r="CA438" s="72">
        <v>20</v>
      </c>
      <c r="CB438" s="72">
        <v>20</v>
      </c>
      <c r="CC438" s="72">
        <v>20</v>
      </c>
      <c r="CD438" s="72">
        <v>20</v>
      </c>
      <c r="CE438" s="72">
        <v>20</v>
      </c>
      <c r="CF438" s="72">
        <v>20</v>
      </c>
      <c r="CG438" s="72">
        <v>20</v>
      </c>
      <c r="CH438" s="72">
        <v>20</v>
      </c>
      <c r="CI438" s="72">
        <v>20</v>
      </c>
      <c r="CJ438" s="72">
        <v>20</v>
      </c>
      <c r="CK438" s="72">
        <v>20</v>
      </c>
      <c r="CL438" s="72">
        <v>20</v>
      </c>
      <c r="CM438" s="72">
        <v>20</v>
      </c>
      <c r="CN438" s="72">
        <v>20</v>
      </c>
      <c r="CO438" s="72">
        <v>20</v>
      </c>
      <c r="CP438" s="72">
        <v>20</v>
      </c>
      <c r="CQ438" s="72">
        <v>20</v>
      </c>
      <c r="CR438" s="72">
        <v>20</v>
      </c>
      <c r="CS438" s="72">
        <v>20</v>
      </c>
      <c r="CT438" s="72">
        <v>20</v>
      </c>
      <c r="CU438" s="72">
        <v>20</v>
      </c>
      <c r="CV438" s="72">
        <v>20</v>
      </c>
      <c r="CW438" s="72">
        <v>20</v>
      </c>
      <c r="CX438" s="72">
        <v>20</v>
      </c>
      <c r="CY438" s="72">
        <v>20</v>
      </c>
      <c r="CZ438" s="72">
        <v>20</v>
      </c>
      <c r="DA438" s="72">
        <v>20</v>
      </c>
      <c r="DB438" s="72">
        <v>20</v>
      </c>
      <c r="DC438" s="72">
        <v>20</v>
      </c>
      <c r="DD438" s="72">
        <v>20</v>
      </c>
      <c r="DE438" s="72">
        <v>20</v>
      </c>
      <c r="DF438" s="72">
        <v>20</v>
      </c>
      <c r="DG438" s="72">
        <v>20</v>
      </c>
      <c r="DH438" s="72">
        <v>20</v>
      </c>
      <c r="DI438" s="72">
        <v>20</v>
      </c>
      <c r="DJ438" s="72">
        <v>20</v>
      </c>
      <c r="DK438" s="72">
        <v>20</v>
      </c>
      <c r="DL438" s="72">
        <v>20</v>
      </c>
      <c r="DM438" s="72">
        <v>20</v>
      </c>
      <c r="DN438" s="72">
        <v>20</v>
      </c>
      <c r="DO438" s="72">
        <v>20</v>
      </c>
      <c r="DP438" s="72">
        <v>20</v>
      </c>
      <c r="DQ438" s="72">
        <v>20</v>
      </c>
    </row>
    <row r="439" spans="1:121" x14ac:dyDescent="0.35">
      <c r="A439" s="7"/>
      <c r="B439" s="8" t="s">
        <v>719</v>
      </c>
      <c r="C439" s="9" t="s">
        <v>720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2</v>
      </c>
      <c r="J439" s="10"/>
      <c r="K439" s="10" t="s">
        <v>42</v>
      </c>
      <c r="L439" s="8" t="s">
        <v>721</v>
      </c>
      <c r="M439" s="12">
        <v>184</v>
      </c>
      <c r="N439" s="12">
        <f t="shared" si="11"/>
        <v>0</v>
      </c>
      <c r="O439" s="11">
        <v>2</v>
      </c>
      <c r="P439" s="11">
        <v>2</v>
      </c>
      <c r="Q439" s="11">
        <v>2</v>
      </c>
      <c r="R439" s="11">
        <v>2</v>
      </c>
      <c r="S439" s="11">
        <v>2</v>
      </c>
      <c r="T439" s="11">
        <v>2</v>
      </c>
      <c r="U439" s="11">
        <v>2</v>
      </c>
      <c r="V439" s="11">
        <v>2</v>
      </c>
      <c r="W439" s="11">
        <v>2</v>
      </c>
      <c r="X439" s="11">
        <v>2</v>
      </c>
      <c r="Y439" s="11">
        <v>2</v>
      </c>
      <c r="Z439" s="11">
        <v>2</v>
      </c>
      <c r="AA439" s="11">
        <v>2</v>
      </c>
      <c r="AB439" s="11">
        <v>2</v>
      </c>
      <c r="AC439" s="11">
        <v>2</v>
      </c>
      <c r="AD439" s="11">
        <v>2</v>
      </c>
      <c r="AE439" s="11">
        <v>2</v>
      </c>
      <c r="AF439" s="11">
        <v>2</v>
      </c>
      <c r="AG439" s="11">
        <v>2</v>
      </c>
      <c r="AH439" s="11">
        <v>2</v>
      </c>
      <c r="AI439" s="11">
        <v>2</v>
      </c>
      <c r="AJ439" s="11">
        <v>2</v>
      </c>
      <c r="AK439" s="11">
        <v>2</v>
      </c>
      <c r="AL439" s="11">
        <v>2</v>
      </c>
      <c r="AM439" s="11">
        <v>2</v>
      </c>
      <c r="AN439" s="72">
        <v>2</v>
      </c>
      <c r="AO439" s="72">
        <v>2</v>
      </c>
      <c r="AP439" s="72">
        <v>2</v>
      </c>
      <c r="AQ439" s="72">
        <v>2</v>
      </c>
      <c r="AR439" s="72">
        <v>2</v>
      </c>
      <c r="AS439" s="72">
        <v>2</v>
      </c>
      <c r="AT439" s="72">
        <v>2</v>
      </c>
      <c r="AU439" s="72">
        <v>2</v>
      </c>
      <c r="AV439" s="72">
        <v>2</v>
      </c>
      <c r="AW439" s="72">
        <v>2</v>
      </c>
      <c r="AX439" s="72">
        <v>2</v>
      </c>
      <c r="AY439" s="72">
        <v>2</v>
      </c>
      <c r="AZ439" s="72">
        <v>2</v>
      </c>
      <c r="BA439" s="72">
        <v>2</v>
      </c>
      <c r="BB439" s="72">
        <v>0</v>
      </c>
      <c r="BC439" s="72">
        <v>0</v>
      </c>
      <c r="BD439" s="72">
        <v>0</v>
      </c>
      <c r="BE439" s="72">
        <v>0</v>
      </c>
      <c r="BF439" s="72">
        <v>0</v>
      </c>
      <c r="BG439" s="72">
        <v>0</v>
      </c>
      <c r="BH439" s="72">
        <v>0</v>
      </c>
      <c r="BI439" s="72">
        <v>0</v>
      </c>
      <c r="BJ439" s="72">
        <v>0</v>
      </c>
      <c r="BK439" s="72">
        <v>0</v>
      </c>
      <c r="BL439" s="72">
        <v>0</v>
      </c>
      <c r="BM439" s="72">
        <v>0</v>
      </c>
      <c r="BN439" s="72">
        <v>0</v>
      </c>
      <c r="BO439" s="72">
        <v>0</v>
      </c>
      <c r="BP439" s="72">
        <v>0</v>
      </c>
      <c r="BQ439" s="72">
        <v>0</v>
      </c>
      <c r="BR439" s="72">
        <v>0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</row>
    <row r="440" spans="1:121" x14ac:dyDescent="0.35">
      <c r="A440" s="7"/>
      <c r="B440" s="8" t="s">
        <v>722</v>
      </c>
      <c r="C440" s="9" t="s">
        <v>723</v>
      </c>
      <c r="D440" s="10" t="s">
        <v>697</v>
      </c>
      <c r="E440" s="8" t="s">
        <v>1205</v>
      </c>
      <c r="F440" s="10">
        <v>1006</v>
      </c>
      <c r="G440" s="10" t="s">
        <v>40</v>
      </c>
      <c r="H440" s="10" t="s">
        <v>41</v>
      </c>
      <c r="I440" s="11">
        <v>8</v>
      </c>
      <c r="J440" s="10"/>
      <c r="K440" s="10" t="s">
        <v>42</v>
      </c>
      <c r="L440" s="8"/>
      <c r="M440" s="12">
        <v>227</v>
      </c>
      <c r="N440" s="12">
        <f t="shared" si="11"/>
        <v>1135</v>
      </c>
      <c r="O440" s="11">
        <v>8</v>
      </c>
      <c r="P440" s="11">
        <v>8</v>
      </c>
      <c r="Q440" s="11">
        <v>8</v>
      </c>
      <c r="R440" s="11">
        <v>8</v>
      </c>
      <c r="S440" s="11">
        <v>8</v>
      </c>
      <c r="T440" s="11">
        <v>8</v>
      </c>
      <c r="U440" s="11">
        <v>8</v>
      </c>
      <c r="V440" s="11">
        <v>8</v>
      </c>
      <c r="W440" s="11">
        <v>8</v>
      </c>
      <c r="X440" s="11">
        <v>8</v>
      </c>
      <c r="Y440" s="11">
        <v>8</v>
      </c>
      <c r="Z440" s="11">
        <v>8</v>
      </c>
      <c r="AA440" s="11">
        <v>8</v>
      </c>
      <c r="AB440" s="11">
        <v>8</v>
      </c>
      <c r="AC440" s="11">
        <v>8</v>
      </c>
      <c r="AD440" s="11">
        <v>8</v>
      </c>
      <c r="AE440" s="11">
        <v>8</v>
      </c>
      <c r="AF440" s="11">
        <v>8</v>
      </c>
      <c r="AG440" s="11">
        <v>8</v>
      </c>
      <c r="AH440" s="11">
        <v>8</v>
      </c>
      <c r="AI440" s="11">
        <v>8</v>
      </c>
      <c r="AJ440" s="11">
        <v>8</v>
      </c>
      <c r="AK440" s="11">
        <v>8</v>
      </c>
      <c r="AL440" s="11">
        <v>8</v>
      </c>
      <c r="AM440" s="11">
        <v>8</v>
      </c>
      <c r="AN440" s="72">
        <v>8</v>
      </c>
      <c r="AO440" s="72">
        <v>8</v>
      </c>
      <c r="AP440" s="72">
        <v>8</v>
      </c>
      <c r="AQ440" s="72">
        <v>8</v>
      </c>
      <c r="AR440" s="72">
        <v>8</v>
      </c>
      <c r="AS440" s="72">
        <v>8</v>
      </c>
      <c r="AT440" s="72">
        <v>7</v>
      </c>
      <c r="AU440" s="72">
        <v>7</v>
      </c>
      <c r="AV440" s="72">
        <v>7</v>
      </c>
      <c r="AW440" s="72">
        <v>7</v>
      </c>
      <c r="AX440" s="72">
        <v>5</v>
      </c>
      <c r="AY440" s="72">
        <v>5</v>
      </c>
      <c r="AZ440" s="72">
        <v>5</v>
      </c>
      <c r="BA440" s="72">
        <v>5</v>
      </c>
      <c r="BB440" s="72">
        <v>5</v>
      </c>
      <c r="BC440" s="72">
        <v>5</v>
      </c>
      <c r="BD440" s="72">
        <v>5</v>
      </c>
      <c r="BE440" s="72">
        <v>5</v>
      </c>
      <c r="BF440" s="72">
        <v>5</v>
      </c>
      <c r="BG440" s="72">
        <v>5</v>
      </c>
      <c r="BH440" s="72">
        <v>5</v>
      </c>
      <c r="BI440" s="72">
        <v>5</v>
      </c>
      <c r="BJ440" s="72">
        <v>5</v>
      </c>
      <c r="BK440" s="72">
        <v>5</v>
      </c>
      <c r="BL440" s="72">
        <v>5</v>
      </c>
      <c r="BM440" s="72">
        <v>5</v>
      </c>
      <c r="BN440" s="72">
        <v>5</v>
      </c>
      <c r="BO440" s="72">
        <v>5</v>
      </c>
      <c r="BP440" s="72">
        <v>5</v>
      </c>
      <c r="BQ440" s="72">
        <v>5</v>
      </c>
      <c r="BR440" s="72">
        <v>5</v>
      </c>
      <c r="BS440" s="72">
        <v>5</v>
      </c>
      <c r="BT440" s="72">
        <v>5</v>
      </c>
      <c r="BU440" s="72">
        <v>5</v>
      </c>
      <c r="BV440" s="72">
        <v>5</v>
      </c>
      <c r="BW440" s="72">
        <v>5</v>
      </c>
      <c r="BX440" s="72">
        <v>5</v>
      </c>
      <c r="BY440" s="72">
        <v>5</v>
      </c>
      <c r="BZ440" s="72">
        <v>5</v>
      </c>
      <c r="CA440" s="72">
        <v>5</v>
      </c>
      <c r="CB440" s="72">
        <v>5</v>
      </c>
      <c r="CC440" s="72">
        <v>5</v>
      </c>
      <c r="CD440" s="72">
        <v>5</v>
      </c>
      <c r="CE440" s="72">
        <v>5</v>
      </c>
      <c r="CF440" s="72">
        <v>5</v>
      </c>
      <c r="CG440" s="72">
        <v>5</v>
      </c>
      <c r="CH440" s="72">
        <v>5</v>
      </c>
      <c r="CI440" s="72">
        <v>5</v>
      </c>
      <c r="CJ440" s="72">
        <v>5</v>
      </c>
      <c r="CK440" s="72">
        <v>5</v>
      </c>
      <c r="CL440" s="72">
        <v>5</v>
      </c>
      <c r="CM440" s="72">
        <v>5</v>
      </c>
      <c r="CN440" s="72">
        <v>5</v>
      </c>
      <c r="CO440" s="72">
        <v>5</v>
      </c>
      <c r="CP440" s="72">
        <v>5</v>
      </c>
      <c r="CQ440" s="72">
        <v>5</v>
      </c>
      <c r="CR440" s="72">
        <v>5</v>
      </c>
      <c r="CS440" s="72">
        <v>5</v>
      </c>
      <c r="CT440" s="72">
        <v>5</v>
      </c>
      <c r="CU440" s="72">
        <v>5</v>
      </c>
      <c r="CV440" s="72">
        <v>5</v>
      </c>
      <c r="CW440" s="72">
        <v>5</v>
      </c>
      <c r="CX440" s="72">
        <v>5</v>
      </c>
      <c r="CY440" s="72">
        <v>5</v>
      </c>
      <c r="CZ440" s="72">
        <v>5</v>
      </c>
      <c r="DA440" s="72">
        <v>5</v>
      </c>
      <c r="DB440" s="72">
        <v>5</v>
      </c>
      <c r="DC440" s="72">
        <v>5</v>
      </c>
      <c r="DD440" s="72">
        <v>5</v>
      </c>
      <c r="DE440" s="72">
        <v>5</v>
      </c>
      <c r="DF440" s="72">
        <v>5</v>
      </c>
      <c r="DG440" s="72">
        <v>5</v>
      </c>
      <c r="DH440" s="72">
        <v>5</v>
      </c>
      <c r="DI440" s="72">
        <v>5</v>
      </c>
      <c r="DJ440" s="72">
        <v>5</v>
      </c>
      <c r="DK440" s="72">
        <v>5</v>
      </c>
      <c r="DL440" s="72">
        <v>5</v>
      </c>
      <c r="DM440" s="72">
        <v>5</v>
      </c>
      <c r="DN440" s="72">
        <v>5</v>
      </c>
      <c r="DO440" s="72">
        <v>5</v>
      </c>
      <c r="DP440" s="72">
        <v>5</v>
      </c>
      <c r="DQ440" s="72">
        <v>5</v>
      </c>
    </row>
    <row r="441" spans="1:121" x14ac:dyDescent="0.35">
      <c r="A441" s="7"/>
      <c r="B441" s="8" t="s">
        <v>724</v>
      </c>
      <c r="C441" s="9" t="s">
        <v>725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3</v>
      </c>
      <c r="J441" s="10"/>
      <c r="K441" s="10"/>
      <c r="L441" s="8"/>
      <c r="M441" s="12">
        <v>400</v>
      </c>
      <c r="N441" s="12">
        <f t="shared" si="11"/>
        <v>1200</v>
      </c>
      <c r="O441" s="11">
        <v>3</v>
      </c>
      <c r="P441" s="11">
        <v>3</v>
      </c>
      <c r="Q441" s="11">
        <v>3</v>
      </c>
      <c r="R441" s="11">
        <v>3</v>
      </c>
      <c r="S441" s="11">
        <v>3</v>
      </c>
      <c r="T441" s="11">
        <v>3</v>
      </c>
      <c r="U441" s="11">
        <v>3</v>
      </c>
      <c r="V441" s="11">
        <v>3</v>
      </c>
      <c r="W441" s="11">
        <v>3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3</v>
      </c>
      <c r="AF441" s="11">
        <v>3</v>
      </c>
      <c r="AG441" s="11">
        <v>3</v>
      </c>
      <c r="AH441" s="11">
        <v>3</v>
      </c>
      <c r="AI441" s="11">
        <v>3</v>
      </c>
      <c r="AJ441" s="11">
        <v>3</v>
      </c>
      <c r="AK441" s="11">
        <v>3</v>
      </c>
      <c r="AL441" s="11">
        <v>3</v>
      </c>
      <c r="AM441" s="11">
        <v>3</v>
      </c>
      <c r="AN441" s="72">
        <v>3</v>
      </c>
      <c r="AO441" s="72">
        <v>3</v>
      </c>
      <c r="AP441" s="72">
        <v>3</v>
      </c>
      <c r="AQ441" s="72">
        <v>3</v>
      </c>
      <c r="AR441" s="72">
        <v>3</v>
      </c>
      <c r="AS441" s="72">
        <v>3</v>
      </c>
      <c r="AT441" s="72">
        <v>3</v>
      </c>
      <c r="AU441" s="72">
        <v>3</v>
      </c>
      <c r="AV441" s="72">
        <v>3</v>
      </c>
      <c r="AW441" s="72">
        <v>3</v>
      </c>
      <c r="AX441" s="72">
        <v>3</v>
      </c>
      <c r="AY441" s="72">
        <v>3</v>
      </c>
      <c r="AZ441" s="72">
        <v>3</v>
      </c>
      <c r="BA441" s="72">
        <v>3</v>
      </c>
      <c r="BB441" s="72">
        <v>3</v>
      </c>
      <c r="BC441" s="72">
        <v>3</v>
      </c>
      <c r="BD441" s="72">
        <v>3</v>
      </c>
      <c r="BE441" s="72">
        <v>3</v>
      </c>
      <c r="BF441" s="72">
        <v>3</v>
      </c>
      <c r="BG441" s="72">
        <v>3</v>
      </c>
      <c r="BH441" s="72">
        <v>3</v>
      </c>
      <c r="BI441" s="72">
        <v>3</v>
      </c>
      <c r="BJ441" s="72">
        <v>3</v>
      </c>
      <c r="BK441" s="72">
        <v>3</v>
      </c>
      <c r="BL441" s="72">
        <v>3</v>
      </c>
      <c r="BM441" s="72">
        <v>3</v>
      </c>
      <c r="BN441" s="72">
        <v>3</v>
      </c>
      <c r="BO441" s="72">
        <v>3</v>
      </c>
      <c r="BP441" s="72">
        <v>3</v>
      </c>
      <c r="BQ441" s="72">
        <v>3</v>
      </c>
      <c r="BR441" s="72">
        <v>3</v>
      </c>
      <c r="BS441" s="72">
        <v>3</v>
      </c>
      <c r="BT441" s="72">
        <v>3</v>
      </c>
      <c r="BU441" s="72">
        <v>3</v>
      </c>
      <c r="BV441" s="72">
        <v>3</v>
      </c>
      <c r="BW441" s="72">
        <v>3</v>
      </c>
      <c r="BX441" s="72">
        <v>3</v>
      </c>
      <c r="BY441" s="72">
        <v>3</v>
      </c>
      <c r="BZ441" s="72">
        <v>3</v>
      </c>
      <c r="CA441" s="72">
        <v>3</v>
      </c>
      <c r="CB441" s="72">
        <v>3</v>
      </c>
      <c r="CC441" s="72">
        <v>3</v>
      </c>
      <c r="CD441" s="72">
        <v>3</v>
      </c>
      <c r="CE441" s="72">
        <v>3</v>
      </c>
      <c r="CF441" s="72">
        <v>3</v>
      </c>
      <c r="CG441" s="72">
        <v>3</v>
      </c>
      <c r="CH441" s="72">
        <v>3</v>
      </c>
      <c r="CI441" s="72">
        <v>3</v>
      </c>
      <c r="CJ441" s="72">
        <v>3</v>
      </c>
      <c r="CK441" s="72">
        <v>3</v>
      </c>
      <c r="CL441" s="72">
        <v>3</v>
      </c>
      <c r="CM441" s="72">
        <v>3</v>
      </c>
      <c r="CN441" s="72">
        <v>3</v>
      </c>
      <c r="CO441" s="72">
        <v>3</v>
      </c>
      <c r="CP441" s="72">
        <v>3</v>
      </c>
      <c r="CQ441" s="72">
        <v>3</v>
      </c>
      <c r="CR441" s="72">
        <v>3</v>
      </c>
      <c r="CS441" s="72">
        <v>3</v>
      </c>
      <c r="CT441" s="72">
        <v>3</v>
      </c>
      <c r="CU441" s="72">
        <v>3</v>
      </c>
      <c r="CV441" s="72">
        <v>3</v>
      </c>
      <c r="CW441" s="72">
        <v>3</v>
      </c>
      <c r="CX441" s="72">
        <v>3</v>
      </c>
      <c r="CY441" s="72">
        <v>3</v>
      </c>
      <c r="CZ441" s="72">
        <v>3</v>
      </c>
      <c r="DA441" s="72">
        <v>3</v>
      </c>
      <c r="DB441" s="72">
        <v>3</v>
      </c>
      <c r="DC441" s="72">
        <v>3</v>
      </c>
      <c r="DD441" s="72">
        <v>3</v>
      </c>
      <c r="DE441" s="72">
        <v>3</v>
      </c>
      <c r="DF441" s="72">
        <v>3</v>
      </c>
      <c r="DG441" s="72">
        <v>3</v>
      </c>
      <c r="DH441" s="72">
        <v>3</v>
      </c>
      <c r="DI441" s="72">
        <v>3</v>
      </c>
      <c r="DJ441" s="72">
        <v>3</v>
      </c>
      <c r="DK441" s="72">
        <v>3</v>
      </c>
      <c r="DL441" s="72">
        <v>3</v>
      </c>
      <c r="DM441" s="72">
        <v>3</v>
      </c>
      <c r="DN441" s="72">
        <v>3</v>
      </c>
      <c r="DO441" s="72">
        <v>3</v>
      </c>
      <c r="DP441" s="72">
        <v>3</v>
      </c>
      <c r="DQ441" s="72">
        <v>3</v>
      </c>
    </row>
    <row r="442" spans="1:121" x14ac:dyDescent="0.35">
      <c r="A442" s="7"/>
      <c r="B442" s="8" t="s">
        <v>726</v>
      </c>
      <c r="C442" s="35" t="s">
        <v>727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4</v>
      </c>
      <c r="J442" s="10"/>
      <c r="K442" s="10"/>
      <c r="L442" s="8"/>
      <c r="M442" s="12">
        <v>883</v>
      </c>
      <c r="N442" s="12">
        <f t="shared" si="11"/>
        <v>3532</v>
      </c>
      <c r="O442" s="11">
        <v>5</v>
      </c>
      <c r="P442" s="11">
        <v>4</v>
      </c>
      <c r="Q442" s="11">
        <v>4</v>
      </c>
      <c r="R442" s="11">
        <v>4</v>
      </c>
      <c r="S442" s="11">
        <v>4</v>
      </c>
      <c r="T442" s="11">
        <v>4</v>
      </c>
      <c r="U442" s="11">
        <v>4</v>
      </c>
      <c r="V442" s="11">
        <v>4</v>
      </c>
      <c r="W442" s="11">
        <v>4</v>
      </c>
      <c r="X442" s="11">
        <v>4</v>
      </c>
      <c r="Y442" s="11">
        <v>4</v>
      </c>
      <c r="Z442" s="11">
        <v>4</v>
      </c>
      <c r="AA442" s="11">
        <v>4</v>
      </c>
      <c r="AB442" s="11">
        <v>4</v>
      </c>
      <c r="AC442" s="11">
        <v>4</v>
      </c>
      <c r="AD442" s="11">
        <v>4</v>
      </c>
      <c r="AE442" s="11">
        <v>4</v>
      </c>
      <c r="AF442" s="11">
        <v>4</v>
      </c>
      <c r="AG442" s="11">
        <v>4</v>
      </c>
      <c r="AH442" s="11">
        <v>4</v>
      </c>
      <c r="AI442" s="11">
        <v>4</v>
      </c>
      <c r="AJ442" s="11">
        <v>4</v>
      </c>
      <c r="AK442" s="11">
        <v>4</v>
      </c>
      <c r="AL442" s="11">
        <v>4</v>
      </c>
      <c r="AM442" s="11">
        <v>4</v>
      </c>
      <c r="AN442" s="72">
        <v>4</v>
      </c>
      <c r="AO442" s="72">
        <v>4</v>
      </c>
      <c r="AP442" s="72">
        <v>4</v>
      </c>
      <c r="AQ442" s="72">
        <v>4</v>
      </c>
      <c r="AR442" s="72">
        <v>4</v>
      </c>
      <c r="AS442" s="72">
        <v>4</v>
      </c>
      <c r="AT442" s="72">
        <v>4</v>
      </c>
      <c r="AU442" s="72">
        <v>4</v>
      </c>
      <c r="AV442" s="72">
        <v>4</v>
      </c>
      <c r="AW442" s="72">
        <v>4</v>
      </c>
      <c r="AX442" s="72">
        <v>4</v>
      </c>
      <c r="AY442" s="72">
        <v>4</v>
      </c>
      <c r="AZ442" s="72">
        <v>4</v>
      </c>
      <c r="BA442" s="72">
        <v>4</v>
      </c>
      <c r="BB442" s="72">
        <v>4</v>
      </c>
      <c r="BC442" s="72">
        <v>4</v>
      </c>
      <c r="BD442" s="72">
        <v>4</v>
      </c>
      <c r="BE442" s="72">
        <v>4</v>
      </c>
      <c r="BF442" s="72">
        <v>4</v>
      </c>
      <c r="BG442" s="72">
        <v>4</v>
      </c>
      <c r="BH442" s="72">
        <v>4</v>
      </c>
      <c r="BI442" s="72">
        <v>4</v>
      </c>
      <c r="BJ442" s="72">
        <v>4</v>
      </c>
      <c r="BK442" s="72">
        <v>4</v>
      </c>
      <c r="BL442" s="72">
        <v>4</v>
      </c>
      <c r="BM442" s="72">
        <v>4</v>
      </c>
      <c r="BN442" s="72">
        <v>4</v>
      </c>
      <c r="BO442" s="72">
        <v>4</v>
      </c>
      <c r="BP442" s="72">
        <v>4</v>
      </c>
      <c r="BQ442" s="72">
        <v>4</v>
      </c>
      <c r="BR442" s="72">
        <v>4</v>
      </c>
      <c r="BS442" s="72">
        <v>4</v>
      </c>
      <c r="BT442" s="72">
        <v>4</v>
      </c>
      <c r="BU442" s="72">
        <v>4</v>
      </c>
      <c r="BV442" s="72">
        <v>4</v>
      </c>
      <c r="BW442" s="72">
        <v>4</v>
      </c>
      <c r="BX442" s="72">
        <v>4</v>
      </c>
      <c r="BY442" s="72">
        <v>4</v>
      </c>
      <c r="BZ442" s="72">
        <v>4</v>
      </c>
      <c r="CA442" s="72">
        <v>4</v>
      </c>
      <c r="CB442" s="72">
        <v>4</v>
      </c>
      <c r="CC442" s="72">
        <v>4</v>
      </c>
      <c r="CD442" s="72">
        <v>4</v>
      </c>
      <c r="CE442" s="72">
        <v>4</v>
      </c>
      <c r="CF442" s="72">
        <v>4</v>
      </c>
      <c r="CG442" s="72">
        <v>4</v>
      </c>
      <c r="CH442" s="72">
        <v>4</v>
      </c>
      <c r="CI442" s="72">
        <v>4</v>
      </c>
      <c r="CJ442" s="72">
        <v>4</v>
      </c>
      <c r="CK442" s="72">
        <v>4</v>
      </c>
      <c r="CL442" s="72">
        <v>4</v>
      </c>
      <c r="CM442" s="72">
        <v>4</v>
      </c>
      <c r="CN442" s="72">
        <v>4</v>
      </c>
      <c r="CO442" s="72">
        <v>4</v>
      </c>
      <c r="CP442" s="72">
        <v>4</v>
      </c>
      <c r="CQ442" s="72">
        <v>4</v>
      </c>
      <c r="CR442" s="72">
        <v>4</v>
      </c>
      <c r="CS442" s="72">
        <v>4</v>
      </c>
      <c r="CT442" s="72">
        <v>4</v>
      </c>
      <c r="CU442" s="72">
        <v>4</v>
      </c>
      <c r="CV442" s="72">
        <v>4</v>
      </c>
      <c r="CW442" s="72">
        <v>4</v>
      </c>
      <c r="CX442" s="72">
        <v>4</v>
      </c>
      <c r="CY442" s="72">
        <v>4</v>
      </c>
      <c r="CZ442" s="72">
        <v>4</v>
      </c>
      <c r="DA442" s="72">
        <v>4</v>
      </c>
      <c r="DB442" s="72">
        <v>4</v>
      </c>
      <c r="DC442" s="72">
        <v>4</v>
      </c>
      <c r="DD442" s="72">
        <v>4</v>
      </c>
      <c r="DE442" s="72">
        <v>4</v>
      </c>
      <c r="DF442" s="72">
        <v>4</v>
      </c>
      <c r="DG442" s="72">
        <v>4</v>
      </c>
      <c r="DH442" s="72">
        <v>4</v>
      </c>
      <c r="DI442" s="72">
        <v>4</v>
      </c>
      <c r="DJ442" s="72">
        <v>4</v>
      </c>
      <c r="DK442" s="72">
        <v>4</v>
      </c>
      <c r="DL442" s="72">
        <v>4</v>
      </c>
      <c r="DM442" s="72">
        <v>4</v>
      </c>
      <c r="DN442" s="72">
        <v>4</v>
      </c>
      <c r="DO442" s="72">
        <v>4</v>
      </c>
      <c r="DP442" s="72">
        <v>4</v>
      </c>
      <c r="DQ442" s="72">
        <v>4</v>
      </c>
    </row>
    <row r="443" spans="1:121" x14ac:dyDescent="0.35">
      <c r="A443" s="7"/>
      <c r="B443" s="14" t="s">
        <v>728</v>
      </c>
      <c r="C443" s="9" t="s">
        <v>729</v>
      </c>
      <c r="D443" s="10" t="s">
        <v>697</v>
      </c>
      <c r="E443" s="8" t="s">
        <v>1203</v>
      </c>
      <c r="F443" s="10">
        <v>1002</v>
      </c>
      <c r="G443" s="10" t="s">
        <v>40</v>
      </c>
      <c r="H443" s="10" t="s">
        <v>41</v>
      </c>
      <c r="I443" s="11">
        <v>11</v>
      </c>
      <c r="J443" s="10"/>
      <c r="K443" s="10" t="s">
        <v>42</v>
      </c>
      <c r="L443" s="8"/>
      <c r="M443" s="12">
        <v>805</v>
      </c>
      <c r="N443" s="12">
        <f t="shared" si="11"/>
        <v>7245</v>
      </c>
      <c r="O443" s="11">
        <v>11</v>
      </c>
      <c r="P443" s="11">
        <v>11</v>
      </c>
      <c r="Q443" s="11">
        <v>11</v>
      </c>
      <c r="R443" s="11">
        <v>11</v>
      </c>
      <c r="S443" s="11">
        <v>11</v>
      </c>
      <c r="T443" s="11">
        <v>11</v>
      </c>
      <c r="U443" s="11">
        <v>11</v>
      </c>
      <c r="V443" s="11">
        <v>11</v>
      </c>
      <c r="W443" s="11">
        <v>11</v>
      </c>
      <c r="X443" s="11">
        <v>11</v>
      </c>
      <c r="Y443" s="11">
        <v>11</v>
      </c>
      <c r="Z443" s="11">
        <v>11</v>
      </c>
      <c r="AA443" s="11">
        <v>11</v>
      </c>
      <c r="AB443" s="11">
        <v>11</v>
      </c>
      <c r="AC443" s="11">
        <v>11</v>
      </c>
      <c r="AD443" s="11">
        <v>11</v>
      </c>
      <c r="AE443" s="11">
        <v>11</v>
      </c>
      <c r="AF443" s="11">
        <v>11</v>
      </c>
      <c r="AG443" s="11">
        <v>11</v>
      </c>
      <c r="AH443" s="11">
        <v>11</v>
      </c>
      <c r="AI443" s="11">
        <v>11</v>
      </c>
      <c r="AJ443" s="11">
        <v>11</v>
      </c>
      <c r="AK443" s="11">
        <v>11</v>
      </c>
      <c r="AL443" s="11">
        <v>11</v>
      </c>
      <c r="AM443" s="11">
        <v>11</v>
      </c>
      <c r="AN443" s="72">
        <v>11</v>
      </c>
      <c r="AO443" s="72">
        <v>11</v>
      </c>
      <c r="AP443" s="72">
        <v>11</v>
      </c>
      <c r="AQ443" s="72">
        <v>11</v>
      </c>
      <c r="AR443" s="72">
        <v>11</v>
      </c>
      <c r="AS443" s="72">
        <v>11</v>
      </c>
      <c r="AT443" s="72">
        <v>11</v>
      </c>
      <c r="AU443" s="72">
        <v>11</v>
      </c>
      <c r="AV443" s="72">
        <v>11</v>
      </c>
      <c r="AW443" s="72">
        <v>11</v>
      </c>
      <c r="AX443" s="72">
        <v>10</v>
      </c>
      <c r="AY443" s="72">
        <v>10</v>
      </c>
      <c r="AZ443" s="72">
        <v>10</v>
      </c>
      <c r="BA443" s="72">
        <v>10</v>
      </c>
      <c r="BB443" s="72">
        <v>10</v>
      </c>
      <c r="BC443" s="72">
        <v>10</v>
      </c>
      <c r="BD443" s="72">
        <v>10</v>
      </c>
      <c r="BE443" s="72">
        <v>10</v>
      </c>
      <c r="BF443" s="72">
        <v>10</v>
      </c>
      <c r="BG443" s="72">
        <v>10</v>
      </c>
      <c r="BH443" s="72">
        <v>9</v>
      </c>
      <c r="BI443" s="72">
        <v>9</v>
      </c>
      <c r="BJ443" s="72">
        <v>9</v>
      </c>
      <c r="BK443" s="72">
        <v>9</v>
      </c>
      <c r="BL443" s="72">
        <v>9</v>
      </c>
      <c r="BM443" s="72">
        <v>9</v>
      </c>
      <c r="BN443" s="72">
        <v>9</v>
      </c>
      <c r="BO443" s="72">
        <v>9</v>
      </c>
      <c r="BP443" s="72">
        <v>9</v>
      </c>
      <c r="BQ443" s="72">
        <v>9</v>
      </c>
      <c r="BR443" s="72">
        <v>9</v>
      </c>
      <c r="BS443" s="72">
        <v>9</v>
      </c>
      <c r="BT443" s="72">
        <v>9</v>
      </c>
      <c r="BU443" s="72">
        <v>9</v>
      </c>
      <c r="BV443" s="72">
        <v>9</v>
      </c>
      <c r="BW443" s="72">
        <v>9</v>
      </c>
      <c r="BX443" s="72">
        <v>9</v>
      </c>
      <c r="BY443" s="72">
        <v>9</v>
      </c>
      <c r="BZ443" s="72">
        <v>9</v>
      </c>
      <c r="CA443" s="72">
        <v>9</v>
      </c>
      <c r="CB443" s="72">
        <v>9</v>
      </c>
      <c r="CC443" s="72">
        <v>9</v>
      </c>
      <c r="CD443" s="72">
        <v>9</v>
      </c>
      <c r="CE443" s="72">
        <v>9</v>
      </c>
      <c r="CF443" s="72">
        <v>9</v>
      </c>
      <c r="CG443" s="72">
        <v>9</v>
      </c>
      <c r="CH443" s="72">
        <v>9</v>
      </c>
      <c r="CI443" s="72">
        <v>9</v>
      </c>
      <c r="CJ443" s="72">
        <v>9</v>
      </c>
      <c r="CK443" s="72">
        <v>9</v>
      </c>
      <c r="CL443" s="72">
        <v>9</v>
      </c>
      <c r="CM443" s="72">
        <v>9</v>
      </c>
      <c r="CN443" s="72">
        <v>9</v>
      </c>
      <c r="CO443" s="72">
        <v>9</v>
      </c>
      <c r="CP443" s="72">
        <v>9</v>
      </c>
      <c r="CQ443" s="72">
        <v>9</v>
      </c>
      <c r="CR443" s="72">
        <v>9</v>
      </c>
      <c r="CS443" s="72">
        <v>9</v>
      </c>
      <c r="CT443" s="72">
        <v>9</v>
      </c>
      <c r="CU443" s="72">
        <v>9</v>
      </c>
      <c r="CV443" s="72">
        <v>9</v>
      </c>
      <c r="CW443" s="72">
        <v>9</v>
      </c>
      <c r="CX443" s="72">
        <v>9</v>
      </c>
      <c r="CY443" s="72">
        <v>9</v>
      </c>
      <c r="CZ443" s="72">
        <v>9</v>
      </c>
      <c r="DA443" s="72">
        <v>9</v>
      </c>
      <c r="DB443" s="72">
        <v>9</v>
      </c>
      <c r="DC443" s="72">
        <v>9</v>
      </c>
      <c r="DD443" s="72">
        <v>9</v>
      </c>
      <c r="DE443" s="72">
        <v>9</v>
      </c>
      <c r="DF443" s="72">
        <v>9</v>
      </c>
      <c r="DG443" s="72">
        <v>9</v>
      </c>
      <c r="DH443" s="72">
        <v>9</v>
      </c>
      <c r="DI443" s="72">
        <v>9</v>
      </c>
      <c r="DJ443" s="72">
        <v>9</v>
      </c>
      <c r="DK443" s="72">
        <v>9</v>
      </c>
      <c r="DL443" s="72">
        <v>9</v>
      </c>
      <c r="DM443" s="72">
        <v>9</v>
      </c>
      <c r="DN443" s="72">
        <v>9</v>
      </c>
      <c r="DO443" s="72">
        <v>9</v>
      </c>
      <c r="DP443" s="72">
        <v>9</v>
      </c>
      <c r="DQ443" s="72">
        <v>9</v>
      </c>
    </row>
    <row r="444" spans="1:121" x14ac:dyDescent="0.35">
      <c r="A444" s="7"/>
      <c r="B444" s="8" t="s">
        <v>730</v>
      </c>
      <c r="C444" s="9" t="s">
        <v>731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12</v>
      </c>
      <c r="J444" s="10"/>
      <c r="K444" s="10" t="s">
        <v>42</v>
      </c>
      <c r="L444" s="8"/>
      <c r="M444" s="12">
        <v>1108</v>
      </c>
      <c r="N444" s="12">
        <f t="shared" si="11"/>
        <v>12188</v>
      </c>
      <c r="O444" s="11">
        <v>12</v>
      </c>
      <c r="P444" s="11">
        <v>12</v>
      </c>
      <c r="Q444" s="11">
        <v>12</v>
      </c>
      <c r="R444" s="11">
        <v>12</v>
      </c>
      <c r="S444" s="11">
        <v>12</v>
      </c>
      <c r="T444" s="11">
        <v>12</v>
      </c>
      <c r="U444" s="11">
        <v>12</v>
      </c>
      <c r="V444" s="11">
        <v>12</v>
      </c>
      <c r="W444" s="11">
        <v>12</v>
      </c>
      <c r="X444" s="11">
        <v>12</v>
      </c>
      <c r="Y444" s="11">
        <v>12</v>
      </c>
      <c r="Z444" s="11">
        <v>12</v>
      </c>
      <c r="AA444" s="11">
        <v>12</v>
      </c>
      <c r="AB444" s="11">
        <v>12</v>
      </c>
      <c r="AC444" s="11">
        <v>12</v>
      </c>
      <c r="AD444" s="11">
        <v>12</v>
      </c>
      <c r="AE444" s="11">
        <v>12</v>
      </c>
      <c r="AF444" s="11">
        <v>12</v>
      </c>
      <c r="AG444" s="11">
        <v>12</v>
      </c>
      <c r="AH444" s="11">
        <v>12</v>
      </c>
      <c r="AI444" s="11">
        <v>12</v>
      </c>
      <c r="AJ444" s="11">
        <v>12</v>
      </c>
      <c r="AK444" s="11">
        <v>12</v>
      </c>
      <c r="AL444" s="11">
        <v>12</v>
      </c>
      <c r="AM444" s="11">
        <v>12</v>
      </c>
      <c r="AN444" s="72">
        <v>12</v>
      </c>
      <c r="AO444" s="72">
        <v>12</v>
      </c>
      <c r="AP444" s="72">
        <v>12</v>
      </c>
      <c r="AQ444" s="72">
        <v>12</v>
      </c>
      <c r="AR444" s="72">
        <v>12</v>
      </c>
      <c r="AS444" s="72">
        <v>12</v>
      </c>
      <c r="AT444" s="72">
        <v>11</v>
      </c>
      <c r="AU444" s="72">
        <v>11</v>
      </c>
      <c r="AV444" s="72">
        <v>11</v>
      </c>
      <c r="AW444" s="72">
        <v>11</v>
      </c>
      <c r="AX444" s="72">
        <v>11</v>
      </c>
      <c r="AY444" s="72">
        <v>11</v>
      </c>
      <c r="AZ444" s="72">
        <v>11</v>
      </c>
      <c r="BA444" s="72">
        <v>11</v>
      </c>
      <c r="BB444" s="72">
        <v>11</v>
      </c>
      <c r="BC444" s="72">
        <v>11</v>
      </c>
      <c r="BD444" s="72">
        <v>11</v>
      </c>
      <c r="BE444" s="72">
        <v>11</v>
      </c>
      <c r="BF444" s="72">
        <v>11</v>
      </c>
      <c r="BG444" s="72">
        <v>11</v>
      </c>
      <c r="BH444" s="72">
        <v>11</v>
      </c>
      <c r="BI444" s="72">
        <v>11</v>
      </c>
      <c r="BJ444" s="72">
        <v>11</v>
      </c>
      <c r="BK444" s="72">
        <v>11</v>
      </c>
      <c r="BL444" s="72">
        <v>11</v>
      </c>
      <c r="BM444" s="72">
        <v>11</v>
      </c>
      <c r="BN444" s="72">
        <v>11</v>
      </c>
      <c r="BO444" s="72">
        <v>11</v>
      </c>
      <c r="BP444" s="72">
        <v>11</v>
      </c>
      <c r="BQ444" s="72">
        <v>11</v>
      </c>
      <c r="BR444" s="72">
        <v>11</v>
      </c>
      <c r="BS444" s="72">
        <v>11</v>
      </c>
      <c r="BT444" s="72">
        <v>11</v>
      </c>
      <c r="BU444" s="72">
        <v>11</v>
      </c>
      <c r="BV444" s="72">
        <v>11</v>
      </c>
      <c r="BW444" s="72">
        <v>11</v>
      </c>
      <c r="BX444" s="72">
        <v>11</v>
      </c>
      <c r="BY444" s="72">
        <v>11</v>
      </c>
      <c r="BZ444" s="72">
        <v>11</v>
      </c>
      <c r="CA444" s="72">
        <v>11</v>
      </c>
      <c r="CB444" s="72">
        <v>11</v>
      </c>
      <c r="CC444" s="72">
        <v>11</v>
      </c>
      <c r="CD444" s="72">
        <v>11</v>
      </c>
      <c r="CE444" s="72">
        <v>11</v>
      </c>
      <c r="CF444" s="72">
        <v>11</v>
      </c>
      <c r="CG444" s="72">
        <v>11</v>
      </c>
      <c r="CH444" s="72">
        <v>11</v>
      </c>
      <c r="CI444" s="72">
        <v>11</v>
      </c>
      <c r="CJ444" s="72">
        <v>11</v>
      </c>
      <c r="CK444" s="72">
        <v>11</v>
      </c>
      <c r="CL444" s="72">
        <v>11</v>
      </c>
      <c r="CM444" s="72">
        <v>11</v>
      </c>
      <c r="CN444" s="72">
        <v>11</v>
      </c>
      <c r="CO444" s="72">
        <v>11</v>
      </c>
      <c r="CP444" s="72">
        <v>11</v>
      </c>
      <c r="CQ444" s="72">
        <v>11</v>
      </c>
      <c r="CR444" s="72">
        <v>11</v>
      </c>
      <c r="CS444" s="72">
        <v>11</v>
      </c>
      <c r="CT444" s="72">
        <v>11</v>
      </c>
      <c r="CU444" s="72">
        <v>11</v>
      </c>
      <c r="CV444" s="72">
        <v>11</v>
      </c>
      <c r="CW444" s="72">
        <v>11</v>
      </c>
      <c r="CX444" s="72">
        <v>11</v>
      </c>
      <c r="CY444" s="72">
        <v>11</v>
      </c>
      <c r="CZ444" s="72">
        <v>11</v>
      </c>
      <c r="DA444" s="72">
        <v>11</v>
      </c>
      <c r="DB444" s="72">
        <v>11</v>
      </c>
      <c r="DC444" s="72">
        <v>11</v>
      </c>
      <c r="DD444" s="72">
        <v>11</v>
      </c>
      <c r="DE444" s="72">
        <v>11</v>
      </c>
      <c r="DF444" s="72">
        <v>11</v>
      </c>
      <c r="DG444" s="72">
        <v>11</v>
      </c>
      <c r="DH444" s="72">
        <v>11</v>
      </c>
      <c r="DI444" s="72">
        <v>11</v>
      </c>
      <c r="DJ444" s="72">
        <v>11</v>
      </c>
      <c r="DK444" s="72">
        <v>11</v>
      </c>
      <c r="DL444" s="72">
        <v>11</v>
      </c>
      <c r="DM444" s="72">
        <v>11</v>
      </c>
      <c r="DN444" s="72">
        <v>11</v>
      </c>
      <c r="DO444" s="72">
        <v>11</v>
      </c>
      <c r="DP444" s="72">
        <v>11</v>
      </c>
      <c r="DQ444" s="72">
        <v>11</v>
      </c>
    </row>
    <row r="445" spans="1:121" x14ac:dyDescent="0.35">
      <c r="A445" s="7"/>
      <c r="B445" s="8" t="s">
        <v>732</v>
      </c>
      <c r="C445" s="9" t="s">
        <v>733</v>
      </c>
      <c r="D445" s="10" t="s">
        <v>697</v>
      </c>
      <c r="E445" s="8" t="s">
        <v>1060</v>
      </c>
      <c r="F445" s="10">
        <v>1002</v>
      </c>
      <c r="G445" s="10" t="s">
        <v>40</v>
      </c>
      <c r="H445" s="10" t="s">
        <v>41</v>
      </c>
      <c r="I445" s="11">
        <v>0</v>
      </c>
      <c r="J445" s="10"/>
      <c r="K445" s="10"/>
      <c r="L445" s="8"/>
      <c r="M445" s="12">
        <v>930</v>
      </c>
      <c r="N445" s="12">
        <f t="shared" si="11"/>
        <v>930</v>
      </c>
      <c r="O445" s="11">
        <v>1</v>
      </c>
      <c r="P445" s="11">
        <v>1</v>
      </c>
      <c r="Q445" s="11">
        <v>1</v>
      </c>
      <c r="R445" s="11">
        <v>1</v>
      </c>
      <c r="S445" s="11">
        <v>1</v>
      </c>
      <c r="T445" s="11">
        <v>1</v>
      </c>
      <c r="U445" s="11">
        <v>1</v>
      </c>
      <c r="V445" s="11">
        <v>1</v>
      </c>
      <c r="W445" s="11">
        <v>1</v>
      </c>
      <c r="X445" s="11">
        <v>1</v>
      </c>
      <c r="Y445" s="11">
        <v>1</v>
      </c>
      <c r="Z445" s="11">
        <v>1</v>
      </c>
      <c r="AA445" s="11">
        <v>1</v>
      </c>
      <c r="AB445" s="11">
        <v>1</v>
      </c>
      <c r="AC445" s="11">
        <v>1</v>
      </c>
      <c r="AD445" s="11">
        <v>1</v>
      </c>
      <c r="AE445" s="11">
        <v>1</v>
      </c>
      <c r="AF445" s="11">
        <v>1</v>
      </c>
      <c r="AG445" s="11">
        <v>1</v>
      </c>
      <c r="AH445" s="11">
        <v>1</v>
      </c>
      <c r="AI445" s="11">
        <v>1</v>
      </c>
      <c r="AJ445" s="11">
        <v>1</v>
      </c>
      <c r="AK445" s="11">
        <v>1</v>
      </c>
      <c r="AL445" s="11">
        <v>1</v>
      </c>
      <c r="AM445" s="11">
        <v>1</v>
      </c>
      <c r="AN445" s="72">
        <v>1</v>
      </c>
      <c r="AO445" s="72">
        <v>1</v>
      </c>
      <c r="AP445" s="72">
        <v>1</v>
      </c>
      <c r="AQ445" s="72">
        <v>1</v>
      </c>
      <c r="AR445" s="72">
        <v>1</v>
      </c>
      <c r="AS445" s="72">
        <v>1</v>
      </c>
      <c r="AT445" s="72">
        <v>1</v>
      </c>
      <c r="AU445" s="72">
        <v>1</v>
      </c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1</v>
      </c>
      <c r="BC445" s="72">
        <v>1</v>
      </c>
      <c r="BD445" s="72">
        <v>1</v>
      </c>
      <c r="BE445" s="72">
        <v>1</v>
      </c>
      <c r="BF445" s="72">
        <v>1</v>
      </c>
      <c r="BG445" s="72">
        <v>1</v>
      </c>
      <c r="BH445" s="72">
        <v>1</v>
      </c>
      <c r="BI445" s="72">
        <v>1</v>
      </c>
      <c r="BJ445" s="72">
        <v>1</v>
      </c>
      <c r="BK445" s="72">
        <v>1</v>
      </c>
      <c r="BL445" s="72">
        <v>1</v>
      </c>
      <c r="BM445" s="72">
        <v>1</v>
      </c>
      <c r="BN445" s="72">
        <v>1</v>
      </c>
      <c r="BO445" s="72">
        <v>1</v>
      </c>
      <c r="BP445" s="72">
        <v>1</v>
      </c>
      <c r="BQ445" s="72">
        <v>1</v>
      </c>
      <c r="BR445" s="72">
        <v>1</v>
      </c>
      <c r="BS445" s="72">
        <v>1</v>
      </c>
      <c r="BT445" s="72">
        <v>1</v>
      </c>
      <c r="BU445" s="72">
        <v>1</v>
      </c>
      <c r="BV445" s="72">
        <v>1</v>
      </c>
      <c r="BW445" s="72">
        <v>1</v>
      </c>
      <c r="BX445" s="72">
        <v>1</v>
      </c>
      <c r="BY445" s="72">
        <v>1</v>
      </c>
      <c r="BZ445" s="72">
        <v>1</v>
      </c>
      <c r="CA445" s="72">
        <v>1</v>
      </c>
      <c r="CB445" s="72">
        <v>1</v>
      </c>
      <c r="CC445" s="72">
        <v>1</v>
      </c>
      <c r="CD445" s="72">
        <v>1</v>
      </c>
      <c r="CE445" s="72">
        <v>1</v>
      </c>
      <c r="CF445" s="72">
        <v>1</v>
      </c>
      <c r="CG445" s="72">
        <v>1</v>
      </c>
      <c r="CH445" s="72">
        <v>1</v>
      </c>
      <c r="CI445" s="72">
        <v>1</v>
      </c>
      <c r="CJ445" s="72">
        <v>1</v>
      </c>
      <c r="CK445" s="72">
        <v>1</v>
      </c>
      <c r="CL445" s="72">
        <v>1</v>
      </c>
      <c r="CM445" s="72">
        <v>1</v>
      </c>
      <c r="CN445" s="72">
        <v>1</v>
      </c>
      <c r="CO445" s="72">
        <v>1</v>
      </c>
      <c r="CP445" s="72">
        <v>1</v>
      </c>
      <c r="CQ445" s="72">
        <v>1</v>
      </c>
      <c r="CR445" s="72">
        <v>1</v>
      </c>
      <c r="CS445" s="72">
        <v>1</v>
      </c>
      <c r="CT445" s="72">
        <v>1</v>
      </c>
      <c r="CU445" s="72">
        <v>1</v>
      </c>
      <c r="CV445" s="72">
        <v>1</v>
      </c>
      <c r="CW445" s="72">
        <v>1</v>
      </c>
      <c r="CX445" s="72">
        <v>1</v>
      </c>
      <c r="CY445" s="72">
        <v>1</v>
      </c>
      <c r="CZ445" s="72">
        <v>1</v>
      </c>
      <c r="DA445" s="72">
        <v>1</v>
      </c>
      <c r="DB445" s="72">
        <v>1</v>
      </c>
      <c r="DC445" s="72">
        <v>1</v>
      </c>
      <c r="DD445" s="72">
        <v>1</v>
      </c>
      <c r="DE445" s="72">
        <v>1</v>
      </c>
      <c r="DF445" s="72">
        <v>1</v>
      </c>
      <c r="DG445" s="72">
        <v>1</v>
      </c>
      <c r="DH445" s="72">
        <v>1</v>
      </c>
      <c r="DI445" s="72">
        <v>1</v>
      </c>
      <c r="DJ445" s="72">
        <v>1</v>
      </c>
      <c r="DK445" s="72">
        <v>1</v>
      </c>
      <c r="DL445" s="72">
        <v>1</v>
      </c>
      <c r="DM445" s="72">
        <v>1</v>
      </c>
      <c r="DN445" s="72">
        <v>1</v>
      </c>
      <c r="DO445" s="72">
        <v>1</v>
      </c>
      <c r="DP445" s="72">
        <v>1</v>
      </c>
      <c r="DQ445" s="72">
        <v>1</v>
      </c>
    </row>
    <row r="446" spans="1:121" x14ac:dyDescent="0.35">
      <c r="A446" s="7"/>
      <c r="B446" s="8" t="s">
        <v>734</v>
      </c>
      <c r="C446" s="9" t="s">
        <v>735</v>
      </c>
      <c r="D446" s="10" t="s">
        <v>697</v>
      </c>
      <c r="E446" s="8" t="s">
        <v>1205</v>
      </c>
      <c r="F446" s="10">
        <v>1006</v>
      </c>
      <c r="G446" s="10" t="s">
        <v>40</v>
      </c>
      <c r="H446" s="10" t="s">
        <v>41</v>
      </c>
      <c r="I446" s="11">
        <v>16</v>
      </c>
      <c r="J446" s="10"/>
      <c r="K446" s="10"/>
      <c r="L446" s="8"/>
      <c r="M446" s="12">
        <v>98</v>
      </c>
      <c r="N446" s="12">
        <f t="shared" si="11"/>
        <v>1568</v>
      </c>
      <c r="O446" s="11">
        <v>20</v>
      </c>
      <c r="P446" s="11">
        <v>20</v>
      </c>
      <c r="Q446" s="11">
        <v>20</v>
      </c>
      <c r="R446" s="11">
        <v>20</v>
      </c>
      <c r="S446" s="11">
        <v>20</v>
      </c>
      <c r="T446" s="11">
        <v>20</v>
      </c>
      <c r="U446" s="11">
        <v>16</v>
      </c>
      <c r="V446" s="11">
        <v>16</v>
      </c>
      <c r="W446" s="11">
        <v>16</v>
      </c>
      <c r="X446" s="11">
        <v>16</v>
      </c>
      <c r="Y446" s="11">
        <v>16</v>
      </c>
      <c r="Z446" s="11">
        <v>16</v>
      </c>
      <c r="AA446" s="11">
        <v>16</v>
      </c>
      <c r="AB446" s="11">
        <v>16</v>
      </c>
      <c r="AC446" s="11">
        <v>16</v>
      </c>
      <c r="AD446" s="11">
        <v>16</v>
      </c>
      <c r="AE446" s="11">
        <v>16</v>
      </c>
      <c r="AF446" s="11">
        <v>16</v>
      </c>
      <c r="AG446" s="11">
        <v>16</v>
      </c>
      <c r="AH446" s="11">
        <v>16</v>
      </c>
      <c r="AI446" s="11">
        <v>16</v>
      </c>
      <c r="AJ446" s="11">
        <v>16</v>
      </c>
      <c r="AK446" s="11">
        <v>16</v>
      </c>
      <c r="AL446" s="11">
        <v>16</v>
      </c>
      <c r="AM446" s="11">
        <v>16</v>
      </c>
      <c r="AN446" s="72">
        <v>16</v>
      </c>
      <c r="AO446" s="72">
        <v>16</v>
      </c>
      <c r="AP446" s="72">
        <v>16</v>
      </c>
      <c r="AQ446" s="72">
        <v>16</v>
      </c>
      <c r="AR446" s="72">
        <v>16</v>
      </c>
      <c r="AS446" s="72">
        <v>16</v>
      </c>
      <c r="AT446" s="72">
        <v>16</v>
      </c>
      <c r="AU446" s="72">
        <v>16</v>
      </c>
      <c r="AV446" s="72">
        <v>16</v>
      </c>
      <c r="AW446" s="72">
        <v>16</v>
      </c>
      <c r="AX446" s="72">
        <v>16</v>
      </c>
      <c r="AY446" s="72">
        <v>16</v>
      </c>
      <c r="AZ446" s="72">
        <v>16</v>
      </c>
      <c r="BA446" s="72">
        <v>16</v>
      </c>
      <c r="BB446" s="72">
        <v>16</v>
      </c>
      <c r="BC446" s="72">
        <v>16</v>
      </c>
      <c r="BD446" s="72">
        <v>16</v>
      </c>
      <c r="BE446" s="72">
        <v>16</v>
      </c>
      <c r="BF446" s="72">
        <v>16</v>
      </c>
      <c r="BG446" s="72">
        <v>16</v>
      </c>
      <c r="BH446" s="72">
        <v>16</v>
      </c>
      <c r="BI446" s="72">
        <v>16</v>
      </c>
      <c r="BJ446" s="72">
        <v>16</v>
      </c>
      <c r="BK446" s="72">
        <v>16</v>
      </c>
      <c r="BL446" s="72">
        <v>16</v>
      </c>
      <c r="BM446" s="72">
        <v>16</v>
      </c>
      <c r="BN446" s="72">
        <v>16</v>
      </c>
      <c r="BO446" s="72">
        <v>16</v>
      </c>
      <c r="BP446" s="72">
        <v>16</v>
      </c>
      <c r="BQ446" s="72">
        <v>16</v>
      </c>
      <c r="BR446" s="72">
        <v>16</v>
      </c>
      <c r="BS446" s="72">
        <v>16</v>
      </c>
      <c r="BT446" s="72">
        <v>16</v>
      </c>
      <c r="BU446" s="72">
        <v>16</v>
      </c>
      <c r="BV446" s="72">
        <v>16</v>
      </c>
      <c r="BW446" s="72">
        <v>16</v>
      </c>
      <c r="BX446" s="72">
        <v>16</v>
      </c>
      <c r="BY446" s="72">
        <v>16</v>
      </c>
      <c r="BZ446" s="72">
        <v>16</v>
      </c>
      <c r="CA446" s="72">
        <v>16</v>
      </c>
      <c r="CB446" s="72">
        <v>16</v>
      </c>
      <c r="CC446" s="72">
        <v>16</v>
      </c>
      <c r="CD446" s="72">
        <v>16</v>
      </c>
      <c r="CE446" s="72">
        <v>16</v>
      </c>
      <c r="CF446" s="72">
        <v>16</v>
      </c>
      <c r="CG446" s="72">
        <v>16</v>
      </c>
      <c r="CH446" s="72">
        <v>16</v>
      </c>
      <c r="CI446" s="72">
        <v>16</v>
      </c>
      <c r="CJ446" s="72">
        <v>16</v>
      </c>
      <c r="CK446" s="72">
        <v>16</v>
      </c>
      <c r="CL446" s="72">
        <v>16</v>
      </c>
      <c r="CM446" s="72">
        <v>16</v>
      </c>
      <c r="CN446" s="72">
        <v>16</v>
      </c>
      <c r="CO446" s="72">
        <v>16</v>
      </c>
      <c r="CP446" s="72">
        <v>16</v>
      </c>
      <c r="CQ446" s="72">
        <v>16</v>
      </c>
      <c r="CR446" s="72">
        <v>16</v>
      </c>
      <c r="CS446" s="72">
        <v>16</v>
      </c>
      <c r="CT446" s="72">
        <v>16</v>
      </c>
      <c r="CU446" s="72">
        <v>16</v>
      </c>
      <c r="CV446" s="72">
        <v>16</v>
      </c>
      <c r="CW446" s="72">
        <v>16</v>
      </c>
      <c r="CX446" s="72">
        <v>16</v>
      </c>
      <c r="CY446" s="72">
        <v>16</v>
      </c>
      <c r="CZ446" s="72">
        <v>16</v>
      </c>
      <c r="DA446" s="72">
        <v>16</v>
      </c>
      <c r="DB446" s="72">
        <v>16</v>
      </c>
      <c r="DC446" s="72">
        <v>16</v>
      </c>
      <c r="DD446" s="72">
        <v>16</v>
      </c>
      <c r="DE446" s="72">
        <v>16</v>
      </c>
      <c r="DF446" s="72">
        <v>16</v>
      </c>
      <c r="DG446" s="72">
        <v>16</v>
      </c>
      <c r="DH446" s="72">
        <v>16</v>
      </c>
      <c r="DI446" s="72">
        <v>16</v>
      </c>
      <c r="DJ446" s="72">
        <v>16</v>
      </c>
      <c r="DK446" s="72">
        <v>16</v>
      </c>
      <c r="DL446" s="72">
        <v>16</v>
      </c>
      <c r="DM446" s="72">
        <v>16</v>
      </c>
      <c r="DN446" s="72">
        <v>16</v>
      </c>
      <c r="DO446" s="72">
        <v>16</v>
      </c>
      <c r="DP446" s="72">
        <v>16</v>
      </c>
      <c r="DQ446" s="72">
        <v>16</v>
      </c>
    </row>
    <row r="447" spans="1:121" x14ac:dyDescent="0.35">
      <c r="A447" s="7"/>
      <c r="B447" s="8" t="s">
        <v>736</v>
      </c>
      <c r="C447" s="9" t="s">
        <v>737</v>
      </c>
      <c r="D447" s="10" t="s">
        <v>697</v>
      </c>
      <c r="E447" s="8" t="s">
        <v>1207</v>
      </c>
      <c r="F447" s="10">
        <v>1006</v>
      </c>
      <c r="G447" s="10" t="s">
        <v>40</v>
      </c>
      <c r="H447" s="10" t="s">
        <v>41</v>
      </c>
      <c r="I447" s="11">
        <v>54</v>
      </c>
      <c r="J447" s="10"/>
      <c r="K447" s="10" t="s">
        <v>526</v>
      </c>
      <c r="L447" s="8"/>
      <c r="M447" s="12">
        <v>71.38</v>
      </c>
      <c r="N447" s="12">
        <f t="shared" si="11"/>
        <v>3854.5199999999995</v>
      </c>
      <c r="O447" s="11">
        <v>54</v>
      </c>
      <c r="P447" s="11">
        <v>54</v>
      </c>
      <c r="Q447" s="11">
        <v>54</v>
      </c>
      <c r="R447" s="11">
        <v>54</v>
      </c>
      <c r="S447" s="11">
        <v>54</v>
      </c>
      <c r="T447" s="11">
        <v>54</v>
      </c>
      <c r="U447" s="11">
        <v>54</v>
      </c>
      <c r="V447" s="11">
        <v>54</v>
      </c>
      <c r="W447" s="11">
        <v>54</v>
      </c>
      <c r="X447" s="11">
        <v>54</v>
      </c>
      <c r="Y447" s="11">
        <v>54</v>
      </c>
      <c r="Z447" s="11">
        <v>54</v>
      </c>
      <c r="AA447" s="11">
        <v>54</v>
      </c>
      <c r="AB447" s="11">
        <v>54</v>
      </c>
      <c r="AC447" s="11">
        <v>54</v>
      </c>
      <c r="AD447" s="11">
        <v>54</v>
      </c>
      <c r="AE447" s="11">
        <v>54</v>
      </c>
      <c r="AF447" s="11">
        <v>54</v>
      </c>
      <c r="AG447" s="11">
        <v>54</v>
      </c>
      <c r="AH447" s="11">
        <v>54</v>
      </c>
      <c r="AI447" s="11">
        <v>54</v>
      </c>
      <c r="AJ447" s="11">
        <v>54</v>
      </c>
      <c r="AK447" s="11">
        <v>54</v>
      </c>
      <c r="AL447" s="11">
        <v>54</v>
      </c>
      <c r="AM447" s="11">
        <v>54</v>
      </c>
      <c r="AN447" s="72">
        <v>54</v>
      </c>
      <c r="AO447" s="72">
        <v>54</v>
      </c>
      <c r="AP447" s="72">
        <v>54</v>
      </c>
      <c r="AQ447" s="72">
        <v>54</v>
      </c>
      <c r="AR447" s="72">
        <v>54</v>
      </c>
      <c r="AS447" s="72">
        <v>54</v>
      </c>
      <c r="AT447" s="72">
        <v>54</v>
      </c>
      <c r="AU447" s="72">
        <v>54</v>
      </c>
      <c r="AV447" s="72">
        <v>54</v>
      </c>
      <c r="AW447" s="72">
        <v>54</v>
      </c>
      <c r="AX447" s="72">
        <v>54</v>
      </c>
      <c r="AY447" s="72">
        <v>54</v>
      </c>
      <c r="AZ447" s="72">
        <v>54</v>
      </c>
      <c r="BA447" s="72">
        <v>54</v>
      </c>
      <c r="BB447" s="72">
        <v>54</v>
      </c>
      <c r="BC447" s="72">
        <v>54</v>
      </c>
      <c r="BD447" s="72">
        <v>54</v>
      </c>
      <c r="BE447" s="72">
        <v>54</v>
      </c>
      <c r="BF447" s="72">
        <v>54</v>
      </c>
      <c r="BG447" s="72">
        <v>54</v>
      </c>
      <c r="BH447" s="72">
        <v>54</v>
      </c>
      <c r="BI447" s="72">
        <v>54</v>
      </c>
      <c r="BJ447" s="72">
        <v>54</v>
      </c>
      <c r="BK447" s="72">
        <v>54</v>
      </c>
      <c r="BL447" s="72">
        <v>54</v>
      </c>
      <c r="BM447" s="72">
        <v>54</v>
      </c>
      <c r="BN447" s="72">
        <v>54</v>
      </c>
      <c r="BO447" s="72">
        <v>54</v>
      </c>
      <c r="BP447" s="72">
        <v>54</v>
      </c>
      <c r="BQ447" s="72">
        <v>54</v>
      </c>
      <c r="BR447" s="72">
        <v>54</v>
      </c>
      <c r="BS447" s="72">
        <v>54</v>
      </c>
      <c r="BT447" s="72">
        <v>54</v>
      </c>
      <c r="BU447" s="72">
        <v>54</v>
      </c>
      <c r="BV447" s="72">
        <v>54</v>
      </c>
      <c r="BW447" s="72">
        <v>54</v>
      </c>
      <c r="BX447" s="72">
        <v>54</v>
      </c>
      <c r="BY447" s="72">
        <v>54</v>
      </c>
      <c r="BZ447" s="72">
        <v>54</v>
      </c>
      <c r="CA447" s="72">
        <v>54</v>
      </c>
      <c r="CB447" s="72">
        <v>54</v>
      </c>
      <c r="CC447" s="72">
        <v>54</v>
      </c>
      <c r="CD447" s="72">
        <v>54</v>
      </c>
      <c r="CE447" s="72">
        <v>54</v>
      </c>
      <c r="CF447" s="72">
        <v>54</v>
      </c>
      <c r="CG447" s="72">
        <v>54</v>
      </c>
      <c r="CH447" s="72">
        <v>54</v>
      </c>
      <c r="CI447" s="72">
        <v>54</v>
      </c>
      <c r="CJ447" s="72">
        <v>54</v>
      </c>
      <c r="CK447" s="72">
        <v>54</v>
      </c>
      <c r="CL447" s="72">
        <v>54</v>
      </c>
      <c r="CM447" s="72">
        <v>54</v>
      </c>
      <c r="CN447" s="72">
        <v>54</v>
      </c>
      <c r="CO447" s="72">
        <v>54</v>
      </c>
      <c r="CP447" s="72">
        <v>54</v>
      </c>
      <c r="CQ447" s="72">
        <v>54</v>
      </c>
      <c r="CR447" s="72">
        <v>54</v>
      </c>
      <c r="CS447" s="72">
        <v>54</v>
      </c>
      <c r="CT447" s="72">
        <v>54</v>
      </c>
      <c r="CU447" s="72">
        <v>54</v>
      </c>
      <c r="CV447" s="72">
        <v>54</v>
      </c>
      <c r="CW447" s="72">
        <v>54</v>
      </c>
      <c r="CX447" s="72">
        <v>54</v>
      </c>
      <c r="CY447" s="72">
        <v>54</v>
      </c>
      <c r="CZ447" s="72">
        <v>54</v>
      </c>
      <c r="DA447" s="72">
        <v>54</v>
      </c>
      <c r="DB447" s="72">
        <v>54</v>
      </c>
      <c r="DC447" s="72">
        <v>54</v>
      </c>
      <c r="DD447" s="72">
        <v>54</v>
      </c>
      <c r="DE447" s="72">
        <v>54</v>
      </c>
      <c r="DF447" s="72">
        <v>54</v>
      </c>
      <c r="DG447" s="72">
        <v>54</v>
      </c>
      <c r="DH447" s="72">
        <v>54</v>
      </c>
      <c r="DI447" s="72">
        <v>54</v>
      </c>
      <c r="DJ447" s="72">
        <v>54</v>
      </c>
      <c r="DK447" s="72">
        <v>54</v>
      </c>
      <c r="DL447" s="72">
        <v>54</v>
      </c>
      <c r="DM447" s="72">
        <v>54</v>
      </c>
      <c r="DN447" s="72">
        <v>54</v>
      </c>
      <c r="DO447" s="72">
        <v>54</v>
      </c>
      <c r="DP447" s="72">
        <v>54</v>
      </c>
      <c r="DQ447" s="72">
        <v>54</v>
      </c>
    </row>
    <row r="448" spans="1:121" x14ac:dyDescent="0.35">
      <c r="A448" s="7"/>
      <c r="B448" s="77" t="s">
        <v>1122</v>
      </c>
      <c r="C448" s="78" t="s">
        <v>1375</v>
      </c>
      <c r="D448" s="10" t="s">
        <v>697</v>
      </c>
      <c r="E448" s="8" t="s">
        <v>1207</v>
      </c>
      <c r="F448" s="10"/>
      <c r="G448" s="10"/>
      <c r="H448" s="10" t="s">
        <v>41</v>
      </c>
      <c r="I448" s="11"/>
      <c r="J448" s="10"/>
      <c r="K448" s="10"/>
      <c r="L448" s="8"/>
      <c r="M448" s="12">
        <v>46</v>
      </c>
      <c r="N448" s="12">
        <f t="shared" si="11"/>
        <v>460</v>
      </c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>
        <v>10</v>
      </c>
      <c r="BN448" s="72">
        <v>10</v>
      </c>
      <c r="BO448" s="72">
        <v>10</v>
      </c>
      <c r="BP448" s="72">
        <v>10</v>
      </c>
      <c r="BQ448" s="72">
        <v>10</v>
      </c>
      <c r="BR448" s="72">
        <v>10</v>
      </c>
      <c r="BS448" s="72">
        <v>10</v>
      </c>
      <c r="BT448" s="72">
        <v>10</v>
      </c>
      <c r="BU448" s="72">
        <v>10</v>
      </c>
      <c r="BV448" s="72">
        <v>10</v>
      </c>
      <c r="BW448" s="72">
        <v>10</v>
      </c>
      <c r="BX448" s="72">
        <v>10</v>
      </c>
      <c r="BY448" s="72">
        <v>10</v>
      </c>
      <c r="BZ448" s="72">
        <v>10</v>
      </c>
      <c r="CA448" s="72">
        <v>10</v>
      </c>
      <c r="CB448" s="72">
        <v>10</v>
      </c>
      <c r="CC448" s="72">
        <v>10</v>
      </c>
      <c r="CD448" s="72">
        <v>10</v>
      </c>
      <c r="CE448" s="72">
        <v>10</v>
      </c>
      <c r="CF448" s="72">
        <v>10</v>
      </c>
      <c r="CG448" s="72">
        <v>10</v>
      </c>
      <c r="CH448" s="72">
        <v>10</v>
      </c>
      <c r="CI448" s="72">
        <v>10</v>
      </c>
      <c r="CJ448" s="72">
        <v>10</v>
      </c>
      <c r="CK448" s="72">
        <v>10</v>
      </c>
      <c r="CL448" s="72">
        <v>10</v>
      </c>
      <c r="CM448" s="72">
        <v>10</v>
      </c>
      <c r="CN448" s="72">
        <v>10</v>
      </c>
      <c r="CO448" s="72">
        <v>10</v>
      </c>
      <c r="CP448" s="72">
        <v>10</v>
      </c>
      <c r="CQ448" s="72">
        <v>10</v>
      </c>
      <c r="CR448" s="72">
        <v>10</v>
      </c>
      <c r="CS448" s="72">
        <v>10</v>
      </c>
      <c r="CT448" s="72">
        <v>10</v>
      </c>
      <c r="CU448" s="72">
        <v>10</v>
      </c>
      <c r="CV448" s="72">
        <v>10</v>
      </c>
      <c r="CW448" s="72">
        <v>10</v>
      </c>
      <c r="CX448" s="72">
        <v>10</v>
      </c>
      <c r="CY448" s="72">
        <v>10</v>
      </c>
      <c r="CZ448" s="72">
        <v>10</v>
      </c>
      <c r="DA448" s="72">
        <v>10</v>
      </c>
      <c r="DB448" s="72">
        <v>10</v>
      </c>
      <c r="DC448" s="72">
        <v>10</v>
      </c>
      <c r="DD448" s="72">
        <v>10</v>
      </c>
      <c r="DE448" s="72">
        <v>10</v>
      </c>
      <c r="DF448" s="72">
        <v>10</v>
      </c>
      <c r="DG448" s="72">
        <v>10</v>
      </c>
      <c r="DH448" s="72">
        <v>10</v>
      </c>
      <c r="DI448" s="72">
        <v>10</v>
      </c>
      <c r="DJ448" s="72">
        <v>10</v>
      </c>
      <c r="DK448" s="72">
        <v>10</v>
      </c>
      <c r="DL448" s="72">
        <v>10</v>
      </c>
      <c r="DM448" s="72">
        <v>10</v>
      </c>
      <c r="DN448" s="72">
        <v>10</v>
      </c>
      <c r="DO448" s="72">
        <v>10</v>
      </c>
      <c r="DP448" s="72">
        <v>10</v>
      </c>
      <c r="DQ448" s="72">
        <v>10</v>
      </c>
    </row>
    <row r="449" spans="1:121" x14ac:dyDescent="0.35">
      <c r="A449" s="7"/>
      <c r="B449" s="14" t="s">
        <v>738</v>
      </c>
      <c r="C449" s="9" t="s">
        <v>739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2</v>
      </c>
      <c r="J449" s="10"/>
      <c r="K449" s="10" t="s">
        <v>42</v>
      </c>
      <c r="L449" s="8"/>
      <c r="M449" s="12">
        <v>213.5</v>
      </c>
      <c r="N449" s="12">
        <f t="shared" si="11"/>
        <v>213.5</v>
      </c>
      <c r="O449" s="11">
        <v>2</v>
      </c>
      <c r="P449" s="11">
        <v>2</v>
      </c>
      <c r="Q449" s="11">
        <v>2</v>
      </c>
      <c r="R449" s="11">
        <v>2</v>
      </c>
      <c r="S449" s="11">
        <v>2</v>
      </c>
      <c r="T449" s="11">
        <v>2</v>
      </c>
      <c r="U449" s="11">
        <v>2</v>
      </c>
      <c r="V449" s="11">
        <v>2</v>
      </c>
      <c r="W449" s="11">
        <v>2</v>
      </c>
      <c r="X449" s="11">
        <v>2</v>
      </c>
      <c r="Y449" s="11">
        <v>2</v>
      </c>
      <c r="Z449" s="11">
        <v>2</v>
      </c>
      <c r="AA449" s="11">
        <v>2</v>
      </c>
      <c r="AB449" s="11">
        <v>2</v>
      </c>
      <c r="AC449" s="11">
        <v>2</v>
      </c>
      <c r="AD449" s="11">
        <v>2</v>
      </c>
      <c r="AE449" s="11">
        <v>2</v>
      </c>
      <c r="AF449" s="11">
        <v>2</v>
      </c>
      <c r="AG449" s="11">
        <v>2</v>
      </c>
      <c r="AH449" s="11">
        <v>2</v>
      </c>
      <c r="AI449" s="11">
        <v>2</v>
      </c>
      <c r="AJ449" s="11">
        <v>2</v>
      </c>
      <c r="AK449" s="11">
        <v>2</v>
      </c>
      <c r="AL449" s="11">
        <v>2</v>
      </c>
      <c r="AM449" s="11">
        <v>2</v>
      </c>
      <c r="AN449" s="72">
        <v>2</v>
      </c>
      <c r="AO449" s="72">
        <v>2</v>
      </c>
      <c r="AP449" s="72">
        <v>2</v>
      </c>
      <c r="AQ449" s="72">
        <v>2</v>
      </c>
      <c r="AR449" s="72">
        <v>2</v>
      </c>
      <c r="AS449" s="72">
        <v>2</v>
      </c>
      <c r="AT449" s="72">
        <v>2</v>
      </c>
      <c r="AU449" s="72">
        <v>2</v>
      </c>
      <c r="AV449" s="72">
        <v>2</v>
      </c>
      <c r="AW449" s="72">
        <v>2</v>
      </c>
      <c r="AX449" s="72">
        <v>2</v>
      </c>
      <c r="AY449" s="72">
        <v>2</v>
      </c>
      <c r="AZ449" s="72">
        <v>2</v>
      </c>
      <c r="BA449" s="72">
        <v>2</v>
      </c>
      <c r="BB449" s="72">
        <v>2</v>
      </c>
      <c r="BC449" s="72">
        <v>2</v>
      </c>
      <c r="BD449" s="72">
        <v>2</v>
      </c>
      <c r="BE449" s="72">
        <v>2</v>
      </c>
      <c r="BF449" s="72">
        <v>2</v>
      </c>
      <c r="BG449" s="72">
        <v>2</v>
      </c>
      <c r="BH449" s="72">
        <v>2</v>
      </c>
      <c r="BI449" s="72">
        <v>2</v>
      </c>
      <c r="BJ449" s="72">
        <v>2</v>
      </c>
      <c r="BK449" s="72">
        <v>2</v>
      </c>
      <c r="BL449" s="72">
        <v>2</v>
      </c>
      <c r="BM449" s="72">
        <v>2</v>
      </c>
      <c r="BN449" s="72">
        <v>2</v>
      </c>
      <c r="BO449" s="72">
        <v>2</v>
      </c>
      <c r="BP449" s="72">
        <v>2</v>
      </c>
      <c r="BQ449" s="72">
        <v>2</v>
      </c>
      <c r="BR449" s="72">
        <v>2</v>
      </c>
      <c r="BS449" s="72">
        <v>2</v>
      </c>
      <c r="BT449" s="72">
        <v>2</v>
      </c>
      <c r="BU449" s="72">
        <v>2</v>
      </c>
      <c r="BV449" s="72">
        <v>2</v>
      </c>
      <c r="BW449" s="72">
        <v>2</v>
      </c>
      <c r="BX449" s="72">
        <v>2</v>
      </c>
      <c r="BY449" s="72">
        <v>1</v>
      </c>
      <c r="BZ449" s="72">
        <v>1</v>
      </c>
      <c r="CA449" s="72">
        <v>1</v>
      </c>
      <c r="CB449" s="72">
        <v>1</v>
      </c>
      <c r="CC449" s="72">
        <v>1</v>
      </c>
      <c r="CD449" s="72">
        <v>1</v>
      </c>
      <c r="CE449" s="72">
        <v>1</v>
      </c>
      <c r="CF449" s="72">
        <v>1</v>
      </c>
      <c r="CG449" s="72">
        <v>1</v>
      </c>
      <c r="CH449" s="72">
        <v>1</v>
      </c>
      <c r="CI449" s="72">
        <v>1</v>
      </c>
      <c r="CJ449" s="72">
        <v>1</v>
      </c>
      <c r="CK449" s="72">
        <v>1</v>
      </c>
      <c r="CL449" s="72">
        <v>1</v>
      </c>
      <c r="CM449" s="72">
        <v>1</v>
      </c>
      <c r="CN449" s="72">
        <v>1</v>
      </c>
      <c r="CO449" s="72">
        <v>1</v>
      </c>
      <c r="CP449" s="72">
        <v>1</v>
      </c>
      <c r="CQ449" s="72">
        <v>1</v>
      </c>
      <c r="CR449" s="72">
        <v>1</v>
      </c>
      <c r="CS449" s="72">
        <v>1</v>
      </c>
      <c r="CT449" s="72">
        <v>1</v>
      </c>
      <c r="CU449" s="72">
        <v>1</v>
      </c>
      <c r="CV449" s="72">
        <v>1</v>
      </c>
      <c r="CW449" s="72">
        <v>1</v>
      </c>
      <c r="CX449" s="72">
        <v>1</v>
      </c>
      <c r="CY449" s="72">
        <v>1</v>
      </c>
      <c r="CZ449" s="72">
        <v>1</v>
      </c>
      <c r="DA449" s="72">
        <v>1</v>
      </c>
      <c r="DB449" s="72">
        <v>1</v>
      </c>
      <c r="DC449" s="72">
        <v>1</v>
      </c>
      <c r="DD449" s="72">
        <v>1</v>
      </c>
      <c r="DE449" s="72">
        <v>1</v>
      </c>
      <c r="DF449" s="72">
        <v>1</v>
      </c>
      <c r="DG449" s="72">
        <v>1</v>
      </c>
      <c r="DH449" s="72">
        <v>1</v>
      </c>
      <c r="DI449" s="72">
        <v>1</v>
      </c>
      <c r="DJ449" s="72">
        <v>1</v>
      </c>
      <c r="DK449" s="72">
        <v>1</v>
      </c>
      <c r="DL449" s="72">
        <v>1</v>
      </c>
      <c r="DM449" s="72">
        <v>1</v>
      </c>
      <c r="DN449" s="72">
        <v>1</v>
      </c>
      <c r="DO449" s="72">
        <v>1</v>
      </c>
      <c r="DP449" s="72">
        <v>1</v>
      </c>
      <c r="DQ449" s="72">
        <v>1</v>
      </c>
    </row>
    <row r="450" spans="1:121" x14ac:dyDescent="0.35">
      <c r="A450" s="7"/>
      <c r="B450" s="90">
        <v>3310016001</v>
      </c>
      <c r="C450" s="9" t="s">
        <v>1261</v>
      </c>
      <c r="D450" s="10" t="s">
        <v>1259</v>
      </c>
      <c r="E450" s="8" t="s">
        <v>1260</v>
      </c>
      <c r="F450" s="10"/>
      <c r="G450" s="10" t="s">
        <v>40</v>
      </c>
      <c r="H450" s="10" t="s">
        <v>41</v>
      </c>
      <c r="I450" s="11"/>
      <c r="J450" s="10"/>
      <c r="K450" s="10"/>
      <c r="L450" s="8"/>
      <c r="M450" s="12"/>
      <c r="N450" s="12">
        <f t="shared" si="11"/>
        <v>0</v>
      </c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72"/>
      <c r="AO450" s="72"/>
      <c r="AP450" s="72"/>
      <c r="AQ450" s="72"/>
      <c r="AR450" s="72"/>
      <c r="AS450" s="72"/>
      <c r="AT450" s="72"/>
      <c r="AU450" s="72"/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0</v>
      </c>
      <c r="BC450" s="72">
        <v>0</v>
      </c>
      <c r="BD450" s="72">
        <v>0</v>
      </c>
      <c r="BE450" s="72">
        <v>0</v>
      </c>
      <c r="BF450" s="72">
        <v>0</v>
      </c>
      <c r="BG450" s="72">
        <v>0</v>
      </c>
      <c r="BH450" s="72">
        <v>0</v>
      </c>
      <c r="BI450" s="72">
        <v>0</v>
      </c>
      <c r="BJ450" s="72">
        <v>0</v>
      </c>
      <c r="BK450" s="72">
        <v>0</v>
      </c>
      <c r="BL450" s="72">
        <v>0</v>
      </c>
      <c r="BM450" s="72">
        <v>0</v>
      </c>
      <c r="BN450" s="72">
        <v>0</v>
      </c>
      <c r="BO450" s="72">
        <v>0</v>
      </c>
      <c r="BP450" s="72">
        <v>0</v>
      </c>
      <c r="BQ450" s="72">
        <v>0</v>
      </c>
      <c r="BR450" s="72">
        <v>0</v>
      </c>
      <c r="BS450" s="72">
        <v>0</v>
      </c>
      <c r="BT450" s="72">
        <v>0</v>
      </c>
      <c r="BU450" s="72">
        <v>0</v>
      </c>
      <c r="BV450" s="72">
        <v>0</v>
      </c>
      <c r="BW450" s="72">
        <v>0</v>
      </c>
      <c r="BX450" s="72">
        <v>0</v>
      </c>
      <c r="BY450" s="72">
        <v>0</v>
      </c>
      <c r="BZ450" s="72">
        <v>0</v>
      </c>
      <c r="CA450" s="72">
        <v>0</v>
      </c>
      <c r="CB450" s="72">
        <v>0</v>
      </c>
      <c r="CC450" s="72">
        <v>0</v>
      </c>
      <c r="CD450" s="72">
        <v>0</v>
      </c>
      <c r="CE450" s="72">
        <v>0</v>
      </c>
      <c r="CF450" s="72">
        <v>0</v>
      </c>
      <c r="CG450" s="72">
        <v>0</v>
      </c>
      <c r="CH450" s="72">
        <v>0</v>
      </c>
      <c r="CI450" s="72">
        <v>0</v>
      </c>
      <c r="CJ450" s="72">
        <v>0</v>
      </c>
      <c r="CK450" s="72">
        <v>0</v>
      </c>
      <c r="CL450" s="72">
        <v>0</v>
      </c>
      <c r="CM450" s="72">
        <v>0</v>
      </c>
      <c r="CN450" s="72">
        <v>0</v>
      </c>
      <c r="CO450" s="72">
        <v>0</v>
      </c>
      <c r="CP450" s="72">
        <v>0</v>
      </c>
      <c r="CQ450" s="72">
        <v>0</v>
      </c>
      <c r="CR450" s="72">
        <v>0</v>
      </c>
      <c r="CS450" s="72">
        <v>0</v>
      </c>
      <c r="CT450" s="72">
        <v>0</v>
      </c>
      <c r="CU450" s="72">
        <v>0</v>
      </c>
      <c r="CV450" s="72">
        <v>0</v>
      </c>
      <c r="CW450" s="72">
        <v>0</v>
      </c>
      <c r="CX450" s="72">
        <v>0</v>
      </c>
      <c r="CY450" s="72">
        <v>0</v>
      </c>
      <c r="CZ450" s="72">
        <v>0</v>
      </c>
      <c r="DA450" s="72">
        <v>0</v>
      </c>
      <c r="DB450" s="72">
        <v>0</v>
      </c>
      <c r="DC450" s="72">
        <v>0</v>
      </c>
      <c r="DD450" s="72">
        <v>0</v>
      </c>
      <c r="DE450" s="72">
        <v>0</v>
      </c>
      <c r="DF450" s="72">
        <v>0</v>
      </c>
      <c r="DG450" s="72">
        <v>0</v>
      </c>
      <c r="DH450" s="72">
        <v>0</v>
      </c>
      <c r="DI450" s="72">
        <v>0</v>
      </c>
      <c r="DJ450" s="72">
        <v>0</v>
      </c>
      <c r="DK450" s="72">
        <v>0</v>
      </c>
      <c r="DL450" s="72">
        <v>0</v>
      </c>
      <c r="DM450" s="72">
        <v>0</v>
      </c>
      <c r="DN450" s="72">
        <v>0</v>
      </c>
      <c r="DO450" s="72">
        <v>0</v>
      </c>
      <c r="DP450" s="72">
        <v>0</v>
      </c>
      <c r="DQ450" s="72">
        <v>0</v>
      </c>
    </row>
    <row r="451" spans="1:121" x14ac:dyDescent="0.35">
      <c r="A451" s="7"/>
      <c r="B451" s="90" t="s">
        <v>1580</v>
      </c>
      <c r="C451" s="9" t="s">
        <v>1582</v>
      </c>
      <c r="D451" s="10" t="s">
        <v>1583</v>
      </c>
      <c r="E451" s="8" t="s">
        <v>1205</v>
      </c>
      <c r="F451" s="10"/>
      <c r="G451" s="10" t="s">
        <v>40</v>
      </c>
      <c r="H451" s="10" t="s">
        <v>41</v>
      </c>
      <c r="I451" s="11"/>
      <c r="J451" s="10"/>
      <c r="K451" s="10"/>
      <c r="L451" s="8"/>
      <c r="M451" s="12">
        <v>22</v>
      </c>
      <c r="N451" s="12">
        <f t="shared" ref="N451:N454" si="12">M451*DQ451</f>
        <v>88</v>
      </c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  <c r="DA451" s="72"/>
      <c r="DB451" s="72"/>
      <c r="DC451" s="72"/>
      <c r="DD451" s="72"/>
      <c r="DE451" s="72"/>
      <c r="DF451" s="72"/>
      <c r="DG451" s="72"/>
      <c r="DH451" s="72"/>
      <c r="DI451" s="72"/>
      <c r="DJ451" s="72"/>
      <c r="DK451" s="72"/>
      <c r="DL451" s="72"/>
      <c r="DM451" s="72"/>
      <c r="DN451" s="72"/>
      <c r="DO451" s="72"/>
      <c r="DP451" s="72">
        <v>4</v>
      </c>
      <c r="DQ451" s="72">
        <v>4</v>
      </c>
    </row>
    <row r="452" spans="1:121" x14ac:dyDescent="0.35">
      <c r="A452" s="7"/>
      <c r="B452" s="8" t="s">
        <v>740</v>
      </c>
      <c r="C452" s="9" t="s">
        <v>741</v>
      </c>
      <c r="D452" s="10" t="s">
        <v>742</v>
      </c>
      <c r="E452" s="8" t="s">
        <v>1205</v>
      </c>
      <c r="F452" s="10">
        <v>1005</v>
      </c>
      <c r="G452" s="10" t="s">
        <v>40</v>
      </c>
      <c r="H452" s="10" t="s">
        <v>41</v>
      </c>
      <c r="I452" s="11">
        <v>2</v>
      </c>
      <c r="J452" s="10"/>
      <c r="K452" s="10" t="s">
        <v>566</v>
      </c>
      <c r="L452" s="8"/>
      <c r="M452" s="12"/>
      <c r="N452" s="12">
        <f t="shared" si="12"/>
        <v>0</v>
      </c>
      <c r="O452" s="11">
        <v>2</v>
      </c>
      <c r="P452" s="11">
        <v>2</v>
      </c>
      <c r="Q452" s="11">
        <v>2</v>
      </c>
      <c r="R452" s="11">
        <v>2</v>
      </c>
      <c r="S452" s="11">
        <v>2</v>
      </c>
      <c r="T452" s="11">
        <v>2</v>
      </c>
      <c r="U452" s="11">
        <v>2</v>
      </c>
      <c r="V452" s="11">
        <v>2</v>
      </c>
      <c r="W452" s="11">
        <v>2</v>
      </c>
      <c r="X452" s="11">
        <v>2</v>
      </c>
      <c r="Y452" s="11">
        <v>2</v>
      </c>
      <c r="Z452" s="11">
        <v>2</v>
      </c>
      <c r="AA452" s="11">
        <v>2</v>
      </c>
      <c r="AB452" s="11">
        <v>2</v>
      </c>
      <c r="AC452" s="11">
        <v>2</v>
      </c>
      <c r="AD452" s="11">
        <v>2</v>
      </c>
      <c r="AE452" s="11">
        <v>2</v>
      </c>
      <c r="AF452" s="11">
        <v>2</v>
      </c>
      <c r="AG452" s="11">
        <v>2</v>
      </c>
      <c r="AH452" s="11">
        <v>2</v>
      </c>
      <c r="AI452" s="11">
        <v>2</v>
      </c>
      <c r="AJ452" s="11">
        <v>2</v>
      </c>
      <c r="AK452" s="11">
        <v>2</v>
      </c>
      <c r="AL452" s="11">
        <v>2</v>
      </c>
      <c r="AM452" s="11">
        <v>2</v>
      </c>
      <c r="AN452" s="72">
        <v>2</v>
      </c>
      <c r="AO452" s="72">
        <v>2</v>
      </c>
      <c r="AP452" s="72">
        <v>2</v>
      </c>
      <c r="AQ452" s="72">
        <v>2</v>
      </c>
      <c r="AR452" s="72">
        <v>2</v>
      </c>
      <c r="AS452" s="72">
        <v>2</v>
      </c>
      <c r="AT452" s="72">
        <v>2</v>
      </c>
      <c r="AU452" s="72">
        <v>2</v>
      </c>
      <c r="AV452" s="72">
        <v>2</v>
      </c>
      <c r="AW452" s="72">
        <v>2</v>
      </c>
      <c r="AX452" s="72">
        <v>2</v>
      </c>
      <c r="AY452" s="72">
        <v>2</v>
      </c>
      <c r="AZ452" s="72">
        <v>2</v>
      </c>
      <c r="BA452" s="72">
        <v>2</v>
      </c>
      <c r="BB452" s="72">
        <v>2</v>
      </c>
      <c r="BC452" s="72">
        <v>2</v>
      </c>
      <c r="BD452" s="72">
        <v>2</v>
      </c>
      <c r="BE452" s="72">
        <v>2</v>
      </c>
      <c r="BF452" s="72">
        <v>2</v>
      </c>
      <c r="BG452" s="72">
        <v>2</v>
      </c>
      <c r="BH452" s="72">
        <v>2</v>
      </c>
      <c r="BI452" s="72">
        <v>2</v>
      </c>
      <c r="BJ452" s="72">
        <v>2</v>
      </c>
      <c r="BK452" s="72">
        <v>2</v>
      </c>
      <c r="BL452" s="72">
        <v>2</v>
      </c>
      <c r="BM452" s="72">
        <v>2</v>
      </c>
      <c r="BN452" s="72">
        <v>2</v>
      </c>
      <c r="BO452" s="72">
        <v>2</v>
      </c>
      <c r="BP452" s="72">
        <v>2</v>
      </c>
      <c r="BQ452" s="72">
        <v>2</v>
      </c>
      <c r="BR452" s="72">
        <v>2</v>
      </c>
      <c r="BS452" s="72">
        <v>2</v>
      </c>
      <c r="BT452" s="72">
        <v>2</v>
      </c>
      <c r="BU452" s="72">
        <v>2</v>
      </c>
      <c r="BV452" s="72">
        <v>2</v>
      </c>
      <c r="BW452" s="72">
        <v>2</v>
      </c>
      <c r="BX452" s="72">
        <v>2</v>
      </c>
      <c r="BY452" s="72">
        <v>2</v>
      </c>
      <c r="BZ452" s="72">
        <v>2</v>
      </c>
      <c r="CA452" s="72">
        <v>2</v>
      </c>
      <c r="CB452" s="72">
        <v>2</v>
      </c>
      <c r="CC452" s="72">
        <v>2</v>
      </c>
      <c r="CD452" s="72">
        <v>2</v>
      </c>
      <c r="CE452" s="72">
        <v>2</v>
      </c>
      <c r="CF452" s="72">
        <v>2</v>
      </c>
      <c r="CG452" s="72">
        <v>2</v>
      </c>
      <c r="CH452" s="72">
        <v>2</v>
      </c>
      <c r="CI452" s="72">
        <v>2</v>
      </c>
      <c r="CJ452" s="72">
        <v>2</v>
      </c>
      <c r="CK452" s="72">
        <v>2</v>
      </c>
      <c r="CL452" s="72">
        <v>2</v>
      </c>
      <c r="CM452" s="72">
        <v>2</v>
      </c>
      <c r="CN452" s="72">
        <v>2</v>
      </c>
      <c r="CO452" s="72">
        <v>2</v>
      </c>
      <c r="CP452" s="72">
        <v>2</v>
      </c>
      <c r="CQ452" s="72">
        <v>2</v>
      </c>
      <c r="CR452" s="72">
        <v>2</v>
      </c>
      <c r="CS452" s="72">
        <v>2</v>
      </c>
      <c r="CT452" s="72">
        <v>2</v>
      </c>
      <c r="CU452" s="72">
        <v>2</v>
      </c>
      <c r="CV452" s="72">
        <v>2</v>
      </c>
      <c r="CW452" s="72">
        <v>2</v>
      </c>
      <c r="CX452" s="72">
        <v>2</v>
      </c>
      <c r="CY452" s="72">
        <v>2</v>
      </c>
      <c r="CZ452" s="72">
        <v>2</v>
      </c>
      <c r="DA452" s="72">
        <v>2</v>
      </c>
      <c r="DB452" s="72">
        <v>2</v>
      </c>
      <c r="DC452" s="72">
        <v>2</v>
      </c>
      <c r="DD452" s="72">
        <v>2</v>
      </c>
      <c r="DE452" s="72">
        <v>2</v>
      </c>
      <c r="DF452" s="72">
        <v>2</v>
      </c>
      <c r="DG452" s="72">
        <v>2</v>
      </c>
      <c r="DH452" s="72">
        <v>2</v>
      </c>
      <c r="DI452" s="72">
        <v>2</v>
      </c>
      <c r="DJ452" s="72">
        <v>2</v>
      </c>
      <c r="DK452" s="72">
        <v>2</v>
      </c>
      <c r="DL452" s="72">
        <v>2</v>
      </c>
      <c r="DM452" s="72">
        <v>2</v>
      </c>
      <c r="DN452" s="72">
        <v>2</v>
      </c>
      <c r="DO452" s="72">
        <v>2</v>
      </c>
      <c r="DP452" s="72">
        <v>2</v>
      </c>
      <c r="DQ452" s="72">
        <v>2</v>
      </c>
    </row>
    <row r="453" spans="1:121" x14ac:dyDescent="0.35">
      <c r="A453" s="7"/>
      <c r="B453" s="8" t="s">
        <v>743</v>
      </c>
      <c r="C453" s="9" t="s">
        <v>744</v>
      </c>
      <c r="D453" s="10" t="s">
        <v>745</v>
      </c>
      <c r="E453" s="8" t="s">
        <v>1229</v>
      </c>
      <c r="F453" s="10"/>
      <c r="G453" s="10" t="s">
        <v>40</v>
      </c>
      <c r="H453" s="10" t="s">
        <v>41</v>
      </c>
      <c r="I453" s="11">
        <v>4</v>
      </c>
      <c r="J453" s="10">
        <v>2</v>
      </c>
      <c r="K453" s="10"/>
      <c r="L453" s="8" t="s">
        <v>746</v>
      </c>
      <c r="M453" s="12"/>
      <c r="N453" s="12">
        <f t="shared" si="12"/>
        <v>0</v>
      </c>
      <c r="O453" s="11"/>
      <c r="P453" s="11"/>
      <c r="Q453" s="11"/>
      <c r="R453" s="11"/>
      <c r="S453" s="11"/>
      <c r="T453" s="11"/>
      <c r="U453" s="11">
        <v>0</v>
      </c>
      <c r="V453" s="11"/>
      <c r="W453" s="11">
        <v>0</v>
      </c>
      <c r="X453" s="11"/>
      <c r="Y453" s="11"/>
      <c r="Z453" s="11">
        <v>0</v>
      </c>
      <c r="AA453" s="11"/>
      <c r="AB453" s="11">
        <v>0</v>
      </c>
      <c r="AC453" s="11">
        <v>0</v>
      </c>
      <c r="AD453" s="11">
        <v>0</v>
      </c>
      <c r="AE453" s="11">
        <v>0</v>
      </c>
      <c r="AF453" s="11">
        <v>0</v>
      </c>
      <c r="AG453" s="11">
        <v>0</v>
      </c>
      <c r="AH453" s="11">
        <v>0</v>
      </c>
      <c r="AI453" s="11">
        <v>4</v>
      </c>
      <c r="AJ453" s="11">
        <v>4</v>
      </c>
      <c r="AK453" s="11">
        <v>4</v>
      </c>
      <c r="AL453" s="11">
        <v>4</v>
      </c>
      <c r="AM453" s="11">
        <v>4</v>
      </c>
      <c r="AN453" s="72">
        <v>4</v>
      </c>
      <c r="AO453" s="72">
        <v>4</v>
      </c>
      <c r="AP453" s="72">
        <v>4</v>
      </c>
      <c r="AQ453" s="72">
        <v>4</v>
      </c>
      <c r="AR453" s="72">
        <v>4</v>
      </c>
      <c r="AS453" s="72">
        <v>4</v>
      </c>
      <c r="AT453" s="72">
        <v>4</v>
      </c>
      <c r="AU453" s="72">
        <v>4</v>
      </c>
      <c r="AV453" s="72">
        <v>4</v>
      </c>
      <c r="AW453" s="72">
        <v>4</v>
      </c>
      <c r="AX453" s="72">
        <v>4</v>
      </c>
      <c r="AY453" s="72">
        <v>4</v>
      </c>
      <c r="AZ453" s="72">
        <v>4</v>
      </c>
      <c r="BA453" s="72">
        <v>4</v>
      </c>
      <c r="BB453" s="72">
        <v>4</v>
      </c>
      <c r="BC453" s="72">
        <v>4</v>
      </c>
      <c r="BD453" s="72">
        <v>4</v>
      </c>
      <c r="BE453" s="72">
        <v>4</v>
      </c>
      <c r="BF453" s="72">
        <v>4</v>
      </c>
      <c r="BG453" s="72">
        <v>4</v>
      </c>
      <c r="BH453" s="72">
        <v>4</v>
      </c>
      <c r="BI453" s="72">
        <v>4</v>
      </c>
      <c r="BJ453" s="72">
        <v>4</v>
      </c>
      <c r="BK453" s="72">
        <v>0</v>
      </c>
      <c r="BL453" s="72">
        <v>0</v>
      </c>
      <c r="BM453" s="72">
        <v>0</v>
      </c>
      <c r="BN453" s="72">
        <v>0</v>
      </c>
      <c r="BO453" s="72">
        <v>0</v>
      </c>
      <c r="BP453" s="72">
        <v>0</v>
      </c>
      <c r="BQ453" s="72">
        <v>0</v>
      </c>
      <c r="BR453" s="72">
        <v>0</v>
      </c>
      <c r="BS453" s="72">
        <v>0</v>
      </c>
      <c r="BT453" s="72">
        <v>0</v>
      </c>
      <c r="BU453" s="72">
        <v>0</v>
      </c>
      <c r="BV453" s="72">
        <v>0</v>
      </c>
      <c r="BW453" s="72">
        <v>0</v>
      </c>
      <c r="BX453" s="72">
        <v>0</v>
      </c>
      <c r="BY453" s="72">
        <v>0</v>
      </c>
      <c r="BZ453" s="72">
        <v>0</v>
      </c>
      <c r="CA453" s="72">
        <v>0</v>
      </c>
      <c r="CB453" s="72">
        <v>0</v>
      </c>
      <c r="CC453" s="72">
        <v>0</v>
      </c>
      <c r="CD453" s="72">
        <v>0</v>
      </c>
      <c r="CE453" s="72">
        <v>0</v>
      </c>
      <c r="CF453" s="72">
        <v>0</v>
      </c>
      <c r="CG453" s="72">
        <v>0</v>
      </c>
      <c r="CH453" s="72">
        <v>0</v>
      </c>
      <c r="CI453" s="72">
        <v>0</v>
      </c>
      <c r="CJ453" s="72">
        <v>0</v>
      </c>
      <c r="CK453" s="72">
        <v>0</v>
      </c>
      <c r="CL453" s="72">
        <v>0</v>
      </c>
      <c r="CM453" s="72">
        <v>0</v>
      </c>
      <c r="CN453" s="72">
        <v>0</v>
      </c>
      <c r="CO453" s="72">
        <v>0</v>
      </c>
      <c r="CP453" s="72">
        <v>0</v>
      </c>
      <c r="CQ453" s="72">
        <v>0</v>
      </c>
      <c r="CR453" s="72">
        <v>0</v>
      </c>
      <c r="CS453" s="72">
        <v>0</v>
      </c>
      <c r="CT453" s="72">
        <v>0</v>
      </c>
      <c r="CU453" s="72">
        <v>0</v>
      </c>
      <c r="CV453" s="72">
        <v>0</v>
      </c>
      <c r="CW453" s="72">
        <v>0</v>
      </c>
      <c r="CX453" s="72">
        <v>0</v>
      </c>
      <c r="CY453" s="72">
        <v>0</v>
      </c>
      <c r="CZ453" s="72">
        <v>0</v>
      </c>
      <c r="DA453" s="72">
        <v>0</v>
      </c>
      <c r="DB453" s="72">
        <v>0</v>
      </c>
      <c r="DC453" s="72">
        <v>0</v>
      </c>
      <c r="DD453" s="72">
        <v>0</v>
      </c>
      <c r="DE453" s="72">
        <v>0</v>
      </c>
      <c r="DF453" s="72">
        <v>0</v>
      </c>
      <c r="DG453" s="72">
        <v>0</v>
      </c>
      <c r="DH453" s="72">
        <v>0</v>
      </c>
      <c r="DI453" s="72">
        <v>0</v>
      </c>
      <c r="DJ453" s="72">
        <v>0</v>
      </c>
      <c r="DK453" s="72">
        <v>0</v>
      </c>
      <c r="DL453" s="72">
        <v>0</v>
      </c>
      <c r="DM453" s="72">
        <v>0</v>
      </c>
      <c r="DN453" s="72">
        <v>0</v>
      </c>
      <c r="DO453" s="72">
        <v>0</v>
      </c>
      <c r="DP453" s="72">
        <v>0</v>
      </c>
      <c r="DQ453" s="72">
        <v>0</v>
      </c>
    </row>
    <row r="454" spans="1:121" x14ac:dyDescent="0.35">
      <c r="A454" s="7"/>
      <c r="B454" s="8" t="s">
        <v>747</v>
      </c>
      <c r="C454" s="35" t="s">
        <v>1159</v>
      </c>
      <c r="D454" s="10" t="s">
        <v>748</v>
      </c>
      <c r="E454" s="8" t="s">
        <v>1229</v>
      </c>
      <c r="F454" s="10"/>
      <c r="G454" s="10" t="s">
        <v>40</v>
      </c>
      <c r="H454" s="10" t="s">
        <v>41</v>
      </c>
      <c r="I454" s="11">
        <v>2</v>
      </c>
      <c r="J454" s="10"/>
      <c r="K454" s="10" t="s">
        <v>550</v>
      </c>
      <c r="L454" s="8"/>
      <c r="M454" s="12"/>
      <c r="N454" s="12">
        <f t="shared" si="12"/>
        <v>0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>
        <v>3</v>
      </c>
      <c r="AA454" s="11"/>
      <c r="AB454" s="11"/>
      <c r="AC454" s="11">
        <v>0</v>
      </c>
      <c r="AD454" s="11">
        <v>0</v>
      </c>
      <c r="AE454" s="11">
        <v>0</v>
      </c>
      <c r="AF454" s="11">
        <v>0</v>
      </c>
      <c r="AG454" s="11">
        <v>0</v>
      </c>
      <c r="AH454" s="11">
        <v>0</v>
      </c>
      <c r="AI454" s="11">
        <v>2</v>
      </c>
      <c r="AJ454" s="11">
        <v>2</v>
      </c>
      <c r="AK454" s="11">
        <v>2</v>
      </c>
      <c r="AL454" s="11">
        <v>1</v>
      </c>
      <c r="AM454" s="11">
        <v>1</v>
      </c>
      <c r="AN454" s="72">
        <v>1</v>
      </c>
      <c r="AO454" s="72">
        <v>1</v>
      </c>
      <c r="AP454" s="72">
        <v>1</v>
      </c>
      <c r="AQ454" s="72">
        <v>1</v>
      </c>
      <c r="AR454" s="72">
        <v>1</v>
      </c>
      <c r="AS454" s="72">
        <v>1</v>
      </c>
      <c r="AT454" s="72">
        <v>1</v>
      </c>
      <c r="AU454" s="72">
        <v>1</v>
      </c>
      <c r="AV454" s="72">
        <v>1</v>
      </c>
      <c r="AW454" s="72">
        <v>1</v>
      </c>
      <c r="AX454" s="72">
        <v>1</v>
      </c>
      <c r="AY454" s="72">
        <v>1</v>
      </c>
      <c r="AZ454" s="72">
        <v>1</v>
      </c>
      <c r="BA454" s="72">
        <v>1</v>
      </c>
      <c r="BB454" s="72">
        <v>1</v>
      </c>
      <c r="BC454" s="72">
        <v>1</v>
      </c>
      <c r="BD454" s="72">
        <v>1</v>
      </c>
      <c r="BE454" s="72">
        <v>1</v>
      </c>
      <c r="BF454" s="72">
        <v>1</v>
      </c>
      <c r="BG454" s="72">
        <v>1</v>
      </c>
      <c r="BH454" s="72">
        <v>1</v>
      </c>
      <c r="BI454" s="72">
        <v>1</v>
      </c>
      <c r="BJ454" s="72">
        <v>1</v>
      </c>
      <c r="BK454" s="72">
        <v>1</v>
      </c>
      <c r="BL454" s="72">
        <v>1</v>
      </c>
      <c r="BM454" s="72">
        <v>1</v>
      </c>
      <c r="BN454" s="72">
        <v>1</v>
      </c>
      <c r="BO454" s="72">
        <v>1</v>
      </c>
      <c r="BP454" s="72">
        <v>1</v>
      </c>
      <c r="BQ454" s="72">
        <v>1</v>
      </c>
      <c r="BR454" s="72">
        <v>1</v>
      </c>
      <c r="BS454" s="72">
        <v>0</v>
      </c>
      <c r="BT454" s="72">
        <v>0</v>
      </c>
      <c r="BU454" s="72">
        <v>0</v>
      </c>
      <c r="BV454" s="72">
        <v>0</v>
      </c>
      <c r="BW454" s="72">
        <v>0</v>
      </c>
      <c r="BX454" s="72">
        <v>0</v>
      </c>
      <c r="BY454" s="72">
        <v>0</v>
      </c>
      <c r="BZ454" s="72">
        <v>0</v>
      </c>
      <c r="CA454" s="72">
        <v>0</v>
      </c>
      <c r="CB454" s="72">
        <v>0</v>
      </c>
      <c r="CC454" s="72">
        <v>0</v>
      </c>
      <c r="CD454" s="72">
        <v>0</v>
      </c>
      <c r="CE454" s="72">
        <v>0</v>
      </c>
      <c r="CF454" s="72">
        <v>0</v>
      </c>
      <c r="CG454" s="72">
        <v>0</v>
      </c>
      <c r="CH454" s="72">
        <v>0</v>
      </c>
      <c r="CI454" s="72">
        <v>0</v>
      </c>
      <c r="CJ454" s="72">
        <v>0</v>
      </c>
      <c r="CK454" s="72">
        <v>0</v>
      </c>
      <c r="CL454" s="72">
        <v>0</v>
      </c>
      <c r="CM454" s="72">
        <v>0</v>
      </c>
      <c r="CN454" s="72">
        <v>0</v>
      </c>
      <c r="CO454" s="72">
        <v>0</v>
      </c>
      <c r="CP454" s="72">
        <v>0</v>
      </c>
      <c r="CQ454" s="72">
        <v>0</v>
      </c>
      <c r="CR454" s="72">
        <v>0</v>
      </c>
      <c r="CS454" s="72">
        <v>0</v>
      </c>
      <c r="CT454" s="72">
        <v>0</v>
      </c>
      <c r="CU454" s="72">
        <v>0</v>
      </c>
      <c r="CV454" s="72">
        <v>0</v>
      </c>
      <c r="CW454" s="72">
        <v>0</v>
      </c>
      <c r="CX454" s="72">
        <v>0</v>
      </c>
      <c r="CY454" s="72">
        <v>0</v>
      </c>
      <c r="CZ454" s="72">
        <v>0</v>
      </c>
      <c r="DA454" s="72">
        <v>0</v>
      </c>
      <c r="DB454" s="72">
        <v>0</v>
      </c>
      <c r="DC454" s="72">
        <v>0</v>
      </c>
      <c r="DD454" s="72">
        <v>0</v>
      </c>
      <c r="DE454" s="72">
        <v>0</v>
      </c>
      <c r="DF454" s="72">
        <v>0</v>
      </c>
      <c r="DG454" s="72">
        <v>0</v>
      </c>
      <c r="DH454" s="72">
        <v>0</v>
      </c>
      <c r="DI454" s="72">
        <v>0</v>
      </c>
      <c r="DJ454" s="72">
        <v>0</v>
      </c>
      <c r="DK454" s="72">
        <v>0</v>
      </c>
      <c r="DL454" s="72">
        <v>0</v>
      </c>
      <c r="DM454" s="72">
        <v>0</v>
      </c>
      <c r="DN454" s="72">
        <v>0</v>
      </c>
      <c r="DO454" s="72">
        <v>0</v>
      </c>
      <c r="DP454" s="72">
        <v>0</v>
      </c>
      <c r="DQ454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1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Stok!I281:AP281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Stok!I289:AP289</xm:f>
              <xm:sqref>A283</xm:sqref>
            </x14:sparkline>
            <x14:sparkline>
              <xm:f>Stok!I289:AP289</xm:f>
              <xm:sqref>A284</xm:sqref>
            </x14:sparkline>
            <x14:sparkline>
              <xm:f>Stok!I289:AP289</xm:f>
              <xm:sqref>A285</xm:sqref>
            </x14:sparkline>
            <x14:sparkline>
              <xm:f>Stok!I289:AP289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Stok!I294:AP294</xm:f>
              <xm:sqref>A292</xm:sqref>
            </x14:sparkline>
            <x14:sparkline>
              <xm:f>Stok!I295:AP295</xm:f>
              <xm:sqref>A293</xm:sqref>
            </x14:sparkline>
            <x14:sparkline>
              <xm:f>Stok!I295:AP295</xm:f>
              <xm:sqref>A294</xm:sqref>
            </x14:sparkline>
            <x14:sparkline>
              <xm:f>Stok!I297:AP297</xm:f>
              <xm:sqref>A295</xm:sqref>
            </x14:sparkline>
            <x14:sparkline>
              <xm:f>Stok!I298:AP298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Stok!I300:AP300</xm:f>
              <xm:sqref>A299</xm:sqref>
            </x14:sparkline>
            <x14:sparkline>
              <xm:f>Stok!I305:AP305</xm:f>
              <xm:sqref>A300</xm:sqref>
            </x14:sparkline>
            <x14:sparkline>
              <xm:f>Stok!I306:AP306</xm:f>
              <xm:sqref>A301</xm:sqref>
            </x14:sparkline>
            <x14:sparkline>
              <xm:f>Stok!I307:AP307</xm:f>
              <xm:sqref>A302</xm:sqref>
            </x14:sparkline>
            <x14:sparkline>
              <xm:f>Stok!I308:AP308</xm:f>
              <xm:sqref>A303</xm:sqref>
            </x14:sparkline>
            <x14:sparkline>
              <xm:f>Stok!I306:AP306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sqref>A309</xm:sqref>
            </x14:sparkline>
            <x14:sparkline>
              <xm:f>Stok!I312:AP312</xm:f>
              <xm:sqref>A310</xm:sqref>
            </x14:sparkline>
            <x14:sparkline>
              <xm:f>Stok!I313:AP313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f>Stok!I318:AP318</xm:f>
              <xm:sqref>A314</xm:sqref>
            </x14:sparkline>
            <x14:sparkline>
              <xm:f>Stok!I319:AP319</xm:f>
              <xm:sqref>A315</xm:sqref>
            </x14:sparkline>
            <x14:sparkline>
              <xm:f>Stok!I319:AP319</xm:f>
              <xm:sqref>A316</xm:sqref>
            </x14:sparkline>
            <x14:sparkline>
              <xm:f>Stok!I319:AP319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Stok!I336:AP336</xm:f>
              <xm:sqref>A334</xm:sqref>
            </x14:sparkline>
            <x14:sparkline>
              <xm:f>Stok!I337:AP337</xm:f>
              <xm:sqref>A335</xm:sqref>
            </x14:sparkline>
            <x14:sparkline>
              <xm:f>Stok!I342:AP342</xm:f>
              <xm:sqref>A336</xm:sqref>
            </x14:sparkline>
            <x14:sparkline>
              <xm:f>Stok!I343:AP343</xm:f>
              <xm:sqref>A337</xm:sqref>
            </x14:sparkline>
            <x14:sparkline>
              <xm:f>Stok!I343:AP343</xm:f>
              <xm:sqref>A338</xm:sqref>
            </x14:sparkline>
            <x14:sparkline>
              <xm:f>Stok!I343:AP343</xm:f>
              <xm:sqref>A339</xm:sqref>
            </x14:sparkline>
            <x14:sparkline>
              <xm:f>Stok!I343:AP343</xm:f>
              <xm:sqref>A340</xm:sqref>
            </x14:sparkline>
            <x14:sparkline>
              <xm:f>Stok!I343:AP343</xm:f>
              <xm:sqref>A341</xm:sqref>
            </x14:sparkline>
            <x14:sparkline>
              <xm:f>Stok!I343:AP343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Stok!I348:AP348</xm:f>
              <xm:sqref>A345</xm:sqref>
            </x14:sparkline>
            <x14:sparkline>
              <xm:f>Stok!I349:AP349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Stok!I352:AP352</xm:f>
              <xm:sqref>A350</xm:sqref>
            </x14:sparkline>
            <x14:sparkline>
              <xm:f>Stok!I353:AP353</xm:f>
              <xm:sqref>A351</xm:sqref>
            </x14:sparkline>
            <x14:sparkline>
              <xm:f>Stok!I354:AP354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Stok!I358:AP358</xm:f>
              <xm:sqref>A355</xm:sqref>
            </x14:sparkline>
            <x14:sparkline>
              <xm:f>Stok!I359:AP359</xm:f>
              <xm:sqref>A356</xm:sqref>
            </x14:sparkline>
            <x14:sparkline>
              <xm:f>Stok!I360:AP360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Stok!I364:AP364</xm:f>
              <xm:sqref>A362</xm:sqref>
            </x14:sparkline>
            <x14:sparkline>
              <xm:f>Stok!I366:AP366</xm:f>
              <xm:sqref>A363</xm:sqref>
            </x14:sparkline>
            <x14:sparkline>
              <xm:f>Stok!I367:AP367</xm:f>
              <xm:sqref>A364</xm:sqref>
            </x14:sparkline>
            <x14:sparkline>
              <xm:f>Stok!I368:AP368</xm:f>
              <xm:sqref>A365</xm:sqref>
            </x14:sparkline>
            <x14:sparkline>
              <xm:f>Stok!I368:AP368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Stok!I375:AP375</xm:f>
              <xm:sqref>A373</xm:sqref>
            </x14:sparkline>
            <x14:sparkline>
              <xm:f>Stok!I376:AP376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Stok!I385:AP385</xm:f>
              <xm:sqref>A383</xm:sqref>
            </x14:sparkline>
            <x14:sparkline>
              <xm:f>Stok!I387:AP387</xm:f>
              <xm:sqref>A384</xm:sqref>
            </x14:sparkline>
            <x14:sparkline>
              <xm:f>Stok!I387:AP387</xm:f>
              <xm:sqref>A385</xm:sqref>
            </x14:sparkline>
            <x14:sparkline>
              <xm:f>Stok!I388:AP388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Stok!I390:AP390</xm:f>
              <xm:sqref>A389</xm:sqref>
            </x14:sparkline>
            <x14:sparkline>
              <xm:f>Stok!I391:AP391</xm:f>
              <xm:sqref>A390</xm:sqref>
            </x14:sparkline>
            <x14:sparkline>
              <xm:f>Stok!I392:AP392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sqref>A396</xm:sqref>
            </x14:sparkline>
            <x14:sparkline>
              <xm:sqref>A397</xm:sqref>
            </x14:sparkline>
            <x14:sparkline>
              <xm:f>Stok!I401:AP401</xm:f>
              <xm:sqref>A398</xm:sqref>
            </x14:sparkline>
            <x14:sparkline>
              <xm:f>Stok!I402:AP402</xm:f>
              <xm:sqref>A399</xm:sqref>
            </x14:sparkline>
            <x14:sparkline>
              <xm:f>Stok!I403:AP403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Stok!I413:AP413</xm:f>
              <xm:sqref>A410</xm:sqref>
            </x14:sparkline>
            <x14:sparkline>
              <xm:f>Stok!I414:AP414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Stok!I429:AP429</xm:f>
              <xm:sqref>A426</xm:sqref>
            </x14:sparkline>
            <x14:sparkline>
              <xm:f>Stok!I430:AP430</xm:f>
              <xm:sqref>A427</xm:sqref>
            </x14:sparkline>
            <x14:sparkline>
              <xm:f>Stok!I431:AP431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Stok!I436:AP436</xm:f>
              <xm:sqref>A433</xm:sqref>
            </x14:sparkline>
            <x14:sparkline>
              <xm:f>Stok!I438:AP438</xm:f>
              <xm:sqref>A434</xm:sqref>
            </x14:sparkline>
            <x14:sparkline>
              <xm:f>Stok!I439:AP439</xm:f>
              <xm:sqref>A435</xm:sqref>
            </x14:sparkline>
            <x14:sparkline>
              <xm:f>Stok!I439:AP439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Stok!I443:AP443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Stok!I449:AP449</xm:f>
              <xm:sqref>A446</xm:sqref>
            </x14:sparkline>
            <x14:sparkline>
              <xm:f>Stok!I452:AP452</xm:f>
              <xm:sqref>A447</xm:sqref>
            </x14:sparkline>
            <x14:sparkline>
              <xm:f>Stok!I453:AP453</xm:f>
              <xm:sqref>A448</xm:sqref>
            </x14:sparkline>
            <x14:sparkline>
              <xm:f>Stok!I453:AP453</xm:f>
              <xm:sqref>A449</xm:sqref>
            </x14:sparkline>
            <x14:sparkline>
              <xm:f>Stok!I453:AP453</xm:f>
              <xm:sqref>A450</xm:sqref>
            </x14:sparkline>
            <x14:sparkline>
              <xm:f>Stok!I454:AP454</xm:f>
              <xm:sqref>A451</xm:sqref>
            </x14:sparkline>
            <x14:sparkline>
              <xm:f>Stok!I454:AP454</xm:f>
              <xm:sqref>A452</xm:sqref>
            </x14:sparkline>
            <x14:sparkline>
              <xm:sqref>A453</xm:sqref>
            </x14:sparkline>
            <x14:sparkline>
              <xm:sqref>A454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2026-09-15T14:46:20Z</dcterms:modified>
</cp:coreProperties>
</file>