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DA3707AE-C189-4DF0-83A0-A9192CA617D2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Stok!$A$1:$CJ$448</definedName>
    <definedName name="Dilimleyici_Marka">#N/A</definedName>
    <definedName name="Dilimleyici_Ürün_Grubu">#N/A</definedName>
  </definedNames>
  <calcPr calcId="19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2" i="2"/>
  <c r="DO346" i="2"/>
  <c r="DO142" i="2"/>
  <c r="L6" i="6" l="1"/>
  <c r="L7" i="6"/>
  <c r="DN346" i="2"/>
  <c r="DN142" i="2"/>
  <c r="L8" i="6" l="1"/>
  <c r="DM346" i="2" l="1"/>
  <c r="DM142" i="2"/>
  <c r="L9" i="6" l="1"/>
  <c r="X2" i="6" s="1"/>
  <c r="DL346" i="2"/>
  <c r="DL142" i="2"/>
  <c r="DK346" i="2"/>
  <c r="DK142" i="2"/>
  <c r="L10" i="6" l="1"/>
  <c r="DJ346" i="2"/>
  <c r="DJ142" i="2"/>
  <c r="L11" i="6" l="1"/>
  <c r="DI346" i="2"/>
  <c r="DI142" i="2"/>
  <c r="L12" i="6" l="1"/>
  <c r="L13" i="6"/>
  <c r="DH346" i="2" l="1"/>
  <c r="DH142" i="2"/>
  <c r="DG346" i="2"/>
  <c r="DG142" i="2"/>
  <c r="L14" i="6" l="1"/>
  <c r="DF346" i="2"/>
  <c r="DF142" i="2"/>
  <c r="L15" i="6" l="1"/>
  <c r="L16" i="6"/>
  <c r="DE346" i="2"/>
  <c r="DE142" i="2"/>
  <c r="L17" i="6" l="1"/>
  <c r="DD346" i="2"/>
  <c r="DD142" i="2"/>
  <c r="L18" i="6"/>
  <c r="DC142" i="2" l="1"/>
  <c r="DB142" i="2"/>
  <c r="L19" i="6" l="1"/>
  <c r="L20" i="6"/>
  <c r="DA142" i="2"/>
  <c r="L21" i="6" l="1"/>
  <c r="CZ142" i="2"/>
  <c r="L22" i="6" l="1"/>
  <c r="L23" i="6"/>
  <c r="L24" i="6" l="1"/>
  <c r="L25" i="6" l="1"/>
  <c r="L26" i="6" l="1"/>
  <c r="L27" i="6" l="1"/>
  <c r="L28" i="6"/>
  <c r="L29" i="6" l="1"/>
  <c r="L30" i="6" l="1"/>
  <c r="L31" i="6"/>
  <c r="L32" i="6" l="1"/>
  <c r="L33" i="6" l="1"/>
  <c r="L34" i="6" l="1"/>
  <c r="L35" i="6"/>
  <c r="L36" i="6" l="1"/>
  <c r="L37" i="6"/>
  <c r="L38" i="6" l="1"/>
  <c r="L39" i="6" l="1"/>
  <c r="L40" i="6"/>
  <c r="L41" i="6" l="1"/>
  <c r="L42" i="6" l="1"/>
  <c r="L43" i="6" l="1"/>
  <c r="L44" i="6" l="1"/>
  <c r="L45" i="6"/>
  <c r="L46" i="6" l="1"/>
  <c r="L47" i="6" l="1"/>
  <c r="L48" i="6" l="1"/>
  <c r="L49" i="6" l="1"/>
  <c r="L50" i="6" l="1"/>
  <c r="L51" i="6" l="1"/>
  <c r="L52" i="6" l="1"/>
  <c r="BU144" i="2"/>
  <c r="L53" i="6" l="1"/>
  <c r="L54" i="6" l="1"/>
  <c r="BS191" i="2" l="1"/>
  <c r="L55" i="6" l="1"/>
  <c r="L56" i="6" l="1"/>
  <c r="L57" i="6" l="1"/>
  <c r="L58" i="6"/>
  <c r="L59" i="6"/>
  <c r="L60" i="6" l="1"/>
  <c r="L61" i="6"/>
  <c r="L62" i="6" l="1"/>
  <c r="L63" i="6"/>
  <c r="L108" i="6" l="1"/>
  <c r="L64" i="6" l="1"/>
  <c r="L65" i="6" l="1"/>
  <c r="L66" i="6" l="1"/>
  <c r="L67" i="6" l="1"/>
  <c r="L68" i="6" l="1"/>
  <c r="L69" i="6"/>
  <c r="L70" i="6" l="1"/>
  <c r="L71" i="6"/>
  <c r="L72" i="6" l="1"/>
  <c r="G2" i="6" l="1"/>
  <c r="L73" i="6" l="1"/>
  <c r="L74" i="6" l="1"/>
  <c r="L75" i="6" l="1"/>
  <c r="L76" i="6" l="1"/>
  <c r="L77" i="6" l="1"/>
  <c r="L111" i="6" l="1"/>
  <c r="L110" i="6"/>
  <c r="L109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79" i="6"/>
  <c r="L78" i="6"/>
  <c r="L80" i="6"/>
  <c r="L81" i="6" l="1"/>
  <c r="L82" i="6" l="1"/>
  <c r="L83" i="6" l="1"/>
  <c r="L37" i="3" l="1"/>
</calcChain>
</file>

<file path=xl/sharedStrings.xml><?xml version="1.0" encoding="utf-8"?>
<sst xmlns="http://schemas.openxmlformats.org/spreadsheetml/2006/main" count="4708" uniqueCount="1582">
  <si>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</si>
  <si>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</si>
  <si>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</si>
  <si>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</si>
  <si>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</si>
  <si>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</si>
  <si>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</si>
  <si>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</si>
  <si>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</si>
  <si>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</si>
  <si>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</si>
  <si>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</si>
  <si>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</si>
  <si>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</si>
  <si>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</si>
  <si>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</si>
  <si>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</si>
  <si>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</si>
  <si>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</si>
  <si>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</si>
  <si>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</si>
  <si>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</si>
  <si>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</si>
  <si>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</si>
  <si>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</si>
  <si>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</si>
  <si>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</si>
  <si>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</si>
  <si>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</si>
  <si>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</si>
  <si>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</si>
  <si>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</si>
  <si>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</si>
  <si>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</si>
  <si>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</si>
  <si>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</si>
  <si>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</si>
  <si>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</si>
  <si>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</si>
  <si>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</si>
  <si>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</si>
  <si>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</si>
  <si>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</si>
  <si>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</si>
  <si>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</si>
  <si>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</si>
  <si>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</si>
  <si>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</si>
  <si>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</si>
  <si>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</si>
  <si>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</si>
  <si>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</si>
  <si>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</si>
  <si>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</si>
  <si>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</si>
  <si>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</si>
  <si>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</si>
  <si>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</si>
  <si>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</si>
  <si>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</si>
  <si>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</si>
  <si>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</si>
  <si>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</si>
  <si>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</si>
  <si>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</si>
  <si>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</si>
  <si>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</si>
  <si>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</si>
  <si>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</si>
  <si>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</si>
  <si>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</si>
  <si>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</si>
  <si>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</si>
  <si>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</si>
  <si>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</si>
  <si>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</si>
  <si>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</si>
  <si>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</si>
  <si>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</si>
  <si>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</si>
  <si>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</si>
  <si>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</si>
  <si>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</si>
  <si>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</si>
  <si>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</si>
  <si>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</si>
  <si>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</si>
  <si>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</si>
  <si>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</si>
  <si>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</si>
  <si>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</si>
  <si>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</si>
  <si>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</si>
  <si>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</si>
  <si>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</si>
  <si>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</si>
  <si>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</si>
  <si>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</si>
  <si>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</si>
  <si>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</si>
  <si>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</si>
  <si>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</si>
  <si>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</si>
  <si>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</si>
  <si>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</si>
  <si>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</si>
  <si>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</si>
  <si>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</si>
  <si>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</si>
  <si>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</si>
  <si>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</si>
  <si>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</si>
  <si>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</si>
  <si>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</si>
  <si>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</si>
  <si>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</si>
  <si>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</si>
  <si>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</si>
  <si>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</si>
  <si>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</si>
  <si>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</si>
  <si>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</si>
  <si>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</si>
  <si>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</si>
  <si>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</si>
  <si>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</si>
  <si>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</si>
  <si>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</si>
  <si>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</si>
  <si>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</si>
  <si>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</si>
  <si>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</si>
  <si>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</si>
  <si>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</si>
  <si>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</si>
  <si>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</si>
  <si>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</si>
  <si>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</si>
  <si>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</si>
  <si>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</si>
  <si>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</si>
  <si>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</si>
  <si>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</si>
  <si>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</si>
  <si>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</si>
  <si>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</si>
  <si>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</si>
  <si>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</si>
  <si>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</si>
  <si>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</si>
  <si>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</si>
  <si>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</si>
  <si>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</si>
  <si>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</si>
  <si>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</si>
  <si>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</si>
  <si>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</si>
  <si>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</si>
  <si>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</si>
  <si>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</si>
  <si>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</si>
  <si>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</si>
  <si>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</si>
  <si>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</si>
  <si>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</si>
  <si>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</si>
  <si>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</si>
  <si>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</si>
  <si>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</si>
  <si>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</si>
  <si>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</si>
  <si>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</si>
  <si>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</si>
  <si>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</si>
  <si>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</si>
  <si>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</si>
  <si>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</si>
  <si>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</si>
  <si>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</si>
  <si>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</si>
  <si>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</si>
  <si>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</si>
  <si>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</si>
  <si>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</si>
  <si>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</si>
  <si>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</si>
  <si>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</si>
  <si>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</si>
  <si>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</si>
  <si>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</si>
  <si>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</si>
  <si>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</si>
  <si>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</si>
  <si>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</si>
  <si>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</si>
  <si>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</si>
  <si>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</si>
  <si>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</si>
  <si>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</si>
  <si>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</si>
  <si>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</si>
  <si>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</si>
  <si>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</si>
  <si>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</si>
  <si>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</si>
  <si>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</si>
  <si>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</si>
  <si>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</si>
  <si>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</si>
  <si>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</si>
  <si>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</si>
  <si>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</si>
  <si>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</si>
  <si>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</si>
  <si>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</si>
  <si>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</si>
  <si>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</si>
  <si>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</si>
  <si>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</si>
  <si>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</si>
  <si>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</si>
  <si>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</si>
  <si>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</si>
  <si>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</si>
  <si>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</si>
  <si>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</si>
  <si>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</si>
  <si>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</si>
  <si>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</si>
  <si>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</si>
  <si>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</si>
  <si>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</si>
  <si>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</si>
  <si>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</si>
  <si>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</si>
  <si>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</si>
  <si>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</si>
  <si>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</si>
  <si>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</si>
  <si>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</si>
  <si>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</si>
  <si>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</si>
  <si>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</si>
  <si>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</si>
  <si>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</si>
  <si>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</si>
  <si>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</si>
  <si>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</si>
  <si>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</si>
  <si>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</si>
  <si>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</si>
  <si>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</si>
  <si>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</si>
  <si>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</si>
  <si>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</si>
  <si>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</si>
  <si>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</si>
  <si>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</si>
  <si>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</si>
  <si>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</si>
  <si>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</si>
  <si>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</si>
  <si>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</si>
  <si>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</si>
  <si>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</si>
  <si>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</si>
  <si>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</si>
  <si>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</si>
  <si>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</si>
  <si>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</si>
  <si>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</si>
  <si>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</si>
  <si>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</si>
  <si>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</si>
  <si>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</si>
  <si>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</si>
  <si>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</si>
  <si>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</si>
  <si>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</si>
  <si>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</si>
  <si>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</si>
  <si>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</si>
  <si>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</si>
  <si>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</si>
  <si>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</si>
  <si>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</si>
  <si>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</si>
  <si>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</si>
  <si>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</si>
  <si>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</si>
  <si>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</si>
  <si>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</si>
  <si>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</si>
  <si>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</si>
  <si>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</si>
  <si>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</si>
  <si>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</si>
  <si>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</si>
  <si>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</si>
  <si>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</si>
  <si>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</si>
  <si>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</si>
  <si>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</si>
  <si>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</si>
  <si>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</si>
  <si>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</si>
  <si>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</si>
  <si>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</si>
  <si>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</si>
  <si>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</si>
  <si>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</si>
  <si>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</si>
  <si>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</si>
  <si>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</si>
  <si>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</si>
  <si>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</si>
  <si>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</si>
  <si>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</si>
  <si>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</si>
  <si>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</si>
  <si>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</si>
  <si>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</si>
  <si>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</si>
  <si>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</si>
  <si>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</si>
  <si>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</si>
  <si>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</si>
  <si>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</si>
  <si>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</si>
  <si>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</si>
  <si>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</si>
  <si>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</si>
  <si>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</si>
  <si>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</si>
  <si>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</si>
  <si>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</si>
  <si>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</si>
  <si>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</si>
  <si>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</si>
  <si>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</si>
  <si>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</si>
  <si>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</si>
  <si>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</si>
  <si>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</si>
  <si>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</si>
  <si>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</si>
  <si>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</si>
  <si>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</si>
  <si>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</si>
  <si>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</si>
  <si>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</si>
  <si>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</si>
  <si>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</si>
  <si>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</si>
  <si>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</si>
  <si>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</si>
  <si>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</si>
  <si>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</si>
  <si>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</si>
  <si>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</si>
  <si>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</si>
  <si>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</si>
  <si>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</si>
  <si>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</si>
  <si>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</si>
  <si>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</si>
  <si>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</si>
  <si>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</si>
  <si>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</si>
  <si>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</si>
  <si>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</si>
  <si>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</si>
  <si>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</si>
  <si>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</si>
  <si>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</si>
  <si>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</si>
  <si>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</si>
  <si>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</si>
  <si>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</si>
  <si>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</si>
  <si>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</si>
  <si>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</si>
  <si>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</si>
  <si>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</si>
  <si>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</si>
  <si>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</si>
  <si>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</si>
  <si>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</si>
  <si>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</si>
  <si>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</si>
  <si>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</si>
  <si>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</si>
  <si>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</si>
  <si>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</si>
  <si>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</si>
  <si>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</si>
  <si>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</si>
  <si>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</si>
  <si>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</si>
  <si>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</si>
  <si>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</si>
  <si>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</si>
  <si>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</si>
  <si>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</si>
  <si>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</si>
  <si>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</si>
  <si>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</si>
  <si>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</si>
  <si>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</si>
  <si>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</si>
  <si>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</si>
  <si>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</si>
  <si>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</si>
  <si>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</si>
  <si>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</si>
  <si>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</si>
  <si>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</si>
  <si>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</si>
  <si>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</si>
  <si>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</si>
  <si>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</si>
  <si>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</si>
  <si>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</si>
  <si>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</si>
  <si>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</si>
  <si>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</si>
  <si>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</si>
  <si>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</si>
  <si>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</si>
  <si>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</si>
  <si>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</si>
  <si>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</si>
  <si>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</si>
  <si>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</si>
  <si>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</si>
  <si>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</si>
  <si>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</si>
  <si>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</si>
  <si>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</si>
  <si>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</si>
  <si>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</si>
  <si>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</si>
  <si>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</si>
  <si>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</si>
  <si>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</si>
  <si>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</si>
  <si>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</si>
  <si>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</si>
  <si>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</si>
  <si>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</si>
  <si>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</si>
  <si>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</si>
  <si>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</si>
  <si>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</si>
  <si>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</si>
  <si>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</si>
  <si>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</si>
  <si>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</si>
  <si>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</si>
  <si>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</si>
  <si>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</si>
  <si>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</si>
  <si>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</si>
  <si>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</si>
  <si>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</si>
  <si>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</si>
  <si>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</si>
  <si>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</si>
  <si>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</si>
  <si>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</si>
  <si>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</si>
  <si>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</si>
  <si>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</si>
  <si>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</si>
  <si>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</si>
  <si>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</si>
  <si>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</si>
  <si>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</si>
  <si>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</si>
  <si>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</si>
  <si>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</si>
  <si>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</si>
  <si>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</si>
  <si>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</si>
  <si>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</si>
  <si>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</si>
  <si>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</si>
  <si>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</si>
  <si>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</si>
  <si>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</si>
  <si>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</si>
  <si>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</si>
  <si>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</si>
  <si>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</si>
  <si>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</si>
  <si>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</si>
  <si>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</si>
  <si>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</si>
  <si>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</si>
  <si>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</si>
  <si>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</si>
  <si>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</si>
  <si>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</si>
  <si>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</si>
  <si>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</si>
  <si>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</si>
  <si>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</si>
  <si>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</si>
  <si>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</si>
  <si>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</si>
  <si>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</si>
  <si>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</si>
  <si>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</si>
  <si>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</si>
  <si>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</si>
  <si>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</si>
  <si>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</si>
  <si>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</si>
  <si>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</si>
  <si>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</si>
  <si>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</si>
  <si>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</si>
  <si>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</si>
  <si>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</si>
  <si>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</si>
  <si>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</si>
  <si>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</si>
  <si>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</si>
  <si>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</si>
  <si>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</si>
  <si>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</si>
  <si>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</si>
  <si>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</si>
  <si>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</si>
  <si>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</si>
  <si>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</si>
  <si>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</si>
  <si>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</si>
  <si>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</si>
  <si>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</si>
  <si>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</si>
  <si>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</si>
  <si>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</si>
  <si>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</si>
  <si>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</si>
  <si>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</si>
  <si>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</si>
  <si>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</si>
  <si>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</si>
  <si>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</si>
  <si>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</si>
  <si>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</si>
  <si>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</si>
  <si>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</si>
  <si>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</si>
  <si>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</si>
  <si>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</si>
  <si>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</si>
  <si>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</si>
  <si>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</si>
  <si>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</si>
  <si>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</si>
  <si>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</si>
  <si>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</si>
  <si>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</si>
  <si>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</si>
  <si>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</si>
  <si>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</si>
  <si>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</si>
  <si>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</si>
  <si>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</si>
  <si>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</si>
  <si>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</si>
  <si>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</si>
  <si>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</si>
  <si>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</si>
  <si>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</si>
  <si>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</si>
  <si>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</si>
  <si>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</si>
  <si>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</si>
  <si>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</si>
  <si>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</si>
  <si>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</si>
  <si>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</si>
  <si>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</si>
  <si>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</si>
  <si>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</si>
  <si>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</si>
  <si>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</si>
  <si>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</si>
  <si>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</si>
  <si>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</si>
  <si>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</si>
  <si>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</si>
  <si>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</si>
  <si>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</si>
  <si>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</si>
  <si>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</si>
  <si>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</si>
  <si>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</si>
  <si>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</si>
  <si>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</si>
  <si>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</si>
  <si>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</si>
  <si>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</si>
  <si>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</si>
  <si>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</si>
  <si>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</si>
  <si>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</si>
  <si>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</si>
  <si>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</si>
  <si>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</si>
  <si>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</si>
  <si>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</si>
  <si>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</si>
  <si>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</si>
  <si>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</si>
  <si>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</si>
  <si>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</si>
  <si>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</si>
  <si>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</si>
  <si>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</si>
  <si>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</si>
  <si>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</si>
  <si>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</si>
  <si>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</si>
  <si>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</si>
  <si>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</si>
  <si>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</si>
  <si>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</si>
  <si>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</si>
  <si>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</si>
  <si>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</si>
  <si>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</si>
  <si>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</si>
  <si>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</si>
  <si>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</si>
  <si>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</si>
  <si>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</si>
  <si>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</si>
  <si>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</si>
  <si>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</si>
  <si>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</si>
  <si>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</si>
  <si>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</si>
  <si>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</si>
  <si>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</si>
  <si>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</si>
  <si>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</si>
  <si>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</si>
  <si>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</si>
  <si>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</si>
  <si>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</si>
  <si>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</si>
  <si>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</si>
  <si>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</si>
  <si>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</si>
  <si>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</si>
  <si>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</si>
  <si>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</si>
  <si>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</si>
  <si>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</si>
  <si>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</si>
  <si>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</si>
  <si>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</si>
  <si>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</si>
  <si>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</si>
  <si>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</si>
  <si>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</si>
  <si>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</si>
  <si>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</si>
  <si>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</si>
  <si>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</si>
  <si>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</si>
  <si>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</si>
  <si>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</si>
  <si>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</si>
  <si>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</si>
  <si>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</si>
  <si>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</si>
  <si>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</si>
  <si>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</si>
  <si>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</si>
  <si>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</si>
  <si>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</si>
  <si>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</si>
  <si>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</si>
  <si>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</si>
  <si>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</si>
  <si>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</si>
  <si>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</si>
  <si>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</si>
  <si>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</si>
  <si>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</si>
  <si>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</si>
  <si>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</si>
  <si>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</si>
  <si>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</si>
  <si>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</si>
  <si>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</si>
  <si>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</si>
  <si>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</si>
  <si>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</si>
  <si>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</si>
  <si>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</si>
  <si>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</si>
  <si>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</si>
  <si>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</si>
  <si>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</si>
  <si>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</si>
  <si>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</si>
  <si>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</si>
  <si>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</si>
  <si>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</si>
  <si>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</si>
  <si>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</si>
  <si>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</si>
  <si>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</si>
  <si>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</si>
  <si>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</si>
  <si>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</si>
  <si>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</si>
  <si>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</si>
  <si>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</si>
  <si>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</si>
  <si>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</si>
  <si>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</si>
  <si>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</si>
  <si>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</si>
  <si>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</si>
  <si>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</si>
  <si>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</si>
  <si>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</si>
  <si>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</si>
  <si>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</si>
  <si>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</si>
  <si>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</si>
  <si>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</si>
  <si>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</si>
  <si>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</si>
  <si>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</si>
  <si>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</si>
  <si>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</si>
  <si>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</si>
  <si>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</si>
  <si>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</si>
  <si>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</si>
  <si>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</si>
  <si>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</si>
  <si>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</si>
  <si>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</si>
  <si>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</si>
  <si>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</si>
  <si>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</si>
  <si>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</si>
  <si>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</si>
  <si>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</si>
  <si>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</si>
  <si>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</si>
  <si>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</si>
  <si>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</si>
  <si>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</si>
  <si>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</si>
  <si>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</si>
  <si>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</si>
  <si>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</si>
  <si>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</si>
  <si>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</si>
  <si>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</si>
  <si>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</si>
  <si>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</si>
  <si>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</si>
  <si>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</si>
  <si>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</si>
  <si>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</si>
  <si>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</si>
  <si>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</si>
  <si>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</si>
  <si>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</si>
  <si>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</si>
  <si>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</si>
  <si>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</si>
  <si>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</si>
  <si>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</si>
  <si>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</si>
  <si>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</si>
  <si>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</si>
  <si>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</si>
  <si>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</si>
  <si>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</si>
  <si>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</si>
  <si>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</si>
  <si>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</si>
  <si>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</si>
  <si>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</si>
  <si>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</si>
  <si>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</si>
  <si>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</si>
  <si>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</si>
  <si>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</si>
  <si>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</si>
  <si>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</si>
  <si>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</si>
  <si>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</si>
  <si>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</si>
  <si>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</si>
  <si>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</si>
  <si>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</si>
  <si>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</si>
  <si>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</si>
  <si>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</si>
  <si>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</si>
  <si>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</si>
  <si>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</si>
  <si>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</si>
  <si>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</si>
  <si>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</si>
  <si>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</si>
  <si>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</si>
  <si>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</si>
  <si>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</si>
  <si>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</si>
  <si>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</si>
  <si>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</si>
  <si>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</si>
  <si>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</si>
  <si>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</si>
  <si>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</si>
  <si>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</si>
  <si>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</si>
  <si>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</si>
  <si>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</si>
  <si>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</si>
  <si>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</si>
  <si>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</si>
  <si>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</si>
  <si>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</si>
  <si>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</si>
  <si>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</si>
  <si>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</si>
  <si>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</si>
  <si>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</si>
  <si>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</si>
  <si>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</si>
  <si>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</si>
  <si>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</si>
  <si>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</si>
  <si>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</si>
  <si>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</si>
  <si>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</si>
  <si>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</si>
  <si>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</si>
  <si>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</si>
  <si>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</si>
  <si>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</si>
  <si>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</si>
  <si>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</si>
  <si>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</si>
  <si>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</si>
  <si>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</si>
  <si>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</si>
  <si>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</si>
  <si>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</si>
  <si>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</si>
  <si>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</si>
  <si>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</si>
  <si>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</si>
  <si>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</si>
  <si>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</si>
  <si>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</si>
  <si>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</si>
  <si>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</si>
  <si>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</si>
  <si>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</si>
  <si>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</si>
  <si>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</si>
  <si>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</si>
  <si>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</si>
  <si>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</si>
  <si>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</si>
  <si>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</si>
  <si>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</si>
  <si>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</si>
  <si>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</si>
  <si>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</si>
  <si>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</si>
  <si>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</si>
  <si>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</si>
  <si>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</si>
  <si>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</si>
  <si>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</si>
  <si>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</si>
  <si>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</si>
  <si>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</si>
  <si>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</si>
  <si>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</si>
  <si>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</si>
  <si>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</si>
  <si>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</si>
  <si>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</si>
  <si>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</si>
  <si>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</si>
  <si>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</si>
  <si>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</si>
  <si>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</si>
  <si>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</si>
  <si>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</si>
  <si>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</si>
  <si>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</si>
  <si>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</si>
  <si>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</si>
  <si>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</si>
  <si>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</si>
  <si>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</si>
  <si>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</si>
  <si>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</si>
  <si>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</si>
  <si>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</si>
  <si>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</si>
  <si>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</si>
  <si>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</si>
  <si>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</si>
  <si>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</si>
  <si>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</si>
  <si>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</si>
  <si>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</si>
  <si>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</si>
  <si>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</si>
  <si>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</si>
  <si>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</si>
  <si>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</si>
  <si>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</si>
  <si>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</si>
  <si>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</si>
  <si>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</si>
  <si>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</si>
  <si>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</si>
  <si>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</si>
  <si>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</si>
  <si>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</si>
  <si>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</si>
  <si>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</si>
  <si>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</si>
  <si>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</si>
  <si>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</si>
  <si>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</si>
  <si>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</si>
  <si>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</si>
  <si>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</si>
  <si>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</si>
  <si>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</si>
  <si>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</si>
  <si>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</si>
  <si>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</si>
  <si>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</si>
  <si>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</si>
  <si>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</si>
  <si>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</si>
  <si>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</si>
  <si>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</si>
  <si>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</si>
  <si>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</si>
  <si>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</si>
  <si>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</si>
  <si>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</si>
  <si>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</si>
  <si>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</si>
  <si>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</si>
  <si>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</si>
  <si>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</si>
  <si>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</si>
  <si>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</si>
  <si>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</si>
  <si>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</si>
  <si>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</si>
  <si>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</si>
  <si>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</si>
  <si>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</si>
  <si>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</si>
  <si>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</si>
  <si>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</si>
  <si>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</si>
  <si>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</si>
  <si>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</si>
  <si>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</si>
  <si>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</si>
  <si>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</si>
  <si>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</si>
  <si>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</si>
  <si>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</si>
  <si>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</si>
  <si>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</si>
  <si>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</si>
  <si>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</si>
  <si>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</si>
  <si>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</si>
  <si>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</si>
  <si>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</si>
  <si>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</si>
  <si>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</si>
  <si>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</si>
  <si>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</si>
  <si>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</si>
  <si>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</si>
  <si>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</si>
  <si>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</si>
  <si>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</si>
  <si>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</si>
  <si>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</si>
  <si>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</si>
  <si>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</si>
  <si>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</si>
  <si>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</si>
  <si>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</si>
  <si>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</si>
  <si>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</si>
  <si>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</si>
  <si>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</si>
  <si>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</si>
  <si>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</si>
  <si>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</si>
  <si>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</si>
  <si>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</si>
  <si>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</si>
  <si>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</si>
  <si>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</si>
  <si>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</si>
  <si>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</si>
  <si>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</si>
  <si>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</si>
  <si>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</si>
  <si>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</si>
  <si>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</si>
  <si>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</si>
  <si>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</si>
  <si>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</si>
  <si>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</si>
  <si>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</si>
  <si>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</si>
  <si>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</si>
  <si>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</si>
  <si>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</si>
  <si>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</si>
  <si>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</si>
  <si>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</si>
  <si>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</si>
  <si>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</si>
  <si>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</si>
  <si>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</si>
  <si>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</si>
  <si>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</si>
  <si>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</si>
  <si>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</si>
  <si>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</si>
  <si>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</si>
  <si>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</si>
  <si>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</si>
  <si>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</si>
  <si>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</si>
  <si>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</si>
  <si>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</si>
  <si>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</si>
  <si>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</si>
  <si>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</si>
  <si>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</si>
  <si>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</si>
  <si>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</si>
  <si>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</si>
  <si>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</si>
  <si>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</si>
  <si>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</si>
  <si>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</si>
  <si>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</si>
  <si>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</si>
  <si>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</si>
  <si>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</si>
  <si>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</si>
  <si>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</si>
  <si>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</si>
  <si>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</si>
  <si>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</si>
  <si>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</si>
  <si>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</si>
  <si>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</si>
  <si>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</si>
  <si>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</si>
  <si>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</si>
  <si>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</si>
  <si>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</si>
  <si>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</si>
  <si>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</si>
  <si>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</si>
  <si>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</si>
  <si>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</si>
  <si>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</si>
  <si>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</si>
  <si>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</si>
  <si>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</si>
  <si>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</si>
  <si>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</si>
  <si>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</si>
  <si>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</si>
  <si>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</si>
  <si>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</si>
  <si>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</si>
  <si>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</si>
  <si>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</si>
  <si>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</si>
  <si>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</si>
  <si>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</si>
  <si>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</si>
  <si>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</si>
  <si>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</si>
  <si>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</si>
  <si>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</si>
  <si>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</si>
  <si>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</si>
  <si>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</si>
  <si>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</si>
  <si>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</si>
  <si>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</si>
  <si>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</si>
  <si>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</si>
  <si>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</si>
  <si>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</si>
  <si>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</si>
  <si>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</si>
  <si>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</si>
  <si>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</si>
  <si>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</si>
  <si>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</si>
  <si>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</si>
  <si>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</si>
  <si>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</si>
  <si>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</si>
  <si>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</si>
  <si>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</si>
  <si>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</si>
  <si>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</si>
  <si>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</si>
  <si>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</si>
  <si>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</si>
  <si>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</si>
  <si>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</si>
  <si>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</si>
  <si>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</si>
  <si>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</si>
  <si>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</si>
  <si>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</si>
  <si>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</si>
  <si>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</si>
  <si>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</si>
  <si>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</si>
  <si>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</si>
  <si>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</si>
  <si>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</si>
  <si>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</si>
  <si>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</si>
  <si>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</si>
  <si>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</si>
  <si>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</si>
  <si>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</si>
  <si>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</si>
  <si>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</si>
  <si>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</si>
  <si>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</si>
  <si>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</si>
  <si>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</si>
  <si>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</si>
  <si>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</si>
  <si>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</si>
  <si>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</si>
  <si>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</si>
  <si>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</si>
  <si>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</si>
  <si>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</si>
  <si>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</si>
  <si>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</si>
  <si>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</si>
  <si>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</si>
  <si>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</si>
  <si>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</si>
  <si>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</si>
  <si>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</si>
  <si>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</si>
  <si>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</si>
  <si>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</si>
  <si>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</si>
  <si>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</si>
  <si>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</si>
  <si>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</si>
  <si>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</si>
  <si>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</si>
  <si>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</si>
  <si>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</si>
  <si>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</si>
  <si>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</si>
  <si>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</si>
  <si>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</si>
  <si>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</si>
  <si>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</si>
  <si>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</si>
  <si>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</si>
  <si>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</si>
  <si>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</si>
  <si>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</si>
  <si>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</si>
  <si>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</si>
  <si>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</si>
  <si>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</si>
  <si>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</si>
  <si>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</si>
  <si>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</si>
  <si>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</si>
  <si>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</si>
  <si>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</si>
  <si>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</si>
  <si>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</si>
  <si>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</si>
  <si>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</si>
  <si>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</si>
  <si>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</si>
  <si>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</si>
  <si>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</si>
  <si>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</si>
  <si>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</si>
  <si>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</si>
  <si>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</si>
  <si>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</si>
  <si>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</si>
  <si>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</si>
  <si>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</si>
  <si>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</si>
  <si>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</si>
  <si>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</si>
  <si>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</si>
  <si>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</si>
  <si>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</si>
  <si>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</si>
  <si>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</si>
  <si>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</si>
  <si>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</si>
  <si>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</si>
  <si>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</si>
  <si>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</si>
  <si>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</si>
  <si>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</si>
  <si>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</si>
  <si>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</si>
  <si>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</si>
  <si>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</si>
  <si>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</si>
  <si>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</si>
  <si>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</si>
  <si>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</si>
  <si>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</si>
  <si>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</si>
  <si>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</si>
  <si>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</si>
  <si>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</si>
  <si>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</si>
  <si>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</si>
  <si>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</si>
  <si>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</si>
  <si>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</si>
  <si>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</si>
  <si>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</si>
  <si>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</si>
  <si>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</si>
  <si>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</si>
  <si>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</si>
  <si>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</si>
  <si>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</si>
  <si>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</si>
  <si>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</si>
  <si>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</si>
  <si>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</si>
  <si>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</si>
  <si>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</si>
  <si>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</si>
  <si>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</si>
  <si>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</si>
  <si>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</si>
  <si>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</si>
  <si>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</si>
  <si>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</si>
  <si>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</si>
  <si>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</si>
  <si>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</si>
  <si>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</si>
  <si>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</si>
  <si>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</si>
  <si>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</si>
  <si>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</si>
  <si>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</si>
  <si>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</si>
  <si>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</si>
  <si>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</si>
  <si>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</si>
  <si>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</si>
  <si>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</si>
  <si>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</si>
  <si>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</si>
  <si>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</si>
  <si>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</si>
  <si>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</si>
  <si>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</si>
  <si>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</si>
  <si>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</si>
  <si>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</si>
  <si>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</si>
  <si>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</si>
  <si>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</si>
  <si>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</si>
  <si>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</si>
  <si>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</si>
  <si>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</si>
  <si>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</si>
  <si>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</si>
  <si>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</si>
  <si>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</si>
  <si>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</si>
  <si>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</si>
  <si>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</si>
  <si>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</si>
  <si>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</si>
  <si>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</si>
  <si>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</si>
  <si>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</si>
  <si>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</si>
  <si>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</si>
  <si>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</si>
  <si>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</si>
  <si>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</si>
  <si>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</si>
  <si>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</si>
  <si>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</si>
  <si>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</si>
  <si>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</si>
  <si>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</si>
  <si>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</si>
  <si>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</si>
  <si>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</si>
  <si>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</si>
  <si>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</si>
  <si>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</si>
  <si>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</si>
  <si>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</si>
  <si>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</si>
  <si>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</si>
  <si>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</si>
  <si>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</si>
  <si>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</si>
  <si>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</si>
  <si>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</si>
  <si>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</si>
  <si>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</si>
  <si>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</si>
  <si>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</si>
  <si>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</si>
  <si>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</si>
  <si>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</si>
  <si>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</si>
  <si>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</si>
  <si>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</si>
  <si>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</si>
  <si>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</si>
  <si>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</si>
  <si>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</si>
  <si>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</si>
  <si>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</si>
  <si>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</si>
  <si>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</si>
  <si>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</si>
  <si>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</si>
  <si>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</si>
  <si>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</si>
  <si>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</si>
  <si>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</si>
  <si>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</si>
  <si>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</si>
  <si>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</si>
  <si>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</si>
  <si>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</si>
  <si>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</si>
  <si>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</si>
  <si>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</si>
  <si>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</si>
  <si>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</si>
  <si>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</si>
  <si>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</si>
  <si>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</si>
  <si>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</si>
  <si>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</si>
  <si>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</si>
  <si>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</si>
  <si>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</si>
  <si>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</si>
  <si>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</si>
  <si>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</si>
  <si>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</si>
  <si>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</si>
  <si>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</si>
  <si>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</si>
  <si>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</si>
  <si>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</si>
  <si>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</si>
  <si>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</si>
  <si>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</si>
  <si>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</si>
  <si>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</si>
  <si>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</si>
  <si>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</si>
  <si>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</si>
  <si>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</si>
  <si>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</si>
  <si>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</si>
  <si>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</si>
  <si>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</si>
  <si>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</si>
  <si>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</si>
  <si>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</si>
  <si>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</si>
  <si>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</si>
  <si>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</si>
  <si>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</si>
  <si>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</si>
  <si>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</si>
  <si>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</si>
  <si>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</si>
  <si>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</si>
  <si>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</si>
  <si>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</si>
  <si>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</si>
  <si>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</si>
  <si>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</si>
  <si>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</si>
  <si>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</si>
  <si>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</si>
  <si>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</si>
  <si>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</si>
  <si>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</si>
  <si>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</si>
  <si>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</si>
  <si>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</si>
  <si>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</si>
  <si>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</si>
  <si>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</si>
  <si>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</si>
  <si>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</si>
  <si>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</si>
  <si>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</si>
  <si>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</si>
  <si>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</si>
  <si>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</si>
  <si>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</si>
  <si>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</si>
  <si>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</si>
  <si>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</si>
  <si>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</si>
  <si>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</si>
  <si>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</si>
  <si>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</si>
  <si>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</si>
  <si>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</si>
  <si>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</si>
  <si>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</si>
  <si>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</si>
  <si>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</si>
  <si>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</si>
  <si>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</si>
  <si>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</si>
  <si>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</si>
  <si>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</si>
  <si>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</si>
  <si>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</si>
  <si>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</si>
  <si>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</si>
  <si>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</si>
  <si>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</si>
  <si>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</si>
  <si>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</si>
  <si>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</si>
  <si>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</si>
  <si>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</si>
  <si>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</si>
  <si>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</si>
  <si>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</si>
  <si>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</si>
  <si>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</si>
  <si>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</si>
  <si>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</si>
  <si>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</si>
  <si>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</si>
  <si>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</si>
  <si>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</si>
  <si>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</si>
  <si>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</si>
  <si>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</si>
  <si>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</si>
  <si>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</si>
  <si>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</si>
  <si>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</si>
  <si>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</si>
  <si>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</si>
  <si>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</si>
  <si>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</si>
  <si>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</si>
  <si>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</si>
  <si>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</si>
  <si>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</si>
  <si>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</si>
  <si>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</si>
  <si>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</si>
  <si>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</si>
  <si>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</si>
  <si>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</si>
  <si>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</si>
  <si>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</si>
  <si>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</si>
  <si>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</si>
  <si>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</si>
  <si>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</si>
  <si>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</si>
  <si>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</si>
  <si>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</si>
  <si>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</si>
  <si>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</si>
  <si>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</si>
  <si>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</si>
  <si>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</si>
  <si>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</si>
  <si>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</si>
  <si>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</si>
  <si>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</si>
  <si>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</si>
  <si>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</si>
  <si>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</si>
  <si>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</si>
  <si>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</si>
  <si>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</si>
  <si>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</si>
  <si>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</si>
  <si>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</si>
  <si>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</si>
  <si>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</si>
  <si>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</si>
  <si>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</si>
  <si>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</si>
  <si>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</si>
  <si>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</si>
  <si>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</si>
  <si>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</si>
  <si>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</si>
  <si>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</si>
  <si>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</si>
  <si>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</si>
  <si>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</si>
  <si>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</si>
  <si>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</si>
  <si>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</si>
  <si>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</si>
  <si>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</si>
  <si>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</si>
  <si>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</si>
  <si>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</si>
  <si>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</si>
  <si>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</si>
  <si>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</si>
  <si>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</si>
  <si>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</si>
  <si>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</si>
  <si>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</si>
  <si>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Güncelleme Tarihi 31.08.2026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</si>
  <si>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</si>
  <si>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</si>
  <si>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</si>
  <si>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</si>
  <si>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</si>
  <si>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</si>
  <si>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Toplam Stok Miktarı
31.08.2026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</si>
</sst>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0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Dashboard!$K$6:$K$111</c:f>
              <c:numCache>
                <c:formatCode>m/d/yyyy</c:formatCode>
                <c:ptCount val="106"/>
                <c:pt idx="0">
                  <c:v>46265</c:v>
                </c:pt>
                <c:pt idx="1">
                  <c:v>46258</c:v>
                </c:pt>
                <c:pt idx="2">
                  <c:v>46251</c:v>
                </c:pt>
                <c:pt idx="3">
                  <c:v>46244</c:v>
                </c:pt>
                <c:pt idx="4">
                  <c:v>46237</c:v>
                </c:pt>
                <c:pt idx="5">
                  <c:v>46223</c:v>
                </c:pt>
                <c:pt idx="6">
                  <c:v>46216</c:v>
                </c:pt>
                <c:pt idx="7">
                  <c:v>46209</c:v>
                </c:pt>
                <c:pt idx="8">
                  <c:v>46202</c:v>
                </c:pt>
                <c:pt idx="9">
                  <c:v>46195</c:v>
                </c:pt>
                <c:pt idx="10">
                  <c:v>46188</c:v>
                </c:pt>
                <c:pt idx="11">
                  <c:v>46181</c:v>
                </c:pt>
                <c:pt idx="12">
                  <c:v>46174</c:v>
                </c:pt>
                <c:pt idx="13">
                  <c:v>46160</c:v>
                </c:pt>
                <c:pt idx="14">
                  <c:v>46153</c:v>
                </c:pt>
                <c:pt idx="15">
                  <c:v>46146</c:v>
                </c:pt>
                <c:pt idx="16">
                  <c:v>46139</c:v>
                </c:pt>
                <c:pt idx="17">
                  <c:v>46132</c:v>
                </c:pt>
                <c:pt idx="18">
                  <c:v>46125</c:v>
                </c:pt>
                <c:pt idx="19">
                  <c:v>46118</c:v>
                </c:pt>
                <c:pt idx="20">
                  <c:v>46111</c:v>
                </c:pt>
                <c:pt idx="21">
                  <c:v>46104</c:v>
                </c:pt>
                <c:pt idx="22">
                  <c:v>46097</c:v>
                </c:pt>
                <c:pt idx="23">
                  <c:v>46090</c:v>
                </c:pt>
                <c:pt idx="24">
                  <c:v>46083</c:v>
                </c:pt>
                <c:pt idx="25">
                  <c:v>46076</c:v>
                </c:pt>
                <c:pt idx="26">
                  <c:v>46069</c:v>
                </c:pt>
                <c:pt idx="27">
                  <c:v>46062</c:v>
                </c:pt>
                <c:pt idx="28">
                  <c:v>46055</c:v>
                </c:pt>
                <c:pt idx="29">
                  <c:v>46048</c:v>
                </c:pt>
                <c:pt idx="30">
                  <c:v>46041</c:v>
                </c:pt>
                <c:pt idx="31">
                  <c:v>46034</c:v>
                </c:pt>
                <c:pt idx="32">
                  <c:v>46027</c:v>
                </c:pt>
                <c:pt idx="33">
                  <c:v>46020</c:v>
                </c:pt>
                <c:pt idx="34">
                  <c:v>46013</c:v>
                </c:pt>
                <c:pt idx="35">
                  <c:v>46006</c:v>
                </c:pt>
                <c:pt idx="36">
                  <c:v>45999</c:v>
                </c:pt>
                <c:pt idx="37">
                  <c:v>45992</c:v>
                </c:pt>
                <c:pt idx="38">
                  <c:v>45985</c:v>
                </c:pt>
                <c:pt idx="39">
                  <c:v>45978</c:v>
                </c:pt>
                <c:pt idx="40">
                  <c:v>45971</c:v>
                </c:pt>
                <c:pt idx="41">
                  <c:v>45964</c:v>
                </c:pt>
                <c:pt idx="42">
                  <c:v>45950</c:v>
                </c:pt>
                <c:pt idx="43">
                  <c:v>45943</c:v>
                </c:pt>
                <c:pt idx="44">
                  <c:v>45936</c:v>
                </c:pt>
                <c:pt idx="45">
                  <c:v>45929</c:v>
                </c:pt>
                <c:pt idx="46">
                  <c:v>45919</c:v>
                </c:pt>
                <c:pt idx="47">
                  <c:v>45908</c:v>
                </c:pt>
                <c:pt idx="48">
                  <c:v>45896</c:v>
                </c:pt>
                <c:pt idx="49">
                  <c:v>45866</c:v>
                </c:pt>
                <c:pt idx="50">
                  <c:v>45840</c:v>
                </c:pt>
                <c:pt idx="51">
                  <c:v>45824</c:v>
                </c:pt>
                <c:pt idx="52">
                  <c:v>45805</c:v>
                </c:pt>
                <c:pt idx="53">
                  <c:v>45797</c:v>
                </c:pt>
                <c:pt idx="54">
                  <c:v>45783</c:v>
                </c:pt>
                <c:pt idx="55">
                  <c:v>45769</c:v>
                </c:pt>
                <c:pt idx="56">
                  <c:v>45762</c:v>
                </c:pt>
                <c:pt idx="57">
                  <c:v>45750</c:v>
                </c:pt>
                <c:pt idx="58">
                  <c:v>45741</c:v>
                </c:pt>
                <c:pt idx="59">
                  <c:v>45736</c:v>
                </c:pt>
                <c:pt idx="60">
                  <c:v>45726</c:v>
                </c:pt>
                <c:pt idx="61">
                  <c:v>45723</c:v>
                </c:pt>
                <c:pt idx="62">
                  <c:v>45716</c:v>
                </c:pt>
                <c:pt idx="63">
                  <c:v>45712</c:v>
                </c:pt>
                <c:pt idx="64">
                  <c:v>45705</c:v>
                </c:pt>
                <c:pt idx="65">
                  <c:v>45702</c:v>
                </c:pt>
                <c:pt idx="66">
                  <c:v>45698</c:v>
                </c:pt>
                <c:pt idx="67">
                  <c:v>45691</c:v>
                </c:pt>
                <c:pt idx="68">
                  <c:v>45684</c:v>
                </c:pt>
                <c:pt idx="69">
                  <c:v>45677</c:v>
                </c:pt>
                <c:pt idx="70">
                  <c:v>45672</c:v>
                </c:pt>
                <c:pt idx="71">
                  <c:v>45656</c:v>
                </c:pt>
                <c:pt idx="72">
                  <c:v>45649</c:v>
                </c:pt>
                <c:pt idx="73">
                  <c:v>45642</c:v>
                </c:pt>
                <c:pt idx="74">
                  <c:v>45635</c:v>
                </c:pt>
                <c:pt idx="75">
                  <c:v>45630</c:v>
                </c:pt>
                <c:pt idx="76">
                  <c:v>45614</c:v>
                </c:pt>
                <c:pt idx="77">
                  <c:v>45608</c:v>
                </c:pt>
                <c:pt idx="78">
                  <c:v>45596</c:v>
                </c:pt>
                <c:pt idx="79">
                  <c:v>45580</c:v>
                </c:pt>
                <c:pt idx="80">
                  <c:v>45570</c:v>
                </c:pt>
                <c:pt idx="81">
                  <c:v>45563</c:v>
                </c:pt>
                <c:pt idx="82">
                  <c:v>45552</c:v>
                </c:pt>
                <c:pt idx="83">
                  <c:v>45539</c:v>
                </c:pt>
                <c:pt idx="84">
                  <c:v>45524</c:v>
                </c:pt>
                <c:pt idx="85">
                  <c:v>45511</c:v>
                </c:pt>
                <c:pt idx="86">
                  <c:v>45500</c:v>
                </c:pt>
                <c:pt idx="87">
                  <c:v>45490</c:v>
                </c:pt>
                <c:pt idx="88">
                  <c:v>45478</c:v>
                </c:pt>
                <c:pt idx="89">
                  <c:v>45467</c:v>
                </c:pt>
                <c:pt idx="90">
                  <c:v>45455</c:v>
                </c:pt>
                <c:pt idx="91">
                  <c:v>45442</c:v>
                </c:pt>
                <c:pt idx="92">
                  <c:v>45427</c:v>
                </c:pt>
                <c:pt idx="93">
                  <c:v>45427</c:v>
                </c:pt>
                <c:pt idx="94">
                  <c:v>45411</c:v>
                </c:pt>
                <c:pt idx="95">
                  <c:v>45397</c:v>
                </c:pt>
                <c:pt idx="96">
                  <c:v>45376</c:v>
                </c:pt>
                <c:pt idx="97">
                  <c:v>45364</c:v>
                </c:pt>
                <c:pt idx="98">
                  <c:v>45352</c:v>
                </c:pt>
                <c:pt idx="99">
                  <c:v>45334</c:v>
                </c:pt>
                <c:pt idx="100">
                  <c:v>45320</c:v>
                </c:pt>
                <c:pt idx="101">
                  <c:v>45313</c:v>
                </c:pt>
                <c:pt idx="102">
                  <c:v>45293</c:v>
                </c:pt>
                <c:pt idx="103">
                  <c:v>45285</c:v>
                </c:pt>
                <c:pt idx="104">
                  <c:v>45275</c:v>
                </c:pt>
                <c:pt idx="105">
                  <c:v>45173</c:v>
                </c:pt>
              </c:numCache>
            </c:numRef>
          </c:cat>
          <c:val>
            <c:numRef>
              <c:f>Dashboard!$L$6:$L$111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65.431042939817" createdVersion="8" refreshedVersion="8" minRefreshableVersion="3" recordCount="447" xr:uid="{15697C46-17E5-448C-8601-B0CD8355A11B}">
  <cacheSource type="worksheet">
    <worksheetSource ref="A1:DO448" sheet="Stok"/>
  </cacheSource>
  <cacheFields count="119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4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9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100013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23.471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</r>
  <r>
    <m/>
    <x v="305"/>
    <s v="43 inch LED 3840 x 2160 Endüstriyel Monitör"/>
    <x v="22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</r>
  <r>
    <m/>
    <x v="331"/>
    <s v="8-Port 100/1000M electric interfaces, 2-Port 1G SFP interfaces, 150W PoE&amp;PoE+, Single AC Power"/>
    <x v="27"/>
    <x v="0"/>
    <m/>
    <m/>
    <m/>
    <m/>
    <m/>
    <m/>
    <m/>
    <n v="102.06"/>
    <n v="28678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627.68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Secure Mounting Bracket for R-series"/>
    <x v="33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Barkod okuyucu kablosu"/>
    <x v="36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2"/>
    <s v="Ethernet Kartı 25G Dual Port"/>
    <x v="37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3"/>
    <s v="Xilinx Alveo X3522 Low Latency Network Adapter"/>
    <x v="38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E2AC6A-0F75-48EB-A6DC-84BD967EAC16}" name="PivotTable4" cacheId="11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90" firstHeaderRow="0" firstDataRow="1" firstDataCol="1"/>
  <pivotFields count="119">
    <pivotField showAll="0"/>
    <pivotField axis="axisRow" showAll="0" sortType="ascending">
      <items count="445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3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1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2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0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7"/>
        <item x="28"/>
        <item x="23"/>
        <item x="29"/>
        <item x="31"/>
        <item x="33"/>
        <item x="34"/>
        <item x="36"/>
        <item x="2"/>
        <item x="26"/>
        <item x="19"/>
        <item x="35"/>
        <item x="38"/>
        <item x="32"/>
        <item x="18"/>
        <item x="30"/>
        <item x="25"/>
        <item x="27"/>
        <item x="14"/>
        <item x="24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85">
    <i>
      <x/>
    </i>
    <i r="1">
      <x v="97"/>
    </i>
    <i r="1">
      <x v="98"/>
    </i>
    <i>
      <x v="1"/>
    </i>
    <i r="1">
      <x v="51"/>
    </i>
    <i r="1">
      <x v="96"/>
    </i>
    <i r="1">
      <x v="306"/>
    </i>
    <i r="1">
      <x v="342"/>
    </i>
    <i r="1">
      <x v="344"/>
    </i>
    <i r="1">
      <x v="345"/>
    </i>
    <i r="1">
      <x v="346"/>
    </i>
    <i r="1">
      <x v="347"/>
    </i>
    <i r="1">
      <x v="350"/>
    </i>
    <i r="1">
      <x v="351"/>
    </i>
    <i r="1">
      <x v="392"/>
    </i>
    <i r="1">
      <x v="397"/>
    </i>
    <i r="1">
      <x v="398"/>
    </i>
    <i r="1">
      <x v="400"/>
    </i>
    <i r="1">
      <x v="401"/>
    </i>
    <i r="1">
      <x v="402"/>
    </i>
    <i>
      <x v="2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5"/>
    </i>
    <i r="1">
      <x v="86"/>
    </i>
    <i r="1">
      <x v="114"/>
    </i>
    <i r="1">
      <x v="115"/>
    </i>
    <i r="1">
      <x v="120"/>
    </i>
    <i r="1">
      <x v="121"/>
    </i>
    <i r="1">
      <x v="302"/>
    </i>
    <i r="1">
      <x v="303"/>
    </i>
    <i r="1">
      <x v="399"/>
    </i>
    <i r="1">
      <x v="427"/>
    </i>
    <i r="1">
      <x v="429"/>
    </i>
    <i r="1">
      <x v="436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2"/>
    </i>
    <i r="1">
      <x v="290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>
      <x v="6"/>
    </i>
    <i r="1">
      <x v="1"/>
    </i>
    <i r="1">
      <x v="29"/>
    </i>
    <i r="1">
      <x v="30"/>
    </i>
    <i r="1">
      <x v="31"/>
    </i>
    <i r="1">
      <x v="38"/>
    </i>
    <i r="1">
      <x v="363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369"/>
    </i>
    <i r="1">
      <x v="370"/>
    </i>
    <i r="1">
      <x v="371"/>
    </i>
    <i r="1">
      <x v="372"/>
    </i>
    <i r="1">
      <x v="373"/>
    </i>
    <i>
      <x v="11"/>
    </i>
    <i r="1">
      <x v="135"/>
    </i>
    <i r="1">
      <x v="136"/>
    </i>
    <i r="1">
      <x v="301"/>
    </i>
    <i>
      <x v="12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430"/>
    </i>
    <i>
      <x v="13"/>
    </i>
    <i r="1">
      <x v="37"/>
    </i>
    <i r="1">
      <x v="49"/>
    </i>
    <i r="1">
      <x v="129"/>
    </i>
    <i r="1">
      <x v="343"/>
    </i>
    <i>
      <x v="14"/>
    </i>
    <i r="1">
      <x v="41"/>
    </i>
    <i r="1">
      <x v="42"/>
    </i>
    <i r="1">
      <x v="56"/>
    </i>
    <i r="1">
      <x v="438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7"/>
    </i>
    <i>
      <x v="18"/>
    </i>
    <i r="1">
      <x v="40"/>
    </i>
    <i r="1">
      <x v="52"/>
    </i>
    <i r="1">
      <x v="54"/>
    </i>
    <i>
      <x v="19"/>
    </i>
    <i r="1">
      <x v="352"/>
    </i>
    <i>
      <x v="20"/>
    </i>
    <i r="1">
      <x v="297"/>
    </i>
    <i r="1">
      <x v="298"/>
    </i>
    <i r="1">
      <x v="299"/>
    </i>
    <i r="1">
      <x v="300"/>
    </i>
    <i>
      <x v="21"/>
    </i>
    <i r="1">
      <x v="11"/>
    </i>
    <i r="1">
      <x v="113"/>
    </i>
    <i r="1">
      <x v="304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5"/>
    </i>
    <i r="1">
      <x v="396"/>
    </i>
    <i r="1">
      <x v="432"/>
    </i>
    <i r="1">
      <x v="434"/>
    </i>
    <i>
      <x v="22"/>
    </i>
    <i r="1">
      <x v="435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30"/>
    </i>
    <i r="1">
      <x v="13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64"/>
    </i>
    <i r="1">
      <x v="365"/>
    </i>
    <i r="1">
      <x v="368"/>
    </i>
    <i r="1">
      <x v="375"/>
    </i>
    <i r="1">
      <x v="376"/>
    </i>
    <i r="1">
      <x v="377"/>
    </i>
    <i r="1">
      <x v="424"/>
    </i>
    <i r="1">
      <x v="425"/>
    </i>
    <i r="1">
      <x v="439"/>
    </i>
    <i>
      <x v="25"/>
    </i>
    <i r="1">
      <x v="39"/>
    </i>
    <i r="1">
      <x v="393"/>
    </i>
    <i r="1">
      <x v="394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0"/>
    </i>
    <i r="1">
      <x v="441"/>
    </i>
    <i r="1">
      <x v="442"/>
    </i>
    <i r="1">
      <x v="443"/>
    </i>
    <i>
      <x v="26"/>
    </i>
    <i r="1">
      <x v="119"/>
    </i>
    <i>
      <x v="27"/>
    </i>
    <i r="1">
      <x v="116"/>
    </i>
    <i r="1">
      <x v="117"/>
    </i>
    <i r="1">
      <x v="118"/>
    </i>
    <i r="1">
      <x v="123"/>
    </i>
    <i r="1">
      <x v="428"/>
    </i>
    <i>
      <x v="28"/>
    </i>
    <i r="1">
      <x v="431"/>
    </i>
    <i>
      <x v="29"/>
    </i>
    <i r="1">
      <x v="134"/>
    </i>
    <i r="1">
      <x v="348"/>
    </i>
    <i r="1">
      <x v="349"/>
    </i>
    <i>
      <x v="30"/>
    </i>
    <i r="1">
      <x v="9"/>
    </i>
    <i>
      <x v="31"/>
    </i>
    <i r="1">
      <x v="99"/>
    </i>
    <i>
      <x v="32"/>
    </i>
    <i r="1">
      <x v="433"/>
    </i>
    <i>
      <x v="33"/>
    </i>
    <i r="1">
      <x v="354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40"/>
    </i>
    <i r="1">
      <x v="341"/>
    </i>
    <i r="1">
      <x v="378"/>
    </i>
    <i r="1">
      <x v="379"/>
    </i>
    <i r="1">
      <x v="391"/>
    </i>
    <i>
      <x v="38"/>
    </i>
    <i r="1">
      <x v="100"/>
    </i>
    <i r="1">
      <x v="35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31.08.2026" fld="118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6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1"/>
            <x v="56"/>
            <x v="438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37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34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35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39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0"/>
            <x v="441"/>
            <x v="443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6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1"/>
            <x v="56"/>
            <x v="438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37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34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35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39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0"/>
            <x v="441"/>
            <x v="443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39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4"/>
          </reference>
        </references>
      </pivotArea>
    </format>
    <format dxfId="18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100013705">
      <items count="39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7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8" s="1"/>
        <i x="3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100013705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1" totalsRowShown="0" headerRowDxfId="6" dataDxfId="4" headerRowBorderDxfId="5" tableBorderDxfId="3" totalsRowBorderDxfId="2">
  <autoFilter ref="K5:L111" xr:uid="{E5E02A0B-EBAC-497B-8F95-E1A614B153BB}">
    <filterColumn colId="0" hiddenButton="1"/>
    <filterColumn colId="1" hiddenButton="1"/>
  </autoFilter>
  <sortState xmlns:xlrd2="http://schemas.microsoft.com/office/spreadsheetml/2017/richdata2" ref="K6:L111">
    <sortCondition descending="1" ref="K83:K111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IFERROR(VLOOKUP($A$2,Stok!$B$1:$AM$448,7,0),"")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6"/>
  <sheetViews>
    <sheetView tabSelected="1" zoomScale="75" zoomScaleNormal="75" workbookViewId="0">
      <pane ySplit="3" topLeftCell="A4" activePane="bottomLeft" state="frozenSplit"/>
      <selection pane="bottomLeft" activeCell="F26" sqref="F26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1574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IFERROR(VLOOKUP(A2,Stok!B1:BA448,2,0),"")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L9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1581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138">
        <v>46265</v>
      </c>
      <c r="L6" s="139" t="str">
        <f>IFERROR(VLOOKUP($A$2,Stok!$B$1:$DO$446,118,0),"")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46258</v>
      </c>
      <c r="L7" s="59" t="str">
        <f>IFERROR(VLOOKUP($A$2,Stok!$B$1:$DN$448,117,0),"")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46251</v>
      </c>
      <c r="L8" s="59" t="str">
        <f>IFERROR(VLOOKUP($A$2,Stok!$B$1:$DM$448,116,0),"")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46244</v>
      </c>
      <c r="L9" s="59" t="str">
        <f>IFERROR(VLOOKUP($A$2,Stok!$B$1:$DL$448,115,0),"")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46237</v>
      </c>
      <c r="L10" s="59" t="str">
        <f>IFERROR(VLOOKUP($A$2,Stok!$B$1:$DK$448,114,0),"")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46223</v>
      </c>
      <c r="L11" s="59" t="str">
        <f>IFERROR(VLOOKUP($A$2,Stok!$B$1:$DJ$448,113,0),"")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46216</v>
      </c>
      <c r="L12" s="59" t="str">
        <f>IFERROR(VLOOKUP($A$2,Stok!$B$1:$DI$448,112,0),"")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46209</v>
      </c>
      <c r="L13" s="59" t="str">
        <f>IFERROR(VLOOKUP($A$2,Stok!$B$1:$DH$448,111,0),"")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46202</v>
      </c>
      <c r="L14" s="59" t="str">
        <f>IFERROR(VLOOKUP($A$2,Stok!$B$1:$DG$448,110,0),"")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46195</v>
      </c>
      <c r="L15" s="59" t="str">
        <f>IFERROR(VLOOKUP($A$2,Stok!$B$1:$DF$448,109,0),"")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46188</v>
      </c>
      <c r="L16" s="59" t="str">
        <f>IFERROR(VLOOKUP($A$2,Stok!$B$1:$DE$448,108,0),"")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46181</v>
      </c>
      <c r="L17" s="59" t="str">
        <f>IFERROR(VLOOKUP($A$2,Stok!$B$1:$DD$448,107,0),"")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46174</v>
      </c>
      <c r="L18" s="59" t="str">
        <f>IFERROR(VLOOKUP($A$2,Stok!$B$1:$DC$448,106,0),"")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46160</v>
      </c>
      <c r="L19" s="59" t="str">
        <f>IFERROR(VLOOKUP($A$2,Stok!$B$1:$DB$448,105,0),"")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46153</v>
      </c>
      <c r="L20" s="59" t="str">
        <f>IFERROR(VLOOKUP($A$2,Stok!$B$1:$DA$448,104,0),"")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46146</v>
      </c>
      <c r="L21" s="59" t="str">
        <f>IFERROR(VLOOKUP($A$2,Stok!$B$1:$CZ$448,103,0),"")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46139</v>
      </c>
      <c r="L22" s="59" t="str">
        <f>IFERROR(VLOOKUP($A$2,Stok!$B$1:$CY$448,102,0),"")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46132</v>
      </c>
      <c r="L23" s="59" t="str">
        <f>IFERROR(VLOOKUP($A$2,Stok!$B$1:$CX$448,101,0),"")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46125</v>
      </c>
      <c r="L24" s="59" t="str">
        <f>IFERROR(VLOOKUP($A$2,Stok!$B$1:$CW$448,100,0),"")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46118</v>
      </c>
      <c r="L25" s="59" t="str">
        <f>IFERROR(VLOOKUP($A$2,Stok!$B$1:$CV$448,99,0),"")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3">
        <v>845</v>
      </c>
      <c r="J26" s="53"/>
      <c r="K26" s="58">
        <v>46111</v>
      </c>
      <c r="L26" s="59" t="str">
        <f>IFERROR(VLOOKUP($A$2,Stok!$B$1:$CU$448,98,0),"")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46104</v>
      </c>
      <c r="L27" s="59" t="str">
        <f>IFERROR(VLOOKUP($A$2,Stok!$B$1:$CT$448,97,0),"")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46097</v>
      </c>
      <c r="L28" s="59" t="str">
        <f>IFERROR(VLOOKUP($A$2,Stok!$B$1:$CS$448,96,0),"")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46090</v>
      </c>
      <c r="L29" s="59" t="str">
        <f>IFERROR(VLOOKUP($A$2,Stok!$B$1:$CR$448,95,0),"")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46083</v>
      </c>
      <c r="L30" s="59" t="str">
        <f>IFERROR(VLOOKUP($A$2,Stok!$B$1:$CQ$448,94,0),"")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46076</v>
      </c>
      <c r="L31" s="59" t="str">
        <f>IFERROR(VLOOKUP($A$2,Stok!$B$1:$CP$448,93,0),"")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46069</v>
      </c>
      <c r="L32" s="59" t="str">
        <f>IFERROR(VLOOKUP($A$2,Stok!$B$1:$CO$448,92,0),"")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46062</v>
      </c>
      <c r="L33" s="59" t="str">
        <f>IFERROR(VLOOKUP($A$2,Stok!$B$1:$CN$448,91,0),"")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3">
        <v>30</v>
      </c>
      <c r="J34" s="53"/>
      <c r="K34" s="58">
        <v>46055</v>
      </c>
      <c r="L34" s="59" t="str">
        <f>IFERROR(VLOOKUP($A$2,Stok!$B$1:$CM$448,90,0),"")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3">
        <v>10</v>
      </c>
      <c r="J35" s="53"/>
      <c r="K35" s="58">
        <v>46048</v>
      </c>
      <c r="L35" s="59" t="str">
        <f>IFERROR(VLOOKUP($A$2,Stok!$B$1:$CL$448,89,0),"")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3">
        <v>2</v>
      </c>
      <c r="J36" s="53"/>
      <c r="K36" s="58">
        <v>46041</v>
      </c>
      <c r="L36" s="59" t="str">
        <f>IFERROR(VLOOKUP($A$2,Stok!$B$1:$CK$448,88,0),"")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3">
        <v>2</v>
      </c>
      <c r="J37" s="53"/>
      <c r="K37" s="58">
        <v>46034</v>
      </c>
      <c r="L37" s="59" t="str">
        <f>IFERROR(VLOOKUP($A$2,Stok!$B$1:$CJ$448,87,0),"")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3">
        <v>13</v>
      </c>
      <c r="J38" s="53"/>
      <c r="K38" s="58">
        <v>46027</v>
      </c>
      <c r="L38" s="59" t="str">
        <f>IFERROR(VLOOKUP($A$2,Stok!$B$1:$CI$448,86,0),"")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3">
        <v>2</v>
      </c>
      <c r="J39" s="53"/>
      <c r="K39" s="58">
        <v>46020</v>
      </c>
      <c r="L39" s="59" t="str">
        <f>IFERROR(VLOOKUP($A$2,Stok!$B$1:$CH$448,85,0),"")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3">
        <v>2</v>
      </c>
      <c r="J40" s="53"/>
      <c r="K40" s="58">
        <v>46013</v>
      </c>
      <c r="L40" s="59" t="str">
        <f>IFERROR(VLOOKUP($A$2,Stok!$B$1:$CG$448,84,0),"")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3">
        <v>42</v>
      </c>
      <c r="J41" s="53"/>
      <c r="K41" s="58">
        <v>46006</v>
      </c>
      <c r="L41" s="59" t="str">
        <f>IFERROR(VLOOKUP($A$2,Stok!$B$1:$CF$448,83,0),"")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3">
        <v>1</v>
      </c>
      <c r="J42" s="53"/>
      <c r="K42" s="58">
        <v>45999</v>
      </c>
      <c r="L42" s="59" t="str">
        <f>IFERROR(VLOOKUP($A$2,Stok!$B$1:$CE$448,82,0),"")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3">
        <v>0</v>
      </c>
      <c r="J43" s="53"/>
      <c r="K43" s="58">
        <v>45992</v>
      </c>
      <c r="L43" s="59" t="str">
        <f>IFERROR(VLOOKUP($A$2,Stok!$B$1:$CD$448,81,0),"")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3">
        <v>1</v>
      </c>
      <c r="J44" s="53"/>
      <c r="K44" s="58">
        <v>45985</v>
      </c>
      <c r="L44" s="59" t="str">
        <f>IFERROR(VLOOKUP($A$2,Stok!$B$1:$CC$448,80,0),"")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3">
        <v>8</v>
      </c>
      <c r="J45" s="53"/>
      <c r="K45" s="58">
        <v>45978</v>
      </c>
      <c r="L45" s="59" t="str">
        <f>IFERROR(VLOOKUP($A$2,Stok!$B$1:$CB$448,79,0),"")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3">
        <v>2</v>
      </c>
      <c r="J46" s="53"/>
      <c r="K46" s="58">
        <v>45971</v>
      </c>
      <c r="L46" s="59" t="str">
        <f>IFERROR(VLOOKUP($A$2,Stok!$B$1:$CA$448,78,0),"")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3">
        <v>1</v>
      </c>
      <c r="J47" s="53"/>
      <c r="K47" s="58">
        <v>45964</v>
      </c>
      <c r="L47" s="59" t="str">
        <f>IFERROR(VLOOKUP($A$2,Stok!$B$1:$BZ$448,77,0),"")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3">
        <v>0</v>
      </c>
      <c r="J48" s="53"/>
      <c r="K48" s="58">
        <v>45950</v>
      </c>
      <c r="L48" s="59" t="str">
        <f>IFERROR(VLOOKUP($A$2,Stok!$B$1:$BY$448,76,0),"")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3">
        <v>4</v>
      </c>
      <c r="J49" s="53"/>
      <c r="K49" s="58">
        <v>45943</v>
      </c>
      <c r="L49" s="59" t="str">
        <f>IFERROR(VLOOKUP($A$2,Stok!$B$1:$BX$448,75,0),"")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3">
        <v>18</v>
      </c>
      <c r="J50" s="53"/>
      <c r="K50" s="58">
        <v>45936</v>
      </c>
      <c r="L50" s="59" t="str">
        <f>IFERROR(VLOOKUP($A$2,Stok!$B$1:$BW$448,74,0),"")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3">
        <v>0</v>
      </c>
      <c r="J51" s="53"/>
      <c r="K51" s="58">
        <v>45929</v>
      </c>
      <c r="L51" s="59" t="str">
        <f>IFERROR(VLOOKUP($A$2,Stok!$B$1:$BV$448,73,0),"")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3">
        <v>0</v>
      </c>
      <c r="J52" s="53"/>
      <c r="K52" s="58">
        <v>45919</v>
      </c>
      <c r="L52" s="59" t="str">
        <f>IFERROR(VLOOKUP($A$2,Stok!$B$1:$BU$448,72,0),"")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3">
        <v>7</v>
      </c>
      <c r="J53" s="53"/>
      <c r="K53" s="58">
        <v>45908</v>
      </c>
      <c r="L53" s="59" t="str">
        <f>IFERROR(VLOOKUP($A$2,Stok!$B$1:$BT$448,71,0),"")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3">
        <v>0</v>
      </c>
      <c r="J54" s="53"/>
      <c r="K54" s="58">
        <v>45896</v>
      </c>
      <c r="L54" s="59" t="str">
        <f>IFERROR(VLOOKUP($A$2,Stok!$B$1:$BS$448,70,0),"")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3">
        <v>646</v>
      </c>
      <c r="J55" s="53"/>
      <c r="K55" s="58">
        <v>45866</v>
      </c>
      <c r="L55" s="59" t="str">
        <f>IFERROR(VLOOKUP($A$2,Stok!$B$1:$BR$448,69,0),"")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3">
        <v>8</v>
      </c>
      <c r="J56" s="53"/>
      <c r="K56" s="58">
        <v>45840</v>
      </c>
      <c r="L56" s="59" t="str">
        <f>IFERROR(VLOOKUP($A$2,Stok!$B$1:$BQ$448,68,0),"")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3">
        <v>0</v>
      </c>
      <c r="J57" s="53"/>
      <c r="K57" s="58">
        <v>45824</v>
      </c>
      <c r="L57" s="59" t="str">
        <f>IFERROR(VLOOKUP($A$2,Stok!$B$1:$BP$448,67,0),"")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3">
        <v>10</v>
      </c>
      <c r="J58" s="53"/>
      <c r="K58" s="58">
        <v>45805</v>
      </c>
      <c r="L58" s="59" t="str">
        <f>IFERROR(VLOOKUP($A$2,Stok!$B$1:$BO$448,66,0),"")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3">
        <v>73</v>
      </c>
      <c r="J59" s="53"/>
      <c r="K59" s="58">
        <v>45797</v>
      </c>
      <c r="L59" s="59" t="str">
        <f>IFERROR(VLOOKUP($A$2,Stok!$B$1:$BN$448,65,0),"")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3">
        <v>0</v>
      </c>
      <c r="J60" s="53"/>
      <c r="K60" s="58">
        <v>45783</v>
      </c>
      <c r="L60" s="59" t="str">
        <f>IFERROR(VLOOKUP($A$2,Stok!$B$1:$BM$448,64,0),"")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3">
        <v>0</v>
      </c>
      <c r="J61" s="53"/>
      <c r="K61" s="58">
        <v>45769</v>
      </c>
      <c r="L61" s="59" t="str">
        <f>IFERROR(VLOOKUP($A$2,Stok!$B$1:$BL$448,63,0),"")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3">
        <v>38</v>
      </c>
      <c r="J62" s="53"/>
      <c r="K62" s="58">
        <v>45762</v>
      </c>
      <c r="L62" s="59" t="str">
        <f>IFERROR(VLOOKUP($A$2,Stok!$B$1:$BK$448,62,0),"")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3">
        <v>0</v>
      </c>
      <c r="J63" s="53"/>
      <c r="K63" s="58">
        <v>45750</v>
      </c>
      <c r="L63" s="59" t="str">
        <f>IFERROR(VLOOKUP($A$2,Stok!$B$1:$BJ$448,61,0),"")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3">
        <v>0</v>
      </c>
      <c r="J64" s="53"/>
      <c r="K64" s="58">
        <v>45741</v>
      </c>
      <c r="L64" s="59" t="str">
        <f>IFERROR(VLOOKUP($A$2,Stok!$B$1:$BI$448,60,0),"")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3">
        <v>0</v>
      </c>
      <c r="J65" s="53"/>
      <c r="K65" s="58">
        <v>45736</v>
      </c>
      <c r="L65" s="59" t="str">
        <f>IFERROR(VLOOKUP($A$2,Stok!$B$1:$BH$448,59,0),"")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3">
        <v>0</v>
      </c>
      <c r="J66" s="53"/>
      <c r="K66" s="58">
        <v>45726</v>
      </c>
      <c r="L66" s="59" t="str">
        <f>IFERROR(VLOOKUP($A$2,Stok!$B$1:$BG$448,58,0),"")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3">
        <v>0</v>
      </c>
      <c r="J67" s="53"/>
      <c r="K67" s="58">
        <v>45723</v>
      </c>
      <c r="L67" s="59" t="str">
        <f>IFERROR(VLOOKUP($A$2,Stok!$B$1:$BF$448,57,0),"")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3">
        <v>24</v>
      </c>
      <c r="J68" s="53"/>
      <c r="K68" s="58">
        <v>45716</v>
      </c>
      <c r="L68" s="59" t="str">
        <f>IFERROR(VLOOKUP($A$2,Stok!$B$1:$BE$448,56,0),"")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3">
        <v>161</v>
      </c>
      <c r="J69" s="53"/>
      <c r="K69" s="58">
        <v>45712</v>
      </c>
      <c r="L69" s="59" t="str">
        <f>IFERROR(VLOOKUP($A$2,Stok!$B$1:$BD$448,55,0),"")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3">
        <v>0</v>
      </c>
      <c r="J70" s="53"/>
      <c r="K70" s="58">
        <v>45705</v>
      </c>
      <c r="L70" s="59" t="str">
        <f>IFERROR(VLOOKUP($A$2,Stok!$B$1:$BC$448,54,0),"")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3">
        <v>0</v>
      </c>
      <c r="J71" s="53"/>
      <c r="K71" s="58">
        <v>45702</v>
      </c>
      <c r="L71" s="59" t="str">
        <f>IFERROR(VLOOKUP($A$2,Stok!$B$1:$BB$448,53,0),"")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3">
        <v>0</v>
      </c>
      <c r="J72" s="53"/>
      <c r="K72" s="58">
        <v>45698</v>
      </c>
      <c r="L72" s="59" t="str">
        <f>IFERROR(VLOOKUP($A$2,Stok!$B$1:$BA$448,52,0),"")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3">
        <v>0</v>
      </c>
      <c r="J73" s="53"/>
      <c r="K73" s="58">
        <v>45691</v>
      </c>
      <c r="L73" s="59" t="str">
        <f>IFERROR(VLOOKUP($A$2,Stok!$B$1:$AZ$448,51,0),"")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3">
        <v>0</v>
      </c>
      <c r="J74" s="53"/>
      <c r="K74" s="58">
        <v>45684</v>
      </c>
      <c r="L74" s="59" t="str">
        <f>IFERROR(VLOOKUP($A$2,Stok!$B$1:$AY$448,50,0),"")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3">
        <v>6</v>
      </c>
      <c r="J75" s="53"/>
      <c r="K75" s="58">
        <v>45677</v>
      </c>
      <c r="L75" s="59" t="str">
        <f>IFERROR(VLOOKUP($A$2,Stok!$B$1:$AX$448,49,0),"")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3">
        <v>0</v>
      </c>
      <c r="J76" s="53"/>
      <c r="K76" s="58">
        <v>45672</v>
      </c>
      <c r="L76" s="59" t="str">
        <f>IFERROR(VLOOKUP($A$2,Stok!$B$1:$AW$448,48,0),"")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3">
        <v>128</v>
      </c>
      <c r="J77" s="53"/>
      <c r="K77" s="58">
        <v>45656</v>
      </c>
      <c r="L77" s="59" t="str">
        <f>IFERROR(VLOOKUP($A$2,Stok!$B$1:$AV$448,47,0),"")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3">
        <v>27</v>
      </c>
      <c r="J78" s="53"/>
      <c r="K78" s="58">
        <v>45649</v>
      </c>
      <c r="L78" s="59" t="str">
        <f>IFERROR(VLOOKUP($A$2,Stok!$B$1:$AU$448,46,0),"")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3">
        <v>0</v>
      </c>
      <c r="J79" s="53"/>
      <c r="K79" s="58">
        <v>45642</v>
      </c>
      <c r="L79" s="59" t="str">
        <f>IFERROR(VLOOKUP($A$2,Stok!$B$1:$AT$448,45,0),"")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3">
        <v>0</v>
      </c>
      <c r="J80" s="53"/>
      <c r="K80" s="58">
        <v>45635</v>
      </c>
      <c r="L80" s="59" t="str">
        <f>IFERROR(VLOOKUP($A$2,Stok!$B$1:$AS$448,44,0),"")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3">
        <v>0</v>
      </c>
      <c r="J81" s="53"/>
      <c r="K81" s="58">
        <v>45630</v>
      </c>
      <c r="L81" s="59" t="str">
        <f>IFERROR(VLOOKUP($A$2,Stok!$B$1:$AR$448,43,0),"")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3">
        <v>0</v>
      </c>
      <c r="J82" s="53"/>
      <c r="K82" s="58">
        <v>45614</v>
      </c>
      <c r="L82" s="59" t="str">
        <f>IFERROR(VLOOKUP($A$2,Stok!$B$1:$AQ$448,42,0),"")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3">
        <v>0</v>
      </c>
      <c r="J83" s="53"/>
      <c r="K83" s="58">
        <v>45608</v>
      </c>
      <c r="L83" s="59" t="str">
        <f>IFERROR(VLOOKUP($A$2,Stok!$B$1:$AP$448,41,0),"")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3">
        <v>1</v>
      </c>
      <c r="J84" s="53"/>
      <c r="K84" s="58">
        <v>45596</v>
      </c>
      <c r="L84" s="59" t="str">
        <f>IFERROR(VLOOKUP($A$2,Stok!$B$1:$AO$448,40,0),"")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3">
        <v>0</v>
      </c>
      <c r="J85" s="53"/>
      <c r="K85" s="58">
        <v>45580</v>
      </c>
      <c r="L85" s="59" t="str">
        <f>IFERROR(VLOOKUP($A$2,Stok!$B$1:$AN$448,39,0),"")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3">
        <v>141</v>
      </c>
      <c r="J86" s="53"/>
      <c r="K86" s="58">
        <v>45570</v>
      </c>
      <c r="L86" s="59" t="str">
        <f>IFERROR(VLOOKUP($A$2,Stok!$B$1:$AM$448,38,0),"")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3">
        <v>29</v>
      </c>
      <c r="J87" s="53"/>
      <c r="K87" s="58">
        <v>45563</v>
      </c>
      <c r="L87" s="59" t="str">
        <f>IFERROR(VLOOKUP($A$2,Stok!$B$1:$AL$448,37,0),"")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3">
        <v>0</v>
      </c>
      <c r="J88" s="53"/>
      <c r="K88" s="58">
        <v>45552</v>
      </c>
      <c r="L88" s="59" t="str">
        <f>IFERROR(VLOOKUP($A$2,Stok!$B$1:$AK$448,36,0),"")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3">
        <v>0</v>
      </c>
      <c r="J89" s="53"/>
      <c r="K89" s="58">
        <v>45539</v>
      </c>
      <c r="L89" s="59" t="str">
        <f>IFERROR(VLOOKUP($A$2,Stok!$B$1:$AJ$448,35,0),"")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3">
        <v>0</v>
      </c>
      <c r="J90" s="53"/>
      <c r="K90" s="58">
        <v>45524</v>
      </c>
      <c r="L90" s="59" t="str">
        <f>IFERROR(VLOOKUP($A$2,Stok!$B$1:$AI$448,34,0),"")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3">
        <v>0</v>
      </c>
      <c r="J91" s="53"/>
      <c r="K91" s="58">
        <v>45511</v>
      </c>
      <c r="L91" s="59" t="str">
        <f>IFERROR(VLOOKUP($A$2,Stok!$B$1:$AH$448,33,0),"")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3">
        <v>0</v>
      </c>
      <c r="J92" s="53"/>
      <c r="K92" s="58">
        <v>45500</v>
      </c>
      <c r="L92" s="59" t="str">
        <f>IFERROR(VLOOKUP($A$2,Stok!$B$1:$AG$448,32,0),"")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3">
        <v>0</v>
      </c>
      <c r="J93" s="53"/>
      <c r="K93" s="58">
        <v>45490</v>
      </c>
      <c r="L93" s="59" t="str">
        <f>IFERROR(VLOOKUP($A$2,Stok!$B$1:$AF$448,31,0),"")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3">
        <v>8</v>
      </c>
      <c r="J94" s="53"/>
      <c r="K94" s="58">
        <v>45478</v>
      </c>
      <c r="L94" s="59" t="str">
        <f>IFERROR(VLOOKUP($A$2,Stok!$B$1:$AE$448,30,0),"")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3">
        <v>0</v>
      </c>
      <c r="J95" s="53"/>
      <c r="K95" s="58">
        <v>45467</v>
      </c>
      <c r="L95" s="59" t="str">
        <f>IFERROR(VLOOKUP($A$2,Stok!$B$1:$AD$448,29,0),"")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3">
        <v>0</v>
      </c>
      <c r="J96" s="53"/>
      <c r="K96" s="58">
        <v>45455</v>
      </c>
      <c r="L96" s="59" t="str">
        <f>IFERROR(VLOOKUP($A$2,Stok!$B$1:$AC$448,28,0),"")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3">
        <v>0</v>
      </c>
      <c r="J97" s="53"/>
      <c r="K97" s="58">
        <v>45442</v>
      </c>
      <c r="L97" s="59" t="str">
        <f>IFERROR(VLOOKUP($A$2,Stok!$B$1:$AB$448,27,0),"")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3">
        <v>0</v>
      </c>
      <c r="J98" s="53"/>
      <c r="K98" s="58">
        <v>45427</v>
      </c>
      <c r="L98" s="59" t="str">
        <f>IFERROR(VLOOKUP($A$2,Stok!$B$1:$AA$448,25,0),"")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3">
        <v>6</v>
      </c>
      <c r="J99" s="53"/>
      <c r="K99" s="58">
        <v>45427</v>
      </c>
      <c r="L99" s="59" t="str">
        <f>IFERROR(VLOOKUP($A$2,Stok!$B$1:$AA$448,26,0),"")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3">
        <v>2</v>
      </c>
      <c r="J100" s="53"/>
      <c r="K100" s="58">
        <v>45411</v>
      </c>
      <c r="L100" s="59" t="str">
        <f>IFERROR(VLOOKUP($A$2,Stok!$B$1:$AA$448,24,0),"")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3">
        <v>209</v>
      </c>
      <c r="J101" s="53"/>
      <c r="K101" s="58">
        <v>45397</v>
      </c>
      <c r="L101" s="59" t="str">
        <f>IFERROR(VLOOKUP($A$2,Stok!$B$1:$AA$448,23,0),"")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3">
        <v>0</v>
      </c>
      <c r="J102" s="53"/>
      <c r="K102" s="58">
        <v>45376</v>
      </c>
      <c r="L102" s="59" t="str">
        <f>IFERROR(VLOOKUP($A$2,Stok!$B$1:$AA$448,22,0),"")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3">
        <v>0</v>
      </c>
      <c r="J103" s="53"/>
      <c r="K103" s="58">
        <v>45364</v>
      </c>
      <c r="L103" s="59" t="str">
        <f>IFERROR(VLOOKUP($A$2,Stok!$B$1:$AA$448,21,0),"")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3">
        <v>0</v>
      </c>
      <c r="J104" s="53"/>
      <c r="K104" s="58">
        <v>45352</v>
      </c>
      <c r="L104" s="59" t="str">
        <f>IFERROR(VLOOKUP($A$2,Stok!$B$1:$AA$448,20,0),"")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3">
        <v>0</v>
      </c>
      <c r="J105" s="53"/>
      <c r="K105" s="58">
        <v>45334</v>
      </c>
      <c r="L105" s="59" t="str">
        <f>IFERROR(VLOOKUP($A$2,Stok!$B$1:$AA$448,19,0),"")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3">
        <v>0</v>
      </c>
      <c r="J106" s="53"/>
      <c r="K106" s="58">
        <v>45320</v>
      </c>
      <c r="L106" s="59" t="str">
        <f>IFERROR(VLOOKUP($A$2,Stok!$B$1:$AA$448,18,0),"")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3">
        <v>0</v>
      </c>
      <c r="J107" s="53"/>
      <c r="K107" s="58">
        <v>45313</v>
      </c>
      <c r="L107" s="59" t="str">
        <f>IFERROR(VLOOKUP($A$2,Stok!$B$1:$AA$448,17,0),"")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3">
        <v>26</v>
      </c>
      <c r="J108" s="53"/>
      <c r="K108" s="60">
        <v>45293</v>
      </c>
      <c r="L108" s="59" t="str">
        <f>IFERROR(VLOOKUP($A$2,Stok!$B$1:$AA$448,16,0),"")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3">
        <v>5</v>
      </c>
      <c r="J109" s="53"/>
      <c r="K109" s="60">
        <v>45285</v>
      </c>
      <c r="L109" s="70" t="str">
        <f>IFERROR(VLOOKUP($A$2,Stok!$B$1:$AA$448,15,0),"")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3">
        <v>18</v>
      </c>
      <c r="J110" s="53"/>
      <c r="K110" s="58">
        <v>45275</v>
      </c>
      <c r="L110" s="70" t="str">
        <f>IFERROR(VLOOKUP($A$2,Stok!$B$1:$AA$448,14,0),"")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3">
        <v>116</v>
      </c>
      <c r="J111" s="53"/>
      <c r="K111" s="60">
        <v>45173</v>
      </c>
      <c r="L111" s="70" t="str">
        <f>IFERROR(VLOOKUP($A$2,Stok!$B$1:$AA$448,8,0),"")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3">
        <v>28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3">
        <v>16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3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3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3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3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3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3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3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1401.3609854400001</v>
      </c>
      <c r="H121" s="125">
        <v>59682.08362520003</v>
      </c>
      <c r="I121" s="133">
        <v>54427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3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3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3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3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3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3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3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3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3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3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3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33">
        <v>139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3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3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3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3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3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3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3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3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3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3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3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33">
        <v>1140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3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3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3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3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3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3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33">
        <v>0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3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33">
        <v>0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33">
        <v>0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33">
        <v>0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33">
        <v>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33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33">
        <v>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3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33">
        <v>18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3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3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3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3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3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3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3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3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3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3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3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3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3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3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3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3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3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3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3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3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3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3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3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3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3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3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3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3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33">
        <v>6486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3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3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3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3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3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3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3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3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3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3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3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3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3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3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3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3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3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3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33">
        <v>332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3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3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3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3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33">
        <v>21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3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1501.5</v>
      </c>
      <c r="I236" s="133">
        <v>312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33">
        <v>88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3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3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3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33">
        <v>8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3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3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3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3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3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3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3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3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3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3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33">
        <v>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3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3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3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3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3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3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3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23.471999999999998</v>
      </c>
      <c r="I264" s="133">
        <v>163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3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3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33">
        <v>945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3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3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3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3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3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3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3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16.34</v>
      </c>
      <c r="H275" s="125">
        <v>7712.48</v>
      </c>
      <c r="I275" s="133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3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3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3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3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3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3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3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33">
        <v>2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3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33">
        <v>1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33">
        <v>2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33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33">
        <v>2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33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33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33">
        <v>1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33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33">
        <v>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33">
        <v>252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33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33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33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7860</v>
      </c>
      <c r="I313" s="133">
        <v>6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520</v>
      </c>
      <c r="I314" s="133">
        <v>1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33">
        <v>3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33">
        <v>2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33">
        <v>0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33">
        <v>4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33">
        <v>4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33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33">
        <v>674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33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33">
        <v>4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33">
        <v>1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33">
        <v>61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33">
        <v>53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33">
        <v>28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33">
        <v>267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33">
        <v>7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33">
        <v>2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33">
        <v>10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33">
        <v>3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33">
        <v>1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33">
        <v>5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33">
        <v>7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33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33">
        <v>223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33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33">
        <v>1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33">
        <v>4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33">
        <v>4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33">
        <v>2893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33">
        <v>2893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4" t="s">
        <v>594</v>
      </c>
      <c r="G349" s="125">
        <v>48108.034000000007</v>
      </c>
      <c r="H349" s="125">
        <v>182816.56</v>
      </c>
      <c r="I349" s="133">
        <v>631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592</v>
      </c>
      <c r="G350" s="125"/>
      <c r="H350" s="125">
        <v>0</v>
      </c>
      <c r="I350" s="133">
        <v>2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595</v>
      </c>
      <c r="G351" s="125">
        <v>25.89</v>
      </c>
      <c r="H351" s="125">
        <v>517.79999999999995</v>
      </c>
      <c r="I351" s="133">
        <v>20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596</v>
      </c>
      <c r="G352" s="125">
        <v>39.15</v>
      </c>
      <c r="H352" s="125">
        <v>0</v>
      </c>
      <c r="I352" s="133">
        <v>0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597</v>
      </c>
      <c r="G353" s="125">
        <v>205</v>
      </c>
      <c r="H353" s="125">
        <v>1230</v>
      </c>
      <c r="I353" s="133">
        <v>6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599</v>
      </c>
      <c r="G354" s="125"/>
      <c r="H354" s="125">
        <v>0</v>
      </c>
      <c r="I354" s="133">
        <v>2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1267</v>
      </c>
      <c r="G355" s="125">
        <v>190.36</v>
      </c>
      <c r="H355" s="125">
        <v>17893.84</v>
      </c>
      <c r="I355" s="133">
        <v>94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605</v>
      </c>
      <c r="G356" s="125">
        <v>324.52999999999997</v>
      </c>
      <c r="H356" s="125">
        <v>324.52999999999997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1243</v>
      </c>
      <c r="G357" s="125"/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607</v>
      </c>
      <c r="G358" s="125">
        <v>559.26</v>
      </c>
      <c r="H358" s="125">
        <v>559.26</v>
      </c>
      <c r="I358" s="133">
        <v>1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609</v>
      </c>
      <c r="G359" s="125"/>
      <c r="H359" s="125">
        <v>0</v>
      </c>
      <c r="I359" s="133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611</v>
      </c>
      <c r="G360" s="125">
        <v>249</v>
      </c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613</v>
      </c>
      <c r="G361" s="125">
        <v>264.27</v>
      </c>
      <c r="H361" s="125">
        <v>2114.16</v>
      </c>
      <c r="I361" s="133">
        <v>8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615</v>
      </c>
      <c r="G362" s="125">
        <v>392.16</v>
      </c>
      <c r="H362" s="125">
        <v>28627.68</v>
      </c>
      <c r="I362" s="133">
        <v>73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1268</v>
      </c>
      <c r="G363" s="125"/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618</v>
      </c>
      <c r="G364" s="125">
        <v>350</v>
      </c>
      <c r="H364" s="125">
        <v>0</v>
      </c>
      <c r="I364" s="133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621</v>
      </c>
      <c r="G365" s="125"/>
      <c r="H365" s="125">
        <v>0</v>
      </c>
      <c r="I365" s="133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623</v>
      </c>
      <c r="G366" s="125">
        <v>724.8</v>
      </c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625</v>
      </c>
      <c r="G367" s="125">
        <v>525</v>
      </c>
      <c r="H367" s="125">
        <v>525</v>
      </c>
      <c r="I367" s="133">
        <v>1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627</v>
      </c>
      <c r="G368" s="125">
        <v>433.49</v>
      </c>
      <c r="H368" s="125">
        <v>26876.38</v>
      </c>
      <c r="I368" s="133">
        <v>62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630</v>
      </c>
      <c r="G369" s="125"/>
      <c r="H369" s="125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633</v>
      </c>
      <c r="G370" s="125">
        <v>813.96</v>
      </c>
      <c r="H370" s="125">
        <v>0</v>
      </c>
      <c r="I370" s="133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635</v>
      </c>
      <c r="G371" s="125"/>
      <c r="H371" s="125">
        <v>0</v>
      </c>
      <c r="I371" s="133">
        <v>52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637</v>
      </c>
      <c r="G372" s="135">
        <v>17</v>
      </c>
      <c r="H372" s="135">
        <v>0</v>
      </c>
      <c r="I372" s="136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33">
        <v>7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1352</v>
      </c>
      <c r="G374" s="125">
        <v>200</v>
      </c>
      <c r="H374" s="125">
        <v>400</v>
      </c>
      <c r="I374" s="133">
        <v>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1171</v>
      </c>
      <c r="G375" s="125">
        <v>207.53</v>
      </c>
      <c r="H375" s="125">
        <v>0</v>
      </c>
      <c r="I375" s="133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33751.810000000005</v>
      </c>
      <c r="I376" s="133">
        <v>257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639</v>
      </c>
      <c r="G377" s="125">
        <v>460</v>
      </c>
      <c r="H377" s="125">
        <v>0</v>
      </c>
      <c r="I377" s="133">
        <v>0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1172</v>
      </c>
      <c r="G378" s="125">
        <v>395</v>
      </c>
      <c r="H378" s="125">
        <v>395</v>
      </c>
      <c r="I378" s="133">
        <v>1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641</v>
      </c>
      <c r="G379" s="125"/>
      <c r="H379" s="125">
        <v>0</v>
      </c>
      <c r="I379" s="133">
        <v>0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1266</v>
      </c>
      <c r="G380" s="125">
        <v>80.739999999999995</v>
      </c>
      <c r="H380" s="125">
        <v>161.47999999999999</v>
      </c>
      <c r="I380" s="133">
        <v>2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33">
        <v>2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643</v>
      </c>
      <c r="G382" s="125"/>
      <c r="H382" s="125">
        <v>0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648</v>
      </c>
      <c r="G384" s="125">
        <v>530</v>
      </c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645</v>
      </c>
      <c r="G385" s="125">
        <v>1775</v>
      </c>
      <c r="H385" s="125">
        <v>1775</v>
      </c>
      <c r="I385" s="133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650</v>
      </c>
      <c r="G386" s="125">
        <v>875.72</v>
      </c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1269</v>
      </c>
      <c r="G387" s="125"/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653</v>
      </c>
      <c r="G388" s="125">
        <v>975</v>
      </c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656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660</v>
      </c>
      <c r="G390" s="125">
        <v>1323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666</v>
      </c>
      <c r="G392" s="125"/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663</v>
      </c>
      <c r="G393" s="125">
        <v>1348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668</v>
      </c>
      <c r="G394" s="125">
        <v>3000</v>
      </c>
      <c r="H394" s="125">
        <v>12000</v>
      </c>
      <c r="I394" s="133">
        <v>4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1173</v>
      </c>
      <c r="G395" s="125">
        <v>1094.81</v>
      </c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1174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670</v>
      </c>
      <c r="G397" s="125">
        <v>5138.74</v>
      </c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1175</v>
      </c>
      <c r="G398" s="125">
        <v>3961.71</v>
      </c>
      <c r="H398" s="125">
        <v>7923.42</v>
      </c>
      <c r="I398" s="133">
        <v>2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672</v>
      </c>
      <c r="G399" s="125"/>
      <c r="H399" s="125">
        <v>0</v>
      </c>
      <c r="I399" s="133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675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1176</v>
      </c>
      <c r="G401" s="125">
        <v>711.31</v>
      </c>
      <c r="H401" s="125">
        <v>711.31</v>
      </c>
      <c r="I401" s="133">
        <v>1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1270</v>
      </c>
      <c r="G402" s="125">
        <v>1692.44</v>
      </c>
      <c r="H402" s="125">
        <v>5077.32</v>
      </c>
      <c r="I402" s="133">
        <v>3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677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1177</v>
      </c>
      <c r="G404" s="125">
        <v>1030.18</v>
      </c>
      <c r="H404" s="125">
        <v>0</v>
      </c>
      <c r="I404" s="133">
        <v>0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1271</v>
      </c>
      <c r="G405" s="125"/>
      <c r="H405" s="125">
        <v>0</v>
      </c>
      <c r="I405" s="133">
        <v>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679</v>
      </c>
      <c r="G406" s="125">
        <v>1843.48</v>
      </c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681</v>
      </c>
      <c r="G407" s="125">
        <v>1833</v>
      </c>
      <c r="H407" s="125">
        <v>10998</v>
      </c>
      <c r="I407" s="133">
        <v>6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684</v>
      </c>
      <c r="G408" s="125">
        <v>2782.61</v>
      </c>
      <c r="H408" s="125">
        <v>19478.27</v>
      </c>
      <c r="I408" s="133">
        <v>7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686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1170</v>
      </c>
      <c r="G410" s="125">
        <v>122.16</v>
      </c>
      <c r="H410" s="125">
        <v>244.32</v>
      </c>
      <c r="I410" s="133">
        <v>2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603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690</v>
      </c>
      <c r="G413" s="125">
        <v>12.78</v>
      </c>
      <c r="H413" s="125">
        <v>63.9</v>
      </c>
      <c r="I413" s="133">
        <v>5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1353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1337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1338</v>
      </c>
      <c r="G416" s="125">
        <v>5125.82</v>
      </c>
      <c r="H416" s="125">
        <v>10251.64</v>
      </c>
      <c r="I416" s="133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1169</v>
      </c>
      <c r="G417" s="125"/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4" t="s">
        <v>693</v>
      </c>
      <c r="G418" s="125">
        <v>458.22</v>
      </c>
      <c r="H418" s="125">
        <v>916.44</v>
      </c>
      <c r="I418" s="133">
        <v>2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4" t="s">
        <v>600</v>
      </c>
      <c r="G419" s="125">
        <v>205</v>
      </c>
      <c r="H419" s="125">
        <v>0</v>
      </c>
      <c r="I419" s="133">
        <v>0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33">
        <v>150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33">
        <v>1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33">
        <v>1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33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33">
        <v>0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33">
        <v>5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33">
        <v>3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33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33">
        <v>1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33">
        <v>1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33">
        <v>4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33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33">
        <v>20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33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33">
        <v>5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33">
        <v>3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33">
        <v>4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33">
        <v>9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33">
        <v>11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33">
        <v>1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33">
        <v>16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33">
        <v>54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33">
        <v>10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33">
        <v>1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33">
        <v>2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33">
        <v>2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33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33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3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3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33">
        <v>2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33">
        <v>1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33">
        <v>1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33">
        <v>60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33">
        <v>60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239149.00999999998</v>
      </c>
      <c r="I475" s="133">
        <v>1238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28678.86</v>
      </c>
      <c r="I476" s="133">
        <v>281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33">
        <v>192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33">
        <v>619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37">
        <v>97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37">
        <v>49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14</v>
      </c>
      <c r="I481" s="133">
        <v>6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0</v>
      </c>
      <c r="I482" s="133">
        <v>0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0</v>
      </c>
      <c r="I483" s="133">
        <v>0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33">
        <v>1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33">
        <v>5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33">
        <v>0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4" t="s">
        <v>1580</v>
      </c>
      <c r="G487" s="125">
        <v>502.64</v>
      </c>
      <c r="H487" s="125">
        <v>4021.12</v>
      </c>
      <c r="I487" s="133">
        <v>16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6" t="s">
        <v>1575</v>
      </c>
      <c r="G488" s="125">
        <v>448.05</v>
      </c>
      <c r="H488" s="125">
        <v>3584.4</v>
      </c>
      <c r="I488" s="133">
        <v>8</v>
      </c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6" t="s">
        <v>1576</v>
      </c>
      <c r="G489" s="125">
        <v>54.59</v>
      </c>
      <c r="H489" s="125">
        <v>436.72</v>
      </c>
      <c r="I489" s="133">
        <v>8</v>
      </c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8" t="s">
        <v>1155</v>
      </c>
      <c r="G490" s="127">
        <v>89979.230517621356</v>
      </c>
      <c r="H490" s="127">
        <v>594285.43795738136</v>
      </c>
      <c r="I490" s="137">
        <v>63392</v>
      </c>
      <c r="K490" s="53"/>
      <c r="L490" s="53"/>
    </row>
    <row r="491" spans="1:74" x14ac:dyDescent="0.35">
      <c r="K491" s="53"/>
      <c r="L491" s="53"/>
    </row>
    <row r="492" spans="1:74" x14ac:dyDescent="0.35">
      <c r="K492" s="53"/>
      <c r="L492" s="53"/>
    </row>
    <row r="493" spans="1:74" x14ac:dyDescent="0.35">
      <c r="K493" s="53"/>
      <c r="L493" s="53"/>
    </row>
    <row r="494" spans="1:74" x14ac:dyDescent="0.35">
      <c r="K494" s="53"/>
      <c r="L494" s="53"/>
    </row>
    <row r="495" spans="1:74" x14ac:dyDescent="0.35">
      <c r="K495" s="53"/>
      <c r="L495" s="53"/>
    </row>
    <row r="496" spans="1:74" x14ac:dyDescent="0.35">
      <c r="K496" s="53"/>
      <c r="L496" s="53"/>
    </row>
  </sheetData>
  <mergeCells count="2">
    <mergeCell ref="Y1:AE1"/>
    <mergeCell ref="X2:AB2"/>
  </mergeCells>
  <pageMargins left="0.7" right="0.7" top="0.75" bottom="0.75" header="0.3" footer="0.3"/>
  <ignoredErrors>
    <ignoredError sqref="L6:L111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O448"/>
  <sheetViews>
    <sheetView topLeftCell="DB1" zoomScale="90" zoomScaleNormal="90" workbookViewId="0">
      <pane ySplit="1" topLeftCell="A423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19" width="14.26953125" style="76" customWidth="1"/>
    <col min="120" max="16384" width="8.90625" style="13"/>
  </cols>
  <sheetData>
    <row r="1" spans="1:119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1577</v>
      </c>
    </row>
    <row r="2" spans="1:119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M2*DO2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</row>
    <row r="3" spans="1:119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M3*DO3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</row>
    <row r="4" spans="1:119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</row>
    <row r="5" spans="1:119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</row>
    <row r="6" spans="1:119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</row>
    <row r="7" spans="1:119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</row>
    <row r="8" spans="1:119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</row>
    <row r="9" spans="1:119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</row>
    <row r="10" spans="1:119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</row>
    <row r="11" spans="1:119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</row>
    <row r="12" spans="1:119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</row>
    <row r="13" spans="1:119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</row>
    <row r="14" spans="1:119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</row>
    <row r="15" spans="1:119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</row>
    <row r="16" spans="1:119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</row>
    <row r="17" spans="1:119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</row>
    <row r="18" spans="1:119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</row>
    <row r="19" spans="1:119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</row>
    <row r="20" spans="1:119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</row>
    <row r="21" spans="1:119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</row>
    <row r="22" spans="1:119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</row>
    <row r="23" spans="1:119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</row>
    <row r="24" spans="1:119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</row>
    <row r="25" spans="1:119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</row>
    <row r="26" spans="1:119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</row>
    <row r="27" spans="1:119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</row>
    <row r="28" spans="1:119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</row>
    <row r="29" spans="1:119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</row>
    <row r="30" spans="1:119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</row>
    <row r="31" spans="1:119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</row>
    <row r="32" spans="1:119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</row>
    <row r="33" spans="1:119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</row>
    <row r="34" spans="1:119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</row>
    <row r="35" spans="1:119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</row>
    <row r="36" spans="1:119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</row>
    <row r="37" spans="1:119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</row>
    <row r="38" spans="1:119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</row>
    <row r="39" spans="1:119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</row>
    <row r="40" spans="1:119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</row>
    <row r="41" spans="1:119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</row>
    <row r="42" spans="1:119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</row>
    <row r="43" spans="1:119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</row>
    <row r="44" spans="1:119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</row>
    <row r="45" spans="1:119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</row>
    <row r="46" spans="1:119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</row>
    <row r="47" spans="1:119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</row>
    <row r="48" spans="1:119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</row>
    <row r="49" spans="1:119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</row>
    <row r="50" spans="1:119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</row>
    <row r="51" spans="1:119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</row>
    <row r="52" spans="1:119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</row>
    <row r="53" spans="1:119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</row>
    <row r="54" spans="1:119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</row>
    <row r="55" spans="1:119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</row>
    <row r="56" spans="1:119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</row>
    <row r="57" spans="1:119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</row>
    <row r="58" spans="1:119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</row>
    <row r="59" spans="1:119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</row>
    <row r="60" spans="1:119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</row>
    <row r="61" spans="1:119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</row>
    <row r="62" spans="1:119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</row>
    <row r="63" spans="1:119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</row>
    <row r="64" spans="1:119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</row>
    <row r="65" spans="1:119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</row>
    <row r="66" spans="1:119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</row>
    <row r="67" spans="1:119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M67*DO67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</row>
    <row r="68" spans="1:119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</row>
    <row r="69" spans="1:119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</row>
    <row r="70" spans="1:119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</row>
    <row r="71" spans="1:119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</row>
    <row r="72" spans="1:119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</row>
    <row r="73" spans="1:119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</row>
    <row r="74" spans="1:119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</row>
    <row r="75" spans="1:119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</row>
    <row r="76" spans="1:119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</row>
    <row r="77" spans="1:119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</row>
    <row r="78" spans="1:119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</row>
    <row r="79" spans="1:119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</row>
    <row r="80" spans="1:119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</row>
    <row r="81" spans="1:119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</row>
    <row r="82" spans="1:119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</row>
    <row r="83" spans="1:119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</row>
    <row r="84" spans="1:119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</row>
    <row r="85" spans="1:119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</row>
    <row r="86" spans="1:119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</row>
    <row r="87" spans="1:119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</row>
    <row r="88" spans="1:119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</row>
    <row r="89" spans="1:119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</row>
    <row r="90" spans="1:119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</row>
    <row r="91" spans="1:119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</row>
    <row r="92" spans="1:119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</row>
    <row r="93" spans="1:119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</row>
    <row r="94" spans="1:119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</row>
    <row r="95" spans="1:119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</row>
    <row r="96" spans="1:119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</row>
    <row r="97" spans="1:119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</row>
    <row r="98" spans="1:119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</row>
    <row r="99" spans="1:119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</row>
    <row r="100" spans="1:119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</row>
    <row r="101" spans="1:119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</row>
    <row r="102" spans="1:119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</row>
    <row r="103" spans="1:119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</row>
    <row r="104" spans="1:119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</row>
    <row r="105" spans="1:119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</row>
    <row r="106" spans="1:119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</row>
    <row r="107" spans="1:119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</row>
    <row r="108" spans="1:119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</row>
    <row r="109" spans="1:119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</row>
    <row r="110" spans="1:119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</row>
    <row r="111" spans="1:119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</row>
    <row r="112" spans="1:119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</row>
    <row r="113" spans="1:119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</row>
    <row r="114" spans="1:119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</row>
    <row r="115" spans="1:119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</row>
    <row r="116" spans="1:119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</row>
    <row r="117" spans="1:119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</row>
    <row r="118" spans="1:119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</row>
    <row r="119" spans="1:119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</row>
    <row r="120" spans="1:119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</row>
    <row r="121" spans="1:119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</row>
    <row r="122" spans="1:119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</row>
    <row r="123" spans="1:119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</row>
    <row r="124" spans="1:119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</row>
    <row r="125" spans="1:119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</row>
    <row r="126" spans="1:119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</row>
    <row r="127" spans="1:119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</row>
    <row r="128" spans="1:119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</row>
    <row r="129" spans="1:119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</row>
    <row r="130" spans="1:119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</row>
    <row r="131" spans="1:119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M131*DO131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</row>
    <row r="132" spans="1:119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</row>
    <row r="133" spans="1:119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</row>
    <row r="134" spans="1:119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</row>
    <row r="135" spans="1:119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</row>
    <row r="136" spans="1:119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</row>
    <row r="137" spans="1:119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</row>
    <row r="138" spans="1:119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</row>
    <row r="139" spans="1:119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</row>
    <row r="140" spans="1:119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</row>
    <row r="141" spans="1:119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</row>
    <row r="142" spans="1:119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</row>
    <row r="143" spans="1:119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</row>
    <row r="144" spans="1:119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</row>
    <row r="145" spans="1:119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</row>
    <row r="146" spans="1:119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</row>
    <row r="147" spans="1:119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</row>
    <row r="148" spans="1:119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</row>
    <row r="149" spans="1:119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</row>
    <row r="150" spans="1:119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</row>
    <row r="151" spans="1:119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</row>
    <row r="152" spans="1:119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</row>
    <row r="153" spans="1:119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</row>
    <row r="154" spans="1:119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</row>
    <row r="155" spans="1:119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</row>
    <row r="156" spans="1:119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</row>
    <row r="157" spans="1:119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</row>
    <row r="158" spans="1:119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</row>
    <row r="159" spans="1:119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</row>
    <row r="160" spans="1:119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</row>
    <row r="161" spans="1:119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</row>
    <row r="162" spans="1:119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</row>
    <row r="163" spans="1:119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</row>
    <row r="164" spans="1:119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</row>
    <row r="165" spans="1:119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</row>
    <row r="166" spans="1:119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</row>
    <row r="167" spans="1:119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</row>
    <row r="168" spans="1:119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</row>
    <row r="169" spans="1:119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</row>
    <row r="170" spans="1:119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</row>
    <row r="171" spans="1:119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</row>
    <row r="172" spans="1:119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</row>
    <row r="173" spans="1:119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</row>
    <row r="174" spans="1:119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</row>
    <row r="175" spans="1:119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</row>
    <row r="176" spans="1:119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</row>
    <row r="177" spans="1:119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</row>
    <row r="178" spans="1:119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</row>
    <row r="179" spans="1:119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</row>
    <row r="180" spans="1:119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</row>
    <row r="181" spans="1:119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</row>
    <row r="182" spans="1:119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</row>
    <row r="183" spans="1:119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</row>
    <row r="184" spans="1:119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</row>
    <row r="185" spans="1:119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</row>
    <row r="186" spans="1:119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</row>
    <row r="187" spans="1:119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</row>
    <row r="188" spans="1:119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</row>
    <row r="189" spans="1:119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</row>
    <row r="190" spans="1:119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</row>
    <row r="191" spans="1:119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</row>
    <row r="192" spans="1:119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</row>
    <row r="193" spans="1:119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</row>
    <row r="194" spans="1:119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</row>
    <row r="195" spans="1:119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M195*DO195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</row>
    <row r="196" spans="1:119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</row>
    <row r="197" spans="1:119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</row>
    <row r="198" spans="1:119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</row>
    <row r="199" spans="1:119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</row>
    <row r="200" spans="1:119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</row>
    <row r="201" spans="1:119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</row>
    <row r="202" spans="1:119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</row>
    <row r="203" spans="1:119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</row>
    <row r="204" spans="1:119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</row>
    <row r="205" spans="1:119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</row>
    <row r="206" spans="1:119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</row>
    <row r="207" spans="1:119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</row>
    <row r="208" spans="1:119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</row>
    <row r="209" spans="1:119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</row>
    <row r="210" spans="1:119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</row>
    <row r="211" spans="1:119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</row>
    <row r="212" spans="1:119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23.471999999999998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</row>
    <row r="213" spans="1:119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</row>
    <row r="214" spans="1:119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</row>
    <row r="215" spans="1:119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</row>
    <row r="216" spans="1:119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</row>
    <row r="217" spans="1:119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</row>
    <row r="218" spans="1:119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</row>
    <row r="219" spans="1:119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</row>
    <row r="220" spans="1:119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</row>
    <row r="221" spans="1:119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</row>
    <row r="222" spans="1:119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</row>
    <row r="223" spans="1:119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</row>
    <row r="224" spans="1:119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</row>
    <row r="225" spans="1:119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</row>
    <row r="226" spans="1:119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</row>
    <row r="227" spans="1:119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</row>
    <row r="228" spans="1:119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</row>
    <row r="229" spans="1:119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</row>
    <row r="230" spans="1:119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</row>
    <row r="231" spans="1:119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</row>
    <row r="232" spans="1:119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</row>
    <row r="233" spans="1:119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</row>
    <row r="234" spans="1:119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</row>
    <row r="235" spans="1:119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</row>
    <row r="236" spans="1:119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</row>
    <row r="237" spans="1:119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</row>
    <row r="238" spans="1:119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</row>
    <row r="239" spans="1:119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</row>
    <row r="240" spans="1:119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</row>
    <row r="241" spans="1:119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</row>
    <row r="242" spans="1:119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</row>
    <row r="243" spans="1:119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</row>
    <row r="244" spans="1:119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</row>
    <row r="245" spans="1:119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</row>
    <row r="246" spans="1:119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</row>
    <row r="247" spans="1:119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</row>
    <row r="248" spans="1:119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</row>
    <row r="249" spans="1:119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</row>
    <row r="250" spans="1:119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</row>
    <row r="251" spans="1:119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</row>
    <row r="252" spans="1:119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</row>
    <row r="253" spans="1:119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</row>
    <row r="254" spans="1:119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</row>
    <row r="255" spans="1:119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</row>
    <row r="256" spans="1:119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</row>
    <row r="257" spans="1:119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</row>
    <row r="258" spans="1:119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</row>
    <row r="259" spans="1:119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M259*DO259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</row>
    <row r="260" spans="1:119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</row>
    <row r="261" spans="1:119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</row>
    <row r="262" spans="1:119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</row>
    <row r="263" spans="1:119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</row>
    <row r="264" spans="1:119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</row>
    <row r="265" spans="1:119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</row>
    <row r="266" spans="1:119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</row>
    <row r="267" spans="1:119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</row>
    <row r="268" spans="1:119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</row>
    <row r="269" spans="1:119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</row>
    <row r="270" spans="1:119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16.34</v>
      </c>
      <c r="N270" s="12">
        <f t="shared" si="6"/>
        <v>7712.48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</row>
    <row r="271" spans="1:119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</row>
    <row r="272" spans="1:119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</row>
    <row r="273" spans="1:119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</row>
    <row r="274" spans="1:119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</row>
    <row r="275" spans="1:119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</row>
    <row r="276" spans="1:119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</row>
    <row r="277" spans="1:119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</row>
    <row r="278" spans="1:119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</row>
    <row r="279" spans="1:119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</row>
    <row r="280" spans="1:119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</row>
    <row r="281" spans="1:119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</row>
    <row r="282" spans="1:119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</row>
    <row r="283" spans="1:119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</row>
    <row r="284" spans="1:119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</row>
    <row r="285" spans="1:119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</row>
    <row r="286" spans="1:119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</row>
    <row r="287" spans="1:119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</row>
    <row r="288" spans="1:119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</row>
    <row r="289" spans="1:119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</row>
    <row r="290" spans="1:119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</row>
    <row r="291" spans="1:119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</row>
    <row r="292" spans="1:119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</row>
    <row r="293" spans="1:119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</row>
    <row r="294" spans="1:119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</row>
    <row r="295" spans="1:119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</row>
    <row r="296" spans="1:119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</row>
    <row r="297" spans="1:119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</row>
    <row r="298" spans="1:119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</row>
    <row r="299" spans="1:119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</row>
    <row r="300" spans="1:119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</row>
    <row r="301" spans="1:119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</row>
    <row r="302" spans="1:119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</row>
    <row r="303" spans="1:119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</row>
    <row r="304" spans="1:119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</row>
    <row r="305" spans="1:119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</row>
    <row r="306" spans="1:119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</row>
    <row r="307" spans="1:119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520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</row>
    <row r="308" spans="1:119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</row>
    <row r="309" spans="1:119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</row>
    <row r="310" spans="1:119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</row>
    <row r="311" spans="1:119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</row>
    <row r="312" spans="1:119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</row>
    <row r="313" spans="1:119" x14ac:dyDescent="0.35">
      <c r="A313" s="7"/>
      <c r="B313" s="77" t="s">
        <v>1575</v>
      </c>
      <c r="C313" s="9" t="s">
        <v>1578</v>
      </c>
      <c r="D313" s="10" t="s">
        <v>1580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6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</row>
    <row r="314" spans="1:119" ht="26.55" x14ac:dyDescent="0.35">
      <c r="A314" s="7"/>
      <c r="B314" s="77" t="s">
        <v>1576</v>
      </c>
      <c r="C314" s="9" t="s">
        <v>1579</v>
      </c>
      <c r="D314" s="10" t="s">
        <v>1580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6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</row>
    <row r="315" spans="1:119" x14ac:dyDescent="0.35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6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</row>
    <row r="316" spans="1:119" x14ac:dyDescent="0.35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</row>
    <row r="317" spans="1:119" x14ac:dyDescent="0.35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</row>
    <row r="318" spans="1:119" x14ac:dyDescent="0.35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</row>
    <row r="319" spans="1:119" x14ac:dyDescent="0.35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</row>
    <row r="320" spans="1:119" x14ac:dyDescent="0.35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6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</row>
    <row r="321" spans="1:119" x14ac:dyDescent="0.35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6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</row>
    <row r="322" spans="1:119" x14ac:dyDescent="0.35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6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</row>
    <row r="323" spans="1:119" x14ac:dyDescent="0.35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7">M323*DO323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</row>
    <row r="324" spans="1:119" x14ac:dyDescent="0.35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7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</row>
    <row r="325" spans="1:119" x14ac:dyDescent="0.35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7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</row>
    <row r="326" spans="1:119" x14ac:dyDescent="0.35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7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</row>
    <row r="327" spans="1:119" x14ac:dyDescent="0.35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7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</row>
    <row r="328" spans="1:119" x14ac:dyDescent="0.35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</row>
    <row r="329" spans="1:119" x14ac:dyDescent="0.35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</row>
    <row r="330" spans="1:119" x14ac:dyDescent="0.35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7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</row>
    <row r="331" spans="1:119" x14ac:dyDescent="0.35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7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</row>
    <row r="332" spans="1:119" x14ac:dyDescent="0.35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7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</row>
    <row r="333" spans="1:119" x14ac:dyDescent="0.35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7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</row>
    <row r="334" spans="1:119" x14ac:dyDescent="0.35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7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</row>
    <row r="335" spans="1:119" x14ac:dyDescent="0.35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7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</row>
    <row r="336" spans="1:119" x14ac:dyDescent="0.35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7"/>
        <v>28678.86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</row>
    <row r="337" spans="1:119" x14ac:dyDescent="0.35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7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</row>
    <row r="338" spans="1:119" x14ac:dyDescent="0.35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7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</row>
    <row r="339" spans="1:119" x14ac:dyDescent="0.35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</row>
    <row r="340" spans="1:119" x14ac:dyDescent="0.35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</row>
    <row r="341" spans="1:119" x14ac:dyDescent="0.35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7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</row>
    <row r="342" spans="1:119" x14ac:dyDescent="0.35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7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</row>
    <row r="343" spans="1:119" x14ac:dyDescent="0.35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7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</row>
    <row r="344" spans="1:119" x14ac:dyDescent="0.35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7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</row>
    <row r="345" spans="1:119" x14ac:dyDescent="0.35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7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</row>
    <row r="346" spans="1:119" x14ac:dyDescent="0.35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7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8">3000-107</f>
        <v>2893</v>
      </c>
      <c r="DE346" s="72">
        <f t="shared" si="8"/>
        <v>2893</v>
      </c>
      <c r="DF346" s="72">
        <f t="shared" si="8"/>
        <v>2893</v>
      </c>
      <c r="DG346" s="72">
        <f t="shared" si="8"/>
        <v>2893</v>
      </c>
      <c r="DH346" s="72">
        <f t="shared" si="8"/>
        <v>2893</v>
      </c>
      <c r="DI346" s="72">
        <f t="shared" si="8"/>
        <v>2893</v>
      </c>
      <c r="DJ346" s="72">
        <f>3000-107</f>
        <v>2893</v>
      </c>
      <c r="DK346" s="72">
        <f>3000-107</f>
        <v>2893</v>
      </c>
      <c r="DL346" s="72">
        <f>3000-107</f>
        <v>2893</v>
      </c>
      <c r="DM346" s="72">
        <f>3000-107</f>
        <v>2893</v>
      </c>
      <c r="DN346" s="72">
        <f>3000-107</f>
        <v>2893</v>
      </c>
      <c r="DO346" s="72">
        <f>3000-107</f>
        <v>2893</v>
      </c>
    </row>
    <row r="347" spans="1:119" x14ac:dyDescent="0.35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7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</row>
    <row r="348" spans="1:119" x14ac:dyDescent="0.35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7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</row>
    <row r="349" spans="1:119" x14ac:dyDescent="0.35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7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</row>
    <row r="350" spans="1:119" x14ac:dyDescent="0.35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7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</row>
    <row r="351" spans="1:119" x14ac:dyDescent="0.35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7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</row>
    <row r="352" spans="1:119" x14ac:dyDescent="0.35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7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</row>
    <row r="353" spans="1:119" x14ac:dyDescent="0.35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7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</row>
    <row r="354" spans="1:119" x14ac:dyDescent="0.35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7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</row>
    <row r="355" spans="1:119" x14ac:dyDescent="0.35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7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</row>
    <row r="356" spans="1:119" x14ac:dyDescent="0.35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</row>
    <row r="357" spans="1:119" x14ac:dyDescent="0.35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7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</row>
    <row r="358" spans="1:119" x14ac:dyDescent="0.35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</row>
    <row r="359" spans="1:119" x14ac:dyDescent="0.35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7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</row>
    <row r="360" spans="1:119" x14ac:dyDescent="0.35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7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</row>
    <row r="361" spans="1:119" x14ac:dyDescent="0.35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7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</row>
    <row r="362" spans="1:119" x14ac:dyDescent="0.35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7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</row>
    <row r="363" spans="1:119" x14ac:dyDescent="0.35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7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</row>
    <row r="364" spans="1:119" x14ac:dyDescent="0.35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7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</row>
    <row r="365" spans="1:119" x14ac:dyDescent="0.35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7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</row>
    <row r="366" spans="1:119" x14ac:dyDescent="0.35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7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</row>
    <row r="367" spans="1:119" x14ac:dyDescent="0.35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7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</row>
    <row r="368" spans="1:119" x14ac:dyDescent="0.35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7"/>
        <v>28627.68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</row>
    <row r="369" spans="1:119" x14ac:dyDescent="0.35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7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</row>
    <row r="370" spans="1:119" x14ac:dyDescent="0.35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7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</row>
    <row r="371" spans="1:119" x14ac:dyDescent="0.35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7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</row>
    <row r="372" spans="1:119" x14ac:dyDescent="0.35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7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</row>
    <row r="373" spans="1:119" x14ac:dyDescent="0.35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7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</row>
    <row r="374" spans="1:119" x14ac:dyDescent="0.35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7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</row>
    <row r="375" spans="1:119" x14ac:dyDescent="0.35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7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</row>
    <row r="376" spans="1:119" x14ac:dyDescent="0.35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7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</row>
    <row r="377" spans="1:119" x14ac:dyDescent="0.35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/>
      <c r="N377" s="12">
        <f t="shared" si="7"/>
        <v>0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</row>
    <row r="378" spans="1:119" x14ac:dyDescent="0.35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7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</row>
    <row r="379" spans="1:119" x14ac:dyDescent="0.35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7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</row>
    <row r="380" spans="1:119" x14ac:dyDescent="0.35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7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</row>
    <row r="381" spans="1:119" x14ac:dyDescent="0.35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7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</row>
    <row r="382" spans="1:119" x14ac:dyDescent="0.35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7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</row>
    <row r="383" spans="1:119" x14ac:dyDescent="0.35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7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</row>
    <row r="384" spans="1:119" x14ac:dyDescent="0.35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7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</row>
    <row r="385" spans="1:119" x14ac:dyDescent="0.35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7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</row>
    <row r="386" spans="1:119" x14ac:dyDescent="0.35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7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</row>
    <row r="387" spans="1:119" x14ac:dyDescent="0.35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8" si="9">M387*DO387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</row>
    <row r="388" spans="1:119" x14ac:dyDescent="0.35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9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</row>
    <row r="389" spans="1:119" ht="39.85" x14ac:dyDescent="0.3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9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</row>
    <row r="390" spans="1:119" x14ac:dyDescent="0.35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9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</row>
    <row r="391" spans="1:119" ht="39.85" x14ac:dyDescent="0.3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9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</row>
    <row r="392" spans="1:119" x14ac:dyDescent="0.35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9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</row>
    <row r="393" spans="1:119" x14ac:dyDescent="0.35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9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</row>
    <row r="394" spans="1:119" x14ac:dyDescent="0.35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9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</row>
    <row r="395" spans="1:119" x14ac:dyDescent="0.35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9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</row>
    <row r="396" spans="1:119" x14ac:dyDescent="0.35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9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</row>
    <row r="397" spans="1:119" x14ac:dyDescent="0.35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9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</row>
    <row r="398" spans="1:119" x14ac:dyDescent="0.35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9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</row>
    <row r="399" spans="1:119" x14ac:dyDescent="0.35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9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</row>
    <row r="400" spans="1:119" x14ac:dyDescent="0.35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9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</row>
    <row r="401" spans="1:119" x14ac:dyDescent="0.35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9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</row>
    <row r="402" spans="1:119" x14ac:dyDescent="0.35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9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</row>
    <row r="403" spans="1:119" x14ac:dyDescent="0.35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9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</row>
    <row r="404" spans="1:119" x14ac:dyDescent="0.35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9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</row>
    <row r="405" spans="1:119" x14ac:dyDescent="0.35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9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</row>
    <row r="406" spans="1:119" x14ac:dyDescent="0.35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9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</row>
    <row r="407" spans="1:119" x14ac:dyDescent="0.35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9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</row>
    <row r="408" spans="1:119" x14ac:dyDescent="0.35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9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</row>
    <row r="409" spans="1:119" x14ac:dyDescent="0.35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9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</row>
    <row r="410" spans="1:119" x14ac:dyDescent="0.35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9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</row>
    <row r="411" spans="1:119" x14ac:dyDescent="0.35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9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</row>
    <row r="412" spans="1:119" x14ac:dyDescent="0.35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9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</row>
    <row r="413" spans="1:119" x14ac:dyDescent="0.35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9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</row>
    <row r="414" spans="1:119" x14ac:dyDescent="0.35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9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</row>
    <row r="415" spans="1:119" x14ac:dyDescent="0.35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9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</row>
    <row r="416" spans="1:119" x14ac:dyDescent="0.35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9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</row>
    <row r="417" spans="1:119" x14ac:dyDescent="0.35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9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</row>
    <row r="418" spans="1:119" x14ac:dyDescent="0.35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9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</row>
    <row r="419" spans="1:119" x14ac:dyDescent="0.35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9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</row>
    <row r="420" spans="1:119" x14ac:dyDescent="0.35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9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</row>
    <row r="421" spans="1:119" x14ac:dyDescent="0.35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9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</row>
    <row r="422" spans="1:119" x14ac:dyDescent="0.35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9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</row>
    <row r="423" spans="1:119" x14ac:dyDescent="0.35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9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</row>
    <row r="424" spans="1:119" x14ac:dyDescent="0.35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9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</row>
    <row r="425" spans="1:119" x14ac:dyDescent="0.35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9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</row>
    <row r="426" spans="1:119" x14ac:dyDescent="0.35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9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</row>
    <row r="427" spans="1:119" x14ac:dyDescent="0.35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9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</row>
    <row r="428" spans="1:119" x14ac:dyDescent="0.35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9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</row>
    <row r="429" spans="1:119" x14ac:dyDescent="0.35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9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</row>
    <row r="430" spans="1:119" x14ac:dyDescent="0.35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9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</row>
    <row r="431" spans="1:119" x14ac:dyDescent="0.35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9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</row>
    <row r="432" spans="1:119" x14ac:dyDescent="0.35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9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</row>
    <row r="433" spans="1:119" x14ac:dyDescent="0.35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9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</row>
    <row r="434" spans="1:119" x14ac:dyDescent="0.35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9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</row>
    <row r="435" spans="1:119" x14ac:dyDescent="0.35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9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</row>
    <row r="436" spans="1:119" x14ac:dyDescent="0.35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9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</row>
    <row r="437" spans="1:119" x14ac:dyDescent="0.35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9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</row>
    <row r="438" spans="1:119" x14ac:dyDescent="0.35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9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</row>
    <row r="439" spans="1:119" x14ac:dyDescent="0.35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9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</row>
    <row r="440" spans="1:119" x14ac:dyDescent="0.35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9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</row>
    <row r="441" spans="1:119" x14ac:dyDescent="0.35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9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</row>
    <row r="442" spans="1:119" x14ac:dyDescent="0.35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9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</row>
    <row r="443" spans="1:119" x14ac:dyDescent="0.35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9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</row>
    <row r="444" spans="1:119" x14ac:dyDescent="0.35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9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</row>
    <row r="445" spans="1:119" x14ac:dyDescent="0.35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9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</row>
    <row r="446" spans="1:119" x14ac:dyDescent="0.35">
      <c r="A446" s="7"/>
      <c r="B446" s="8" t="s">
        <v>740</v>
      </c>
      <c r="C446" s="9" t="s">
        <v>741</v>
      </c>
      <c r="D446" s="10" t="s">
        <v>742</v>
      </c>
      <c r="E446" s="8" t="s">
        <v>1205</v>
      </c>
      <c r="F446" s="10">
        <v>1005</v>
      </c>
      <c r="G446" s="10" t="s">
        <v>40</v>
      </c>
      <c r="H446" s="10" t="s">
        <v>41</v>
      </c>
      <c r="I446" s="11">
        <v>2</v>
      </c>
      <c r="J446" s="10"/>
      <c r="K446" s="10" t="s">
        <v>566</v>
      </c>
      <c r="L446" s="8"/>
      <c r="M446" s="12"/>
      <c r="N446" s="12">
        <f t="shared" si="9"/>
        <v>0</v>
      </c>
      <c r="O446" s="11">
        <v>2</v>
      </c>
      <c r="P446" s="11">
        <v>2</v>
      </c>
      <c r="Q446" s="11">
        <v>2</v>
      </c>
      <c r="R446" s="11">
        <v>2</v>
      </c>
      <c r="S446" s="11">
        <v>2</v>
      </c>
      <c r="T446" s="11">
        <v>2</v>
      </c>
      <c r="U446" s="11">
        <v>2</v>
      </c>
      <c r="V446" s="11">
        <v>2</v>
      </c>
      <c r="W446" s="11">
        <v>2</v>
      </c>
      <c r="X446" s="11">
        <v>2</v>
      </c>
      <c r="Y446" s="11">
        <v>2</v>
      </c>
      <c r="Z446" s="11">
        <v>2</v>
      </c>
      <c r="AA446" s="11">
        <v>2</v>
      </c>
      <c r="AB446" s="11">
        <v>2</v>
      </c>
      <c r="AC446" s="11">
        <v>2</v>
      </c>
      <c r="AD446" s="11">
        <v>2</v>
      </c>
      <c r="AE446" s="11">
        <v>2</v>
      </c>
      <c r="AF446" s="11">
        <v>2</v>
      </c>
      <c r="AG446" s="11">
        <v>2</v>
      </c>
      <c r="AH446" s="11">
        <v>2</v>
      </c>
      <c r="AI446" s="11">
        <v>2</v>
      </c>
      <c r="AJ446" s="11">
        <v>2</v>
      </c>
      <c r="AK446" s="11">
        <v>2</v>
      </c>
      <c r="AL446" s="11">
        <v>2</v>
      </c>
      <c r="AM446" s="11">
        <v>2</v>
      </c>
      <c r="AN446" s="72">
        <v>2</v>
      </c>
      <c r="AO446" s="72">
        <v>2</v>
      </c>
      <c r="AP446" s="72">
        <v>2</v>
      </c>
      <c r="AQ446" s="72">
        <v>2</v>
      </c>
      <c r="AR446" s="72">
        <v>2</v>
      </c>
      <c r="AS446" s="72">
        <v>2</v>
      </c>
      <c r="AT446" s="72">
        <v>2</v>
      </c>
      <c r="AU446" s="72">
        <v>2</v>
      </c>
      <c r="AV446" s="72">
        <v>2</v>
      </c>
      <c r="AW446" s="72">
        <v>2</v>
      </c>
      <c r="AX446" s="72">
        <v>2</v>
      </c>
      <c r="AY446" s="72">
        <v>2</v>
      </c>
      <c r="AZ446" s="72">
        <v>2</v>
      </c>
      <c r="BA446" s="72">
        <v>2</v>
      </c>
      <c r="BB446" s="72">
        <v>2</v>
      </c>
      <c r="BC446" s="72">
        <v>2</v>
      </c>
      <c r="BD446" s="72">
        <v>2</v>
      </c>
      <c r="BE446" s="72">
        <v>2</v>
      </c>
      <c r="BF446" s="72">
        <v>2</v>
      </c>
      <c r="BG446" s="72">
        <v>2</v>
      </c>
      <c r="BH446" s="72">
        <v>2</v>
      </c>
      <c r="BI446" s="72">
        <v>2</v>
      </c>
      <c r="BJ446" s="72">
        <v>2</v>
      </c>
      <c r="BK446" s="72">
        <v>2</v>
      </c>
      <c r="BL446" s="72">
        <v>2</v>
      </c>
      <c r="BM446" s="72">
        <v>2</v>
      </c>
      <c r="BN446" s="72">
        <v>2</v>
      </c>
      <c r="BO446" s="72">
        <v>2</v>
      </c>
      <c r="BP446" s="72">
        <v>2</v>
      </c>
      <c r="BQ446" s="72">
        <v>2</v>
      </c>
      <c r="BR446" s="72">
        <v>2</v>
      </c>
      <c r="BS446" s="72">
        <v>2</v>
      </c>
      <c r="BT446" s="72">
        <v>2</v>
      </c>
      <c r="BU446" s="72">
        <v>2</v>
      </c>
      <c r="BV446" s="72">
        <v>2</v>
      </c>
      <c r="BW446" s="72">
        <v>2</v>
      </c>
      <c r="BX446" s="72">
        <v>2</v>
      </c>
      <c r="BY446" s="72">
        <v>2</v>
      </c>
      <c r="BZ446" s="72">
        <v>2</v>
      </c>
      <c r="CA446" s="72">
        <v>2</v>
      </c>
      <c r="CB446" s="72">
        <v>2</v>
      </c>
      <c r="CC446" s="72">
        <v>2</v>
      </c>
      <c r="CD446" s="72">
        <v>2</v>
      </c>
      <c r="CE446" s="72">
        <v>2</v>
      </c>
      <c r="CF446" s="72">
        <v>2</v>
      </c>
      <c r="CG446" s="72">
        <v>2</v>
      </c>
      <c r="CH446" s="72">
        <v>2</v>
      </c>
      <c r="CI446" s="72">
        <v>2</v>
      </c>
      <c r="CJ446" s="72">
        <v>2</v>
      </c>
      <c r="CK446" s="72">
        <v>2</v>
      </c>
      <c r="CL446" s="72">
        <v>2</v>
      </c>
      <c r="CM446" s="72">
        <v>2</v>
      </c>
      <c r="CN446" s="72">
        <v>2</v>
      </c>
      <c r="CO446" s="72">
        <v>2</v>
      </c>
      <c r="CP446" s="72">
        <v>2</v>
      </c>
      <c r="CQ446" s="72">
        <v>2</v>
      </c>
      <c r="CR446" s="72">
        <v>2</v>
      </c>
      <c r="CS446" s="72">
        <v>2</v>
      </c>
      <c r="CT446" s="72">
        <v>2</v>
      </c>
      <c r="CU446" s="72">
        <v>2</v>
      </c>
      <c r="CV446" s="72">
        <v>2</v>
      </c>
      <c r="CW446" s="72">
        <v>2</v>
      </c>
      <c r="CX446" s="72">
        <v>2</v>
      </c>
      <c r="CY446" s="72">
        <v>2</v>
      </c>
      <c r="CZ446" s="72">
        <v>2</v>
      </c>
      <c r="DA446" s="72">
        <v>2</v>
      </c>
      <c r="DB446" s="72">
        <v>2</v>
      </c>
      <c r="DC446" s="72">
        <v>2</v>
      </c>
      <c r="DD446" s="72">
        <v>2</v>
      </c>
      <c r="DE446" s="72">
        <v>2</v>
      </c>
      <c r="DF446" s="72">
        <v>2</v>
      </c>
      <c r="DG446" s="72">
        <v>2</v>
      </c>
      <c r="DH446" s="72">
        <v>2</v>
      </c>
      <c r="DI446" s="72">
        <v>2</v>
      </c>
      <c r="DJ446" s="72">
        <v>2</v>
      </c>
      <c r="DK446" s="72">
        <v>2</v>
      </c>
      <c r="DL446" s="72">
        <v>2</v>
      </c>
      <c r="DM446" s="72">
        <v>2</v>
      </c>
      <c r="DN446" s="72">
        <v>2</v>
      </c>
      <c r="DO446" s="72">
        <v>2</v>
      </c>
    </row>
    <row r="447" spans="1:119" x14ac:dyDescent="0.35">
      <c r="A447" s="7"/>
      <c r="B447" s="8" t="s">
        <v>743</v>
      </c>
      <c r="C447" s="9" t="s">
        <v>744</v>
      </c>
      <c r="D447" s="10" t="s">
        <v>745</v>
      </c>
      <c r="E447" s="8" t="s">
        <v>1229</v>
      </c>
      <c r="F447" s="10"/>
      <c r="G447" s="10" t="s">
        <v>40</v>
      </c>
      <c r="H447" s="10" t="s">
        <v>41</v>
      </c>
      <c r="I447" s="11">
        <v>4</v>
      </c>
      <c r="J447" s="10">
        <v>2</v>
      </c>
      <c r="K447" s="10"/>
      <c r="L447" s="8" t="s">
        <v>746</v>
      </c>
      <c r="M447" s="12"/>
      <c r="N447" s="12">
        <f t="shared" si="9"/>
        <v>0</v>
      </c>
      <c r="O447" s="11"/>
      <c r="P447" s="11"/>
      <c r="Q447" s="11"/>
      <c r="R447" s="11"/>
      <c r="S447" s="11"/>
      <c r="T447" s="11"/>
      <c r="U447" s="11">
        <v>0</v>
      </c>
      <c r="V447" s="11"/>
      <c r="W447" s="11">
        <v>0</v>
      </c>
      <c r="X447" s="11"/>
      <c r="Y447" s="11"/>
      <c r="Z447" s="11">
        <v>0</v>
      </c>
      <c r="AA447" s="11"/>
      <c r="AB447" s="11">
        <v>0</v>
      </c>
      <c r="AC447" s="11">
        <v>0</v>
      </c>
      <c r="AD447" s="11">
        <v>0</v>
      </c>
      <c r="AE447" s="11">
        <v>0</v>
      </c>
      <c r="AF447" s="11">
        <v>0</v>
      </c>
      <c r="AG447" s="11">
        <v>0</v>
      </c>
      <c r="AH447" s="11">
        <v>0</v>
      </c>
      <c r="AI447" s="11">
        <v>4</v>
      </c>
      <c r="AJ447" s="11">
        <v>4</v>
      </c>
      <c r="AK447" s="11">
        <v>4</v>
      </c>
      <c r="AL447" s="11">
        <v>4</v>
      </c>
      <c r="AM447" s="11">
        <v>4</v>
      </c>
      <c r="AN447" s="72">
        <v>4</v>
      </c>
      <c r="AO447" s="72">
        <v>4</v>
      </c>
      <c r="AP447" s="72">
        <v>4</v>
      </c>
      <c r="AQ447" s="72">
        <v>4</v>
      </c>
      <c r="AR447" s="72">
        <v>4</v>
      </c>
      <c r="AS447" s="72">
        <v>4</v>
      </c>
      <c r="AT447" s="72">
        <v>4</v>
      </c>
      <c r="AU447" s="72">
        <v>4</v>
      </c>
      <c r="AV447" s="72">
        <v>4</v>
      </c>
      <c r="AW447" s="72">
        <v>4</v>
      </c>
      <c r="AX447" s="72">
        <v>4</v>
      </c>
      <c r="AY447" s="72">
        <v>4</v>
      </c>
      <c r="AZ447" s="72">
        <v>4</v>
      </c>
      <c r="BA447" s="72">
        <v>4</v>
      </c>
      <c r="BB447" s="72">
        <v>4</v>
      </c>
      <c r="BC447" s="72">
        <v>4</v>
      </c>
      <c r="BD447" s="72">
        <v>4</v>
      </c>
      <c r="BE447" s="72">
        <v>4</v>
      </c>
      <c r="BF447" s="72">
        <v>4</v>
      </c>
      <c r="BG447" s="72">
        <v>4</v>
      </c>
      <c r="BH447" s="72">
        <v>4</v>
      </c>
      <c r="BI447" s="72">
        <v>4</v>
      </c>
      <c r="BJ447" s="72">
        <v>4</v>
      </c>
      <c r="BK447" s="72">
        <v>0</v>
      </c>
      <c r="BL447" s="72">
        <v>0</v>
      </c>
      <c r="BM447" s="72">
        <v>0</v>
      </c>
      <c r="BN447" s="72">
        <v>0</v>
      </c>
      <c r="BO447" s="72">
        <v>0</v>
      </c>
      <c r="BP447" s="72">
        <v>0</v>
      </c>
      <c r="BQ447" s="72">
        <v>0</v>
      </c>
      <c r="BR447" s="72">
        <v>0</v>
      </c>
      <c r="BS447" s="72">
        <v>0</v>
      </c>
      <c r="BT447" s="72">
        <v>0</v>
      </c>
      <c r="BU447" s="72">
        <v>0</v>
      </c>
      <c r="BV447" s="72">
        <v>0</v>
      </c>
      <c r="BW447" s="72">
        <v>0</v>
      </c>
      <c r="BX447" s="72">
        <v>0</v>
      </c>
      <c r="BY447" s="72">
        <v>0</v>
      </c>
      <c r="BZ447" s="72">
        <v>0</v>
      </c>
      <c r="CA447" s="72">
        <v>0</v>
      </c>
      <c r="CB447" s="72">
        <v>0</v>
      </c>
      <c r="CC447" s="72">
        <v>0</v>
      </c>
      <c r="CD447" s="72">
        <v>0</v>
      </c>
      <c r="CE447" s="72">
        <v>0</v>
      </c>
      <c r="CF447" s="72">
        <v>0</v>
      </c>
      <c r="CG447" s="72">
        <v>0</v>
      </c>
      <c r="CH447" s="72">
        <v>0</v>
      </c>
      <c r="CI447" s="72">
        <v>0</v>
      </c>
      <c r="CJ447" s="72">
        <v>0</v>
      </c>
      <c r="CK447" s="72">
        <v>0</v>
      </c>
      <c r="CL447" s="72">
        <v>0</v>
      </c>
      <c r="CM447" s="72">
        <v>0</v>
      </c>
      <c r="CN447" s="72">
        <v>0</v>
      </c>
      <c r="CO447" s="72">
        <v>0</v>
      </c>
      <c r="CP447" s="72">
        <v>0</v>
      </c>
      <c r="CQ447" s="72">
        <v>0</v>
      </c>
      <c r="CR447" s="72">
        <v>0</v>
      </c>
      <c r="CS447" s="72">
        <v>0</v>
      </c>
      <c r="CT447" s="72">
        <v>0</v>
      </c>
      <c r="CU447" s="72">
        <v>0</v>
      </c>
      <c r="CV447" s="72">
        <v>0</v>
      </c>
      <c r="CW447" s="72">
        <v>0</v>
      </c>
      <c r="CX447" s="72">
        <v>0</v>
      </c>
      <c r="CY447" s="72">
        <v>0</v>
      </c>
      <c r="CZ447" s="72">
        <v>0</v>
      </c>
      <c r="DA447" s="72">
        <v>0</v>
      </c>
      <c r="DB447" s="72">
        <v>0</v>
      </c>
      <c r="DC447" s="72">
        <v>0</v>
      </c>
      <c r="DD447" s="72">
        <v>0</v>
      </c>
      <c r="DE447" s="72">
        <v>0</v>
      </c>
      <c r="DF447" s="72">
        <v>0</v>
      </c>
      <c r="DG447" s="72">
        <v>0</v>
      </c>
      <c r="DH447" s="72">
        <v>0</v>
      </c>
      <c r="DI447" s="72">
        <v>0</v>
      </c>
      <c r="DJ447" s="72">
        <v>0</v>
      </c>
      <c r="DK447" s="72">
        <v>0</v>
      </c>
      <c r="DL447" s="72">
        <v>0</v>
      </c>
      <c r="DM447" s="72">
        <v>0</v>
      </c>
      <c r="DN447" s="72">
        <v>0</v>
      </c>
      <c r="DO447" s="72">
        <v>0</v>
      </c>
    </row>
    <row r="448" spans="1:119" x14ac:dyDescent="0.35">
      <c r="A448" s="7"/>
      <c r="B448" s="8" t="s">
        <v>747</v>
      </c>
      <c r="C448" s="35" t="s">
        <v>1159</v>
      </c>
      <c r="D448" s="10" t="s">
        <v>748</v>
      </c>
      <c r="E448" s="8" t="s">
        <v>1229</v>
      </c>
      <c r="F448" s="10"/>
      <c r="G448" s="10" t="s">
        <v>40</v>
      </c>
      <c r="H448" s="10" t="s">
        <v>41</v>
      </c>
      <c r="I448" s="11">
        <v>2</v>
      </c>
      <c r="J448" s="10"/>
      <c r="K448" s="10" t="s">
        <v>550</v>
      </c>
      <c r="L448" s="8"/>
      <c r="M448" s="12"/>
      <c r="N448" s="12">
        <f t="shared" si="9"/>
        <v>0</v>
      </c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>
        <v>3</v>
      </c>
      <c r="AA448" s="11"/>
      <c r="AB448" s="11"/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2</v>
      </c>
      <c r="AJ448" s="11">
        <v>2</v>
      </c>
      <c r="AK448" s="11">
        <v>2</v>
      </c>
      <c r="AL448" s="11">
        <v>1</v>
      </c>
      <c r="AM448" s="11">
        <v>1</v>
      </c>
      <c r="AN448" s="72">
        <v>1</v>
      </c>
      <c r="AO448" s="72">
        <v>1</v>
      </c>
      <c r="AP448" s="72">
        <v>1</v>
      </c>
      <c r="AQ448" s="72">
        <v>1</v>
      </c>
      <c r="AR448" s="72">
        <v>1</v>
      </c>
      <c r="AS448" s="72">
        <v>1</v>
      </c>
      <c r="AT448" s="72">
        <v>1</v>
      </c>
      <c r="AU448" s="72">
        <v>1</v>
      </c>
      <c r="AV448" s="72">
        <v>1</v>
      </c>
      <c r="AW448" s="72">
        <v>1</v>
      </c>
      <c r="AX448" s="72">
        <v>1</v>
      </c>
      <c r="AY448" s="72">
        <v>1</v>
      </c>
      <c r="AZ448" s="72">
        <v>1</v>
      </c>
      <c r="BA448" s="72">
        <v>1</v>
      </c>
      <c r="BB448" s="72">
        <v>1</v>
      </c>
      <c r="BC448" s="72">
        <v>1</v>
      </c>
      <c r="BD448" s="72">
        <v>1</v>
      </c>
      <c r="BE448" s="72">
        <v>1</v>
      </c>
      <c r="BF448" s="72">
        <v>1</v>
      </c>
      <c r="BG448" s="72">
        <v>1</v>
      </c>
      <c r="BH448" s="72">
        <v>1</v>
      </c>
      <c r="BI448" s="72">
        <v>1</v>
      </c>
      <c r="BJ448" s="72">
        <v>1</v>
      </c>
      <c r="BK448" s="72">
        <v>1</v>
      </c>
      <c r="BL448" s="72">
        <v>1</v>
      </c>
      <c r="BM448" s="72">
        <v>1</v>
      </c>
      <c r="BN448" s="72">
        <v>1</v>
      </c>
      <c r="BO448" s="72">
        <v>1</v>
      </c>
      <c r="BP448" s="72">
        <v>1</v>
      </c>
      <c r="BQ448" s="72">
        <v>1</v>
      </c>
      <c r="BR448" s="72">
        <v>1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Stok!I446:AP446</xm:f>
              <xm:sqref>A442</xm:sqref>
            </x14:sparkline>
            <x14:sparkline>
              <xm:f>Stok!I447:AP447</xm:f>
              <xm:sqref>A443</xm:sqref>
            </x14:sparkline>
            <x14:sparkline>
              <xm:f>Stok!I447:AP447</xm:f>
              <xm:sqref>A444</xm:sqref>
            </x14:sparkline>
            <x14:sparkline>
              <xm:f>Stok!I447:AP447</xm:f>
              <xm:sqref>A445</xm:sqref>
            </x14:sparkline>
            <x14:sparkline>
              <xm:f>Stok!I448:AP448</xm:f>
              <xm:sqref>A446</xm:sqref>
            </x14:sparkline>
            <x14:sparkline>
              <xm:sqref>A447</xm:sqref>
            </x14:sparkline>
            <x14:sparkline>
              <xm:sqref>A448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2026-08-31T07:22:12Z</dcterms:modified>
</cp:coreProperties>
</file>