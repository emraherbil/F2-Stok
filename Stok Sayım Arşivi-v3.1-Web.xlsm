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Güncel Stok-Rezerve Versiyon\"/>
    </mc:Choice>
  </mc:AlternateContent>
  <xr:revisionPtr revIDLastSave="0" documentId="13_ncr:1_{990156DA-DA4E-4900-BC6B-4DE919C9DAC1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3" i="2" l="1"/>
  <c r="DR4" i="2"/>
  <c r="DR5" i="2"/>
  <c r="DR6" i="2"/>
  <c r="DR7" i="2"/>
  <c r="DR8" i="2"/>
  <c r="DR9" i="2"/>
  <c r="DR10" i="2"/>
  <c r="DR11" i="2"/>
  <c r="DR12" i="2"/>
  <c r="DR13" i="2"/>
  <c r="DR14" i="2"/>
  <c r="DR15" i="2"/>
  <c r="DR16" i="2"/>
  <c r="DR17" i="2"/>
  <c r="DR18" i="2"/>
  <c r="DR19" i="2"/>
  <c r="DR20" i="2"/>
  <c r="DR21" i="2"/>
  <c r="DR22" i="2"/>
  <c r="DR23" i="2"/>
  <c r="DR24" i="2"/>
  <c r="DR25" i="2"/>
  <c r="DR26" i="2"/>
  <c r="DR27" i="2"/>
  <c r="DR28" i="2"/>
  <c r="DR29" i="2"/>
  <c r="DR30" i="2"/>
  <c r="DR31" i="2"/>
  <c r="DR32" i="2"/>
  <c r="DR33" i="2"/>
  <c r="DR34" i="2"/>
  <c r="DR35" i="2"/>
  <c r="DR36" i="2"/>
  <c r="DR37" i="2"/>
  <c r="DR38" i="2"/>
  <c r="DR39" i="2"/>
  <c r="DR40" i="2"/>
  <c r="DR41" i="2"/>
  <c r="DR42" i="2"/>
  <c r="DR43" i="2"/>
  <c r="DR44" i="2"/>
  <c r="DR45" i="2"/>
  <c r="DR46" i="2"/>
  <c r="DR47" i="2"/>
  <c r="DR48" i="2"/>
  <c r="DR49" i="2"/>
  <c r="DR50" i="2"/>
  <c r="DR51" i="2"/>
  <c r="DR52" i="2"/>
  <c r="DR53" i="2"/>
  <c r="DR54" i="2"/>
  <c r="DR55" i="2"/>
  <c r="DR56" i="2"/>
  <c r="DR57" i="2"/>
  <c r="DR58" i="2"/>
  <c r="DR59" i="2"/>
  <c r="DR60" i="2"/>
  <c r="DR61" i="2"/>
  <c r="DR62" i="2"/>
  <c r="DR63" i="2"/>
  <c r="DR64" i="2"/>
  <c r="DR65" i="2"/>
  <c r="DR66" i="2"/>
  <c r="DR67" i="2"/>
  <c r="DR68" i="2"/>
  <c r="DR69" i="2"/>
  <c r="DR70" i="2"/>
  <c r="DR71" i="2"/>
  <c r="DR72" i="2"/>
  <c r="DR73" i="2"/>
  <c r="DR74" i="2"/>
  <c r="DR75" i="2"/>
  <c r="DR76" i="2"/>
  <c r="DR77" i="2"/>
  <c r="DR78" i="2"/>
  <c r="DR79" i="2"/>
  <c r="DR80" i="2"/>
  <c r="DR81" i="2"/>
  <c r="DR82" i="2"/>
  <c r="DR83" i="2"/>
  <c r="DR84" i="2"/>
  <c r="DR85" i="2"/>
  <c r="DR86" i="2"/>
  <c r="DR87" i="2"/>
  <c r="DR88" i="2"/>
  <c r="DR89" i="2"/>
  <c r="DR90" i="2"/>
  <c r="DR91" i="2"/>
  <c r="DR92" i="2"/>
  <c r="DR93" i="2"/>
  <c r="DR94" i="2"/>
  <c r="DR95" i="2"/>
  <c r="DR96" i="2"/>
  <c r="DR97" i="2"/>
  <c r="DR98" i="2"/>
  <c r="DR99" i="2"/>
  <c r="DR100" i="2"/>
  <c r="DR101" i="2"/>
  <c r="DR102" i="2"/>
  <c r="DR103" i="2"/>
  <c r="DR104" i="2"/>
  <c r="DR105" i="2"/>
  <c r="DR106" i="2"/>
  <c r="DR107" i="2"/>
  <c r="DR108" i="2"/>
  <c r="DR109" i="2"/>
  <c r="DR110" i="2"/>
  <c r="DR111" i="2"/>
  <c r="DR112" i="2"/>
  <c r="DR113" i="2"/>
  <c r="DR114" i="2"/>
  <c r="DR115" i="2"/>
  <c r="DR116" i="2"/>
  <c r="DR117" i="2"/>
  <c r="DR118" i="2"/>
  <c r="DR119" i="2"/>
  <c r="DR120" i="2"/>
  <c r="DR121" i="2"/>
  <c r="DR122" i="2"/>
  <c r="DR123" i="2"/>
  <c r="DR124" i="2"/>
  <c r="DR125" i="2"/>
  <c r="DR126" i="2"/>
  <c r="DR127" i="2"/>
  <c r="DR128" i="2"/>
  <c r="DR129" i="2"/>
  <c r="DR130" i="2"/>
  <c r="DR131" i="2"/>
  <c r="DR132" i="2"/>
  <c r="DR133" i="2"/>
  <c r="DR134" i="2"/>
  <c r="DR135" i="2"/>
  <c r="DR136" i="2"/>
  <c r="DR137" i="2"/>
  <c r="DR138" i="2"/>
  <c r="DR139" i="2"/>
  <c r="DR140" i="2"/>
  <c r="DR141" i="2"/>
  <c r="DR143" i="2"/>
  <c r="DR144" i="2"/>
  <c r="DR145" i="2"/>
  <c r="DR146" i="2"/>
  <c r="DR147" i="2"/>
  <c r="DR148" i="2"/>
  <c r="DR149" i="2"/>
  <c r="DR150" i="2"/>
  <c r="DR151" i="2"/>
  <c r="DR152" i="2"/>
  <c r="DR153" i="2"/>
  <c r="DR154" i="2"/>
  <c r="DR155" i="2"/>
  <c r="DR156" i="2"/>
  <c r="DR157" i="2"/>
  <c r="DR158" i="2"/>
  <c r="DR159" i="2"/>
  <c r="DR160" i="2"/>
  <c r="DR161" i="2"/>
  <c r="DR162" i="2"/>
  <c r="DR163" i="2"/>
  <c r="DR164" i="2"/>
  <c r="DR165" i="2"/>
  <c r="DR166" i="2"/>
  <c r="DR167" i="2"/>
  <c r="DR168" i="2"/>
  <c r="DR169" i="2"/>
  <c r="DR170" i="2"/>
  <c r="DR171" i="2"/>
  <c r="DR172" i="2"/>
  <c r="DR173" i="2"/>
  <c r="DR174" i="2"/>
  <c r="DR175" i="2"/>
  <c r="DR176" i="2"/>
  <c r="DR177" i="2"/>
  <c r="DR178" i="2"/>
  <c r="DR179" i="2"/>
  <c r="DR180" i="2"/>
  <c r="DR181" i="2"/>
  <c r="DR182" i="2"/>
  <c r="DR183" i="2"/>
  <c r="DR184" i="2"/>
  <c r="DR185" i="2"/>
  <c r="DR186" i="2"/>
  <c r="DR187" i="2"/>
  <c r="DR188" i="2"/>
  <c r="DR189" i="2"/>
  <c r="DR190" i="2"/>
  <c r="DR191" i="2"/>
  <c r="DR192" i="2"/>
  <c r="DR193" i="2"/>
  <c r="DR194" i="2"/>
  <c r="DR195" i="2"/>
  <c r="DR196" i="2"/>
  <c r="DR197" i="2"/>
  <c r="DR198" i="2"/>
  <c r="DR199" i="2"/>
  <c r="DR200" i="2"/>
  <c r="DR201" i="2"/>
  <c r="DR202" i="2"/>
  <c r="DR203" i="2"/>
  <c r="DR204" i="2"/>
  <c r="DR205" i="2"/>
  <c r="DR206" i="2"/>
  <c r="DR207" i="2"/>
  <c r="DR208" i="2"/>
  <c r="DR209" i="2"/>
  <c r="DR210" i="2"/>
  <c r="DR211" i="2"/>
  <c r="DR212" i="2"/>
  <c r="DR213" i="2"/>
  <c r="DR214" i="2"/>
  <c r="DR215" i="2"/>
  <c r="DR216" i="2"/>
  <c r="DR217" i="2"/>
  <c r="DR218" i="2"/>
  <c r="DR219" i="2"/>
  <c r="DR220" i="2"/>
  <c r="DR221" i="2"/>
  <c r="DR222" i="2"/>
  <c r="DR223" i="2"/>
  <c r="DR224" i="2"/>
  <c r="DR225" i="2"/>
  <c r="DR226" i="2"/>
  <c r="DR227" i="2"/>
  <c r="DR228" i="2"/>
  <c r="DR229" i="2"/>
  <c r="DR230" i="2"/>
  <c r="DR231" i="2"/>
  <c r="DR232" i="2"/>
  <c r="DR233" i="2"/>
  <c r="DR234" i="2"/>
  <c r="DR235" i="2"/>
  <c r="DR236" i="2"/>
  <c r="DR237" i="2"/>
  <c r="DR238" i="2"/>
  <c r="DR239" i="2"/>
  <c r="DR240" i="2"/>
  <c r="DR241" i="2"/>
  <c r="DR242" i="2"/>
  <c r="DR243" i="2"/>
  <c r="DR244" i="2"/>
  <c r="DR245" i="2"/>
  <c r="DR246" i="2"/>
  <c r="DR247" i="2"/>
  <c r="DR248" i="2"/>
  <c r="DR249" i="2"/>
  <c r="DR250" i="2"/>
  <c r="DR251" i="2"/>
  <c r="DR252" i="2"/>
  <c r="DR253" i="2"/>
  <c r="DR254" i="2"/>
  <c r="DR255" i="2"/>
  <c r="DR256" i="2"/>
  <c r="DR257" i="2"/>
  <c r="DR258" i="2"/>
  <c r="DR259" i="2"/>
  <c r="DR260" i="2"/>
  <c r="DR261" i="2"/>
  <c r="DR262" i="2"/>
  <c r="DR263" i="2"/>
  <c r="DR264" i="2"/>
  <c r="DR265" i="2"/>
  <c r="DR266" i="2"/>
  <c r="DR267" i="2"/>
  <c r="DR268" i="2"/>
  <c r="DR269" i="2"/>
  <c r="DR270" i="2"/>
  <c r="DR271" i="2"/>
  <c r="DR272" i="2"/>
  <c r="DR273" i="2"/>
  <c r="DR274" i="2"/>
  <c r="DR275" i="2"/>
  <c r="DR276" i="2"/>
  <c r="DR277" i="2"/>
  <c r="DR278" i="2"/>
  <c r="DR279" i="2"/>
  <c r="DR280" i="2"/>
  <c r="DR281" i="2"/>
  <c r="DR282" i="2"/>
  <c r="DR283" i="2"/>
  <c r="DR284" i="2"/>
  <c r="DR285" i="2"/>
  <c r="DR286" i="2"/>
  <c r="DR287" i="2"/>
  <c r="DR288" i="2"/>
  <c r="DR289" i="2"/>
  <c r="DR290" i="2"/>
  <c r="DR291" i="2"/>
  <c r="DR292" i="2"/>
  <c r="DR293" i="2"/>
  <c r="DR294" i="2"/>
  <c r="DR295" i="2"/>
  <c r="DR296" i="2"/>
  <c r="DR297" i="2"/>
  <c r="DR298" i="2"/>
  <c r="DR299" i="2"/>
  <c r="DR300" i="2"/>
  <c r="DR301" i="2"/>
  <c r="DR302" i="2"/>
  <c r="DR303" i="2"/>
  <c r="DR304" i="2"/>
  <c r="DR305" i="2"/>
  <c r="DR306" i="2"/>
  <c r="DR307" i="2"/>
  <c r="DR308" i="2"/>
  <c r="DR309" i="2"/>
  <c r="DR310" i="2"/>
  <c r="DR311" i="2"/>
  <c r="DR312" i="2"/>
  <c r="DR313" i="2"/>
  <c r="DR314" i="2"/>
  <c r="DR315" i="2"/>
  <c r="DR316" i="2"/>
  <c r="DR317" i="2"/>
  <c r="DR318" i="2"/>
  <c r="DR319" i="2"/>
  <c r="DR320" i="2"/>
  <c r="DR321" i="2"/>
  <c r="DR322" i="2"/>
  <c r="DR323" i="2"/>
  <c r="DR324" i="2"/>
  <c r="DR325" i="2"/>
  <c r="DR326" i="2"/>
  <c r="DR327" i="2"/>
  <c r="DR328" i="2"/>
  <c r="DR329" i="2"/>
  <c r="DR330" i="2"/>
  <c r="DR331" i="2"/>
  <c r="DR332" i="2"/>
  <c r="DR333" i="2"/>
  <c r="DR334" i="2"/>
  <c r="DR335" i="2"/>
  <c r="DR336" i="2"/>
  <c r="DR337" i="2"/>
  <c r="DR338" i="2"/>
  <c r="DR339" i="2"/>
  <c r="DR340" i="2"/>
  <c r="DR341" i="2"/>
  <c r="DR342" i="2"/>
  <c r="DR343" i="2"/>
  <c r="DR344" i="2"/>
  <c r="DR345" i="2"/>
  <c r="DR347" i="2"/>
  <c r="DR348" i="2"/>
  <c r="DR349" i="2"/>
  <c r="DR350" i="2"/>
  <c r="DR351" i="2"/>
  <c r="DR352" i="2"/>
  <c r="DR353" i="2"/>
  <c r="DR354" i="2"/>
  <c r="DR355" i="2"/>
  <c r="DR356" i="2"/>
  <c r="DR357" i="2"/>
  <c r="DR358" i="2"/>
  <c r="DR359" i="2"/>
  <c r="DR360" i="2"/>
  <c r="DR361" i="2"/>
  <c r="DR362" i="2"/>
  <c r="DR363" i="2"/>
  <c r="DR364" i="2"/>
  <c r="DR365" i="2"/>
  <c r="DR366" i="2"/>
  <c r="DR367" i="2"/>
  <c r="DR368" i="2"/>
  <c r="DR369" i="2"/>
  <c r="DR370" i="2"/>
  <c r="DR371" i="2"/>
  <c r="DR372" i="2"/>
  <c r="DR373" i="2"/>
  <c r="DR374" i="2"/>
  <c r="DR375" i="2"/>
  <c r="DR376" i="2"/>
  <c r="DR377" i="2"/>
  <c r="DR378" i="2"/>
  <c r="DR379" i="2"/>
  <c r="DR380" i="2"/>
  <c r="DR381" i="2"/>
  <c r="DR382" i="2"/>
  <c r="DR383" i="2"/>
  <c r="DR384" i="2"/>
  <c r="DR385" i="2"/>
  <c r="DR386" i="2"/>
  <c r="DR387" i="2"/>
  <c r="DR388" i="2"/>
  <c r="DR389" i="2"/>
  <c r="DR390" i="2"/>
  <c r="DR391" i="2"/>
  <c r="DR392" i="2"/>
  <c r="DR393" i="2"/>
  <c r="DR394" i="2"/>
  <c r="DR395" i="2"/>
  <c r="DR396" i="2"/>
  <c r="DR397" i="2"/>
  <c r="DR398" i="2"/>
  <c r="DR399" i="2"/>
  <c r="DR400" i="2"/>
  <c r="DR401" i="2"/>
  <c r="DR402" i="2"/>
  <c r="DR403" i="2"/>
  <c r="DR404" i="2"/>
  <c r="DR405" i="2"/>
  <c r="DR406" i="2"/>
  <c r="DR407" i="2"/>
  <c r="DR408" i="2"/>
  <c r="DR409" i="2"/>
  <c r="DR410" i="2"/>
  <c r="DR411" i="2"/>
  <c r="DR412" i="2"/>
  <c r="DR413" i="2"/>
  <c r="DR414" i="2"/>
  <c r="DR415" i="2"/>
  <c r="DR416" i="2"/>
  <c r="DR417" i="2"/>
  <c r="DR418" i="2"/>
  <c r="DR419" i="2"/>
  <c r="DR420" i="2"/>
  <c r="DR421" i="2"/>
  <c r="DR422" i="2"/>
  <c r="DR423" i="2"/>
  <c r="DR424" i="2"/>
  <c r="DR425" i="2"/>
  <c r="DR426" i="2"/>
  <c r="DR427" i="2"/>
  <c r="DR428" i="2"/>
  <c r="DR429" i="2"/>
  <c r="DR430" i="2"/>
  <c r="DR431" i="2"/>
  <c r="DR432" i="2"/>
  <c r="DR433" i="2"/>
  <c r="DR434" i="2"/>
  <c r="DR435" i="2"/>
  <c r="DR436" i="2"/>
  <c r="DR437" i="2"/>
  <c r="DR438" i="2"/>
  <c r="DR439" i="2"/>
  <c r="DR440" i="2"/>
  <c r="DR441" i="2"/>
  <c r="DR442" i="2"/>
  <c r="DR443" i="2"/>
  <c r="DR444" i="2"/>
  <c r="DR445" i="2"/>
  <c r="DR446" i="2"/>
  <c r="DR447" i="2"/>
  <c r="DR448" i="2"/>
  <c r="DR449" i="2"/>
  <c r="DR2" i="2"/>
  <c r="N6" i="6"/>
  <c r="Z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N346" i="2" l="1"/>
  <c r="DR346" i="2"/>
  <c r="N142" i="2"/>
  <c r="DR142" i="2"/>
  <c r="DO346" i="2"/>
  <c r="DO142" i="2"/>
  <c r="N7" i="6" l="1"/>
  <c r="N8" i="6"/>
  <c r="DN346" i="2"/>
  <c r="DN142" i="2"/>
  <c r="N9" i="6" l="1"/>
  <c r="DM346" i="2" l="1"/>
  <c r="DM142" i="2"/>
  <c r="N10" i="6" l="1"/>
  <c r="DL346" i="2"/>
  <c r="DL142" i="2"/>
  <c r="DK346" i="2"/>
  <c r="DK142" i="2"/>
  <c r="N11" i="6" l="1"/>
  <c r="DJ346" i="2"/>
  <c r="DJ142" i="2"/>
  <c r="N12" i="6" l="1"/>
  <c r="DI346" i="2"/>
  <c r="DI142" i="2"/>
  <c r="N13" i="6" l="1"/>
  <c r="N14" i="6"/>
  <c r="DH346" i="2" l="1"/>
  <c r="DH142" i="2"/>
  <c r="DG346" i="2"/>
  <c r="DG142" i="2"/>
  <c r="N15" i="6" l="1"/>
  <c r="DF346" i="2"/>
  <c r="DF142" i="2"/>
  <c r="N16" i="6" l="1"/>
  <c r="N17" i="6"/>
  <c r="DE346" i="2"/>
  <c r="DE142" i="2"/>
  <c r="N18" i="6" l="1"/>
  <c r="DD346" i="2"/>
  <c r="DD142" i="2"/>
  <c r="N19" i="6"/>
  <c r="DC142" i="2" l="1"/>
  <c r="DB142" i="2"/>
  <c r="N20" i="6" l="1"/>
  <c r="N21" i="6"/>
  <c r="DA142" i="2"/>
  <c r="N22" i="6" l="1"/>
  <c r="CZ142" i="2"/>
  <c r="N23" i="6" l="1"/>
  <c r="N24" i="6"/>
  <c r="N25" i="6" l="1"/>
  <c r="N26" i="6" l="1"/>
  <c r="N27" i="6" l="1"/>
  <c r="N28" i="6" l="1"/>
  <c r="N29" i="6"/>
  <c r="N30" i="6" l="1"/>
  <c r="N31" i="6" l="1"/>
  <c r="N32" i="6"/>
  <c r="N33" i="6" l="1"/>
  <c r="N34" i="6" l="1"/>
  <c r="N35" i="6" l="1"/>
  <c r="N36" i="6"/>
  <c r="N37" i="6" l="1"/>
  <c r="N38" i="6"/>
  <c r="N39" i="6" l="1"/>
  <c r="N40" i="6" l="1"/>
  <c r="N41" i="6"/>
  <c r="N42" i="6" l="1"/>
  <c r="N43" i="6" l="1"/>
  <c r="N44" i="6" l="1"/>
  <c r="N45" i="6" l="1"/>
  <c r="N46" i="6"/>
  <c r="N47" i="6" l="1"/>
  <c r="N48" i="6" l="1"/>
  <c r="N49" i="6" l="1"/>
  <c r="N50" i="6" l="1"/>
  <c r="N51" i="6" l="1"/>
  <c r="N52" i="6" l="1"/>
  <c r="N53" i="6" l="1"/>
  <c r="BU144" i="2"/>
  <c r="N54" i="6" l="1"/>
  <c r="N55" i="6" l="1"/>
  <c r="BS191" i="2" l="1"/>
  <c r="N56" i="6" l="1"/>
  <c r="N57" i="6" l="1"/>
  <c r="N58" i="6" l="1"/>
  <c r="N59" i="6"/>
  <c r="N60" i="6"/>
  <c r="N61" i="6" l="1"/>
  <c r="N62" i="6"/>
  <c r="N63" i="6" l="1"/>
  <c r="N64" i="6"/>
  <c r="N109" i="6" l="1"/>
  <c r="N65" i="6" l="1"/>
  <c r="N66" i="6" l="1"/>
  <c r="N67" i="6" l="1"/>
  <c r="N68" i="6" l="1"/>
  <c r="N69" i="6" l="1"/>
  <c r="N70" i="6"/>
  <c r="N71" i="6" l="1"/>
  <c r="N72" i="6"/>
  <c r="N73" i="6" l="1"/>
  <c r="G2" i="6" l="1"/>
  <c r="N74" i="6" l="1"/>
  <c r="N75" i="6" l="1"/>
  <c r="N76" i="6" l="1"/>
  <c r="N77" i="6" l="1"/>
  <c r="N78" i="6" l="1"/>
  <c r="N112" i="6" l="1"/>
  <c r="N111" i="6"/>
  <c r="N110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0" i="6"/>
  <c r="N79" i="6"/>
  <c r="N81" i="6"/>
  <c r="N82" i="6" l="1"/>
  <c r="N83" i="6" l="1"/>
  <c r="N84" i="6" l="1"/>
  <c r="L37" i="3" l="1"/>
</calcChain>
</file>

<file path=xl/sharedStrings.xml><?xml version="1.0" encoding="utf-8"?>
<sst xmlns="http://schemas.openxmlformats.org/spreadsheetml/2006/main" count="4731" uniqueCount="1599">
  <si>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</si>
  <si>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</si>
  <si>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</si>
  <si>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</si>
  <si>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</si>
  <si>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</si>
  <si>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</si>
  <si>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</si>
  <si>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</si>
  <si>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</si>
  <si>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</si>
  <si>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</si>
  <si>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</si>
  <si>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</si>
  <si>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</si>
  <si>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</si>
  <si>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</si>
  <si>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</si>
  <si>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</si>
  <si>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</si>
  <si>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</si>
  <si>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</si>
  <si>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</si>
  <si>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</si>
  <si>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</si>
  <si>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</si>
  <si>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</si>
  <si>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</si>
  <si>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</si>
  <si>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</si>
  <si>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</si>
  <si>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</si>
  <si>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</si>
  <si>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</si>
  <si>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</si>
  <si>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</si>
  <si>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</si>
  <si>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</si>
  <si>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</si>
  <si>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</si>
  <si>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</si>
  <si>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</si>
  <si>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</si>
  <si>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</si>
  <si>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</si>
  <si>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</si>
  <si>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</si>
  <si>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</si>
  <si>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</si>
  <si>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</si>
  <si>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</si>
  <si>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</si>
  <si>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</si>
  <si>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</si>
  <si>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</si>
  <si>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</si>
  <si>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</si>
  <si>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</si>
  <si>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</si>
  <si>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</si>
  <si>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</si>
  <si>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</si>
  <si>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</si>
  <si>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</si>
  <si>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</si>
  <si>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</si>
  <si>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</si>
  <si>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</si>
  <si>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</si>
  <si>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</si>
  <si>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</si>
  <si>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</si>
  <si>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</si>
  <si>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</si>
  <si>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</si>
  <si>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</si>
  <si>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</si>
  <si>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</si>
  <si>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</si>
  <si>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</si>
  <si>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</si>
  <si>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</si>
  <si>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</si>
  <si>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</si>
  <si>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</si>
  <si>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</si>
  <si>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</si>
  <si>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</si>
  <si>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</si>
  <si>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</si>
  <si>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</si>
  <si>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</si>
  <si>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</si>
  <si>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</si>
  <si>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</si>
  <si>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</si>
  <si>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</si>
  <si>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</si>
  <si>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</si>
  <si>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</si>
  <si>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</si>
  <si>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</si>
  <si>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</si>
  <si>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</si>
  <si>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</si>
  <si>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</si>
  <si>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</si>
  <si>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</si>
  <si>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</si>
  <si>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</si>
  <si>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</si>
  <si>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</si>
  <si>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</si>
  <si>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</si>
  <si>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</si>
  <si>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</si>
  <si>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</si>
  <si>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</si>
  <si>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</si>
  <si>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</si>
  <si>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</si>
  <si>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</si>
  <si>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</si>
  <si>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</si>
  <si>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</si>
  <si>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</si>
  <si>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</si>
  <si>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</si>
  <si>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</si>
  <si>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</si>
  <si>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</si>
  <si>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</si>
  <si>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</si>
  <si>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</si>
  <si>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</si>
  <si>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</si>
  <si>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</si>
  <si>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</si>
  <si>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</si>
  <si>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</si>
  <si>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</si>
  <si>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</si>
  <si>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</si>
  <si>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</si>
  <si>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</si>
  <si>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</si>
  <si>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</si>
  <si>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</si>
  <si>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</si>
  <si>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</si>
  <si>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</si>
  <si>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</si>
  <si>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</si>
  <si>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</si>
  <si>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</si>
  <si>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</si>
  <si>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</si>
  <si>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</si>
  <si>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</si>
  <si>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</si>
  <si>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</si>
  <si>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</si>
  <si>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</si>
  <si>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</si>
  <si>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</si>
  <si>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</si>
  <si>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</si>
  <si>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</si>
  <si>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</si>
  <si>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</si>
  <si>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</si>
  <si>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</si>
  <si>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</si>
  <si>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</si>
  <si>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</si>
  <si>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</si>
  <si>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</si>
  <si>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</si>
  <si>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</si>
  <si>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</si>
  <si>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</si>
  <si>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</si>
  <si>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</si>
  <si>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</si>
  <si>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</si>
  <si>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</si>
  <si>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</si>
  <si>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</si>
  <si>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</si>
  <si>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</si>
  <si>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</si>
  <si>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</si>
  <si>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</si>
  <si>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</si>
  <si>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</si>
  <si>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</si>
  <si>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</si>
  <si>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</si>
  <si>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</si>
  <si>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</si>
  <si>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</si>
  <si>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</si>
  <si>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</si>
  <si>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</si>
  <si>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</si>
  <si>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</si>
  <si>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</si>
  <si>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</si>
  <si>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</si>
  <si>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</si>
  <si>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</si>
  <si>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</si>
  <si>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</si>
  <si>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</si>
  <si>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</si>
  <si>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</si>
  <si>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</si>
  <si>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</si>
  <si>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</si>
  <si>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</si>
  <si>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</si>
  <si>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</si>
  <si>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</si>
  <si>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</si>
  <si>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</si>
  <si>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</si>
  <si>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</si>
  <si>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</si>
  <si>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</si>
  <si>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</si>
  <si>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</si>
  <si>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</si>
  <si>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</si>
  <si>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</si>
  <si>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</si>
  <si>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</si>
  <si>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</si>
  <si>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</si>
  <si>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</si>
  <si>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</si>
  <si>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</si>
  <si>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</si>
  <si>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</si>
  <si>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</si>
  <si>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</si>
  <si>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</si>
  <si>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</si>
  <si>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</si>
  <si>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</si>
  <si>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</si>
  <si>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</si>
  <si>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</si>
  <si>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</si>
  <si>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</si>
  <si>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</si>
  <si>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</si>
  <si>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</si>
  <si>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</si>
  <si>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</si>
  <si>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</si>
  <si>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</si>
  <si>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</si>
  <si>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</si>
  <si>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</si>
  <si>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</si>
  <si>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</si>
  <si>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</si>
  <si>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</si>
  <si>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</si>
  <si>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</si>
  <si>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</si>
  <si>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</si>
  <si>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</si>
  <si>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</si>
  <si>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</si>
  <si>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</si>
  <si>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</si>
  <si>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</si>
  <si>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</si>
  <si>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</si>
  <si>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</si>
  <si>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</si>
  <si>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</si>
  <si>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</si>
  <si>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</si>
  <si>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</si>
  <si>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</si>
  <si>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</si>
  <si>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</si>
  <si>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</si>
  <si>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</si>
  <si>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</si>
  <si>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</si>
  <si>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</si>
  <si>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</si>
  <si>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</si>
  <si>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</si>
  <si>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</si>
  <si>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</si>
  <si>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</si>
  <si>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</si>
  <si>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</si>
  <si>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</si>
  <si>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</si>
  <si>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</si>
  <si>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</si>
  <si>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</si>
  <si>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</si>
  <si>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</si>
  <si>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</si>
  <si>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</si>
  <si>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</si>
  <si>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</si>
  <si>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</si>
  <si>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</si>
  <si>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</si>
  <si>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</si>
  <si>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</si>
  <si>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</si>
  <si>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</si>
  <si>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</si>
  <si>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</si>
  <si>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</si>
  <si>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</si>
  <si>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</si>
  <si>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</si>
  <si>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</si>
  <si>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</si>
  <si>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</si>
  <si>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</si>
  <si>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</si>
  <si>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</si>
  <si>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</si>
  <si>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</si>
  <si>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</si>
  <si>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</si>
  <si>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</si>
  <si>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</si>
  <si>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</si>
  <si>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</si>
  <si>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</si>
  <si>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</si>
  <si>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</si>
  <si>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</si>
  <si>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</si>
  <si>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</si>
  <si>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</si>
  <si>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</si>
  <si>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</si>
  <si>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</si>
  <si>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</si>
  <si>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</si>
  <si>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</si>
  <si>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</si>
  <si>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</si>
  <si>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</si>
  <si>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</si>
  <si>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</si>
  <si>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</si>
  <si>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</si>
  <si>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</si>
  <si>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</si>
  <si>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</si>
  <si>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</si>
  <si>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</si>
  <si>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</si>
  <si>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</si>
  <si>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</si>
  <si>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</si>
  <si>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</si>
  <si>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</si>
  <si>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</si>
  <si>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</si>
  <si>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</si>
  <si>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</si>
  <si>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</si>
  <si>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</si>
  <si>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</si>
  <si>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</si>
  <si>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</si>
  <si>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</si>
  <si>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</si>
  <si>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</si>
  <si>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</si>
  <si>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</si>
  <si>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</si>
  <si>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</si>
  <si>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</si>
  <si>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</si>
  <si>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</si>
  <si>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</si>
  <si>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</si>
  <si>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</si>
  <si>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</si>
  <si>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</si>
  <si>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</si>
  <si>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</si>
  <si>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</si>
  <si>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</si>
  <si>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</si>
  <si>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</si>
  <si>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</si>
  <si>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</si>
  <si>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</si>
  <si>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</si>
  <si>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</si>
  <si>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</si>
  <si>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</si>
  <si>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</si>
  <si>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</si>
  <si>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</si>
  <si>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</si>
  <si>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</si>
  <si>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</si>
  <si>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</si>
  <si>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</si>
  <si>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</si>
  <si>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</si>
  <si>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</si>
  <si>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</si>
  <si>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</si>
  <si>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</si>
  <si>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</si>
  <si>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</si>
  <si>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</si>
  <si>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</si>
  <si>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</si>
  <si>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</si>
  <si>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</si>
  <si>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</si>
  <si>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</si>
  <si>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</si>
  <si>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</si>
  <si>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</si>
  <si>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</si>
  <si>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</si>
  <si>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</si>
  <si>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</si>
  <si>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</si>
  <si>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</si>
  <si>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</si>
  <si>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</si>
  <si>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</si>
  <si>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</si>
  <si>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</si>
  <si>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</si>
  <si>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</si>
  <si>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</si>
  <si>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</si>
  <si>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</si>
  <si>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</si>
  <si>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</si>
  <si>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</si>
  <si>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</si>
  <si>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</si>
  <si>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</si>
  <si>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</si>
  <si>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</si>
  <si>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</si>
  <si>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</si>
  <si>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</si>
  <si>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</si>
  <si>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</si>
  <si>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</si>
  <si>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</si>
  <si>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</si>
  <si>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</si>
  <si>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</si>
  <si>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</si>
  <si>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</si>
  <si>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</si>
  <si>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</si>
  <si>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</si>
  <si>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</si>
  <si>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</si>
  <si>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</si>
  <si>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</si>
  <si>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</si>
  <si>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</si>
  <si>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</si>
  <si>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</si>
  <si>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</si>
  <si>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</si>
  <si>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</si>
  <si>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</si>
  <si>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</si>
  <si>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</si>
  <si>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</si>
  <si>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</si>
  <si>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</si>
  <si>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</si>
  <si>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</si>
  <si>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</si>
  <si>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</si>
  <si>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</si>
  <si>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</si>
  <si>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</si>
  <si>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</si>
  <si>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</si>
  <si>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</si>
  <si>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</si>
  <si>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</si>
  <si>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</si>
  <si>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</si>
  <si>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</si>
  <si>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</si>
  <si>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</si>
  <si>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</si>
  <si>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</si>
  <si>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</si>
  <si>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</si>
  <si>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</si>
  <si>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</si>
  <si>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</si>
  <si>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</si>
  <si>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</si>
  <si>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</si>
  <si>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</si>
  <si>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</si>
  <si>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</si>
  <si>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</si>
  <si>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</si>
  <si>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</si>
  <si>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</si>
  <si>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</si>
  <si>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</si>
  <si>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</si>
  <si>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</si>
  <si>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</si>
  <si>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</si>
  <si>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</si>
  <si>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</si>
  <si>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</si>
  <si>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</si>
  <si>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</si>
  <si>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</si>
  <si>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</si>
  <si>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</si>
  <si>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</si>
  <si>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</si>
  <si>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</si>
  <si>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</si>
  <si>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</si>
  <si>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</si>
  <si>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</si>
  <si>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</si>
  <si>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</si>
  <si>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</si>
  <si>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</si>
  <si>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</si>
  <si>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</si>
  <si>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</si>
  <si>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</si>
  <si>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</si>
  <si>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</si>
  <si>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</si>
  <si>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</si>
  <si>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</si>
  <si>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</si>
  <si>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</si>
  <si>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</si>
  <si>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</si>
  <si>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</si>
  <si>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</si>
  <si>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</si>
  <si>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</si>
  <si>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</si>
  <si>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</si>
  <si>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</si>
  <si>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</si>
  <si>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</si>
  <si>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</si>
  <si>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</si>
  <si>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</si>
  <si>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</si>
  <si>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</si>
  <si>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</si>
  <si>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</si>
  <si>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</si>
  <si>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</si>
  <si>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</si>
  <si>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</si>
  <si>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</si>
  <si>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</si>
  <si>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</si>
  <si>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</si>
  <si>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</si>
  <si>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</si>
  <si>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</si>
  <si>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</si>
  <si>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</si>
  <si>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</si>
  <si>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</si>
  <si>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</si>
  <si>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</si>
  <si>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</si>
  <si>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</si>
  <si>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</si>
  <si>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</si>
  <si>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</si>
  <si>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</si>
  <si>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</si>
  <si>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</si>
  <si>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</si>
  <si>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</si>
  <si>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</si>
  <si>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</si>
  <si>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</si>
  <si>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</si>
  <si>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</si>
  <si>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</si>
  <si>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</si>
  <si>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</si>
  <si>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</si>
  <si>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</si>
  <si>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</si>
  <si>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</si>
  <si>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</si>
  <si>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</si>
  <si>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</si>
  <si>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</si>
  <si>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</si>
  <si>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</si>
  <si>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</si>
  <si>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</si>
  <si>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</si>
  <si>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</si>
  <si>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</si>
  <si>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</si>
  <si>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</si>
  <si>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</si>
  <si>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</si>
  <si>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</si>
  <si>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</si>
  <si>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</si>
  <si>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</si>
  <si>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</si>
  <si>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</si>
  <si>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</si>
  <si>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</si>
  <si>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</si>
  <si>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</si>
  <si>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</si>
  <si>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</si>
  <si>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</si>
  <si>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</si>
  <si>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</si>
  <si>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</si>
  <si>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</si>
  <si>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</si>
  <si>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</si>
  <si>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</si>
  <si>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</si>
  <si>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</si>
  <si>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</si>
  <si>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</si>
  <si>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</si>
  <si>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</si>
  <si>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</si>
  <si>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</si>
  <si>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</si>
  <si>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</si>
  <si>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</si>
  <si>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</si>
  <si>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</si>
  <si>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</si>
  <si>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</si>
  <si>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</si>
  <si>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</si>
  <si>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</si>
  <si>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</si>
  <si>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</si>
  <si>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</si>
  <si>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</si>
  <si>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</si>
  <si>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</si>
  <si>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</si>
  <si>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</si>
  <si>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</si>
  <si>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</si>
  <si>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</si>
  <si>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</si>
  <si>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</si>
  <si>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</si>
  <si>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</si>
  <si>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</si>
  <si>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</si>
  <si>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</si>
  <si>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</si>
  <si>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</si>
  <si>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</si>
  <si>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</si>
  <si>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</si>
  <si>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</si>
  <si>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</si>
  <si>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</si>
  <si>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</si>
  <si>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</si>
  <si>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</si>
  <si>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</si>
  <si>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</si>
  <si>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</si>
  <si>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</si>
  <si>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</si>
  <si>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</si>
  <si>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</si>
  <si>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</si>
  <si>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</si>
  <si>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</si>
  <si>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</si>
  <si>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</si>
  <si>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</si>
  <si>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</si>
  <si>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</si>
  <si>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</si>
  <si>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</si>
  <si>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</si>
  <si>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</si>
  <si>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</si>
  <si>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</si>
  <si>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</si>
  <si>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</si>
  <si>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</si>
  <si>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</si>
  <si>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</si>
  <si>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</si>
  <si>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</si>
  <si>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</si>
  <si>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</si>
  <si>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</si>
  <si>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</si>
  <si>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</si>
  <si>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</si>
  <si>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</si>
  <si>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</si>
  <si>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</si>
  <si>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</si>
  <si>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</si>
  <si>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</si>
  <si>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</si>
  <si>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</si>
  <si>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</si>
  <si>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</si>
  <si>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</si>
  <si>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</si>
  <si>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</si>
  <si>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</si>
  <si>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</si>
  <si>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</si>
  <si>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</si>
  <si>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</si>
  <si>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</si>
  <si>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</si>
  <si>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</si>
  <si>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</si>
  <si>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</si>
  <si>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</si>
  <si>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</si>
  <si>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</si>
  <si>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</si>
  <si>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</si>
  <si>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</si>
  <si>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</si>
  <si>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</si>
  <si>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</si>
  <si>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</si>
  <si>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</si>
  <si>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</si>
  <si>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</si>
  <si>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</si>
  <si>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</si>
  <si>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</si>
  <si>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</si>
  <si>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</si>
  <si>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</si>
  <si>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</si>
  <si>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</si>
  <si>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</si>
  <si>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</si>
  <si>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</si>
  <si>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</si>
  <si>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</si>
  <si>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</si>
  <si>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</si>
  <si>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</si>
  <si>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</si>
  <si>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</si>
  <si>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</si>
  <si>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</si>
  <si>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</si>
  <si>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</si>
  <si>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</si>
  <si>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</si>
  <si>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</si>
  <si>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</si>
  <si>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</si>
  <si>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</si>
  <si>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</si>
  <si>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</si>
  <si>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</si>
  <si>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</si>
  <si>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</si>
  <si>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</si>
  <si>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</si>
  <si>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</si>
  <si>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</si>
  <si>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</si>
  <si>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</si>
  <si>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</si>
  <si>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</si>
  <si>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</si>
  <si>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</si>
  <si>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</si>
  <si>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</si>
  <si>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</si>
  <si>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</si>
  <si>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</si>
  <si>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</si>
  <si>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</si>
  <si>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</si>
  <si>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</si>
  <si>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</si>
  <si>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</si>
  <si>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</si>
  <si>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</si>
  <si>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</si>
  <si>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</si>
  <si>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</si>
  <si>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</si>
  <si>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</si>
  <si>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</si>
  <si>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</si>
  <si>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</si>
  <si>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</si>
  <si>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</si>
  <si>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</si>
  <si>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</si>
  <si>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</si>
  <si>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</si>
  <si>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</si>
  <si>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</si>
  <si>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</si>
  <si>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</si>
  <si>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</si>
  <si>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</si>
  <si>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</si>
  <si>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</si>
  <si>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</si>
  <si>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</si>
  <si>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</si>
  <si>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</si>
  <si>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</si>
  <si>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</si>
  <si>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</si>
  <si>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</si>
  <si>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</si>
  <si>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</si>
  <si>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</si>
  <si>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</si>
  <si>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</si>
  <si>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</si>
  <si>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</si>
  <si>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</si>
  <si>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</si>
  <si>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</si>
  <si>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</si>
  <si>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</si>
  <si>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</si>
  <si>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</si>
  <si>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</si>
  <si>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</si>
  <si>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</si>
  <si>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</si>
  <si>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</si>
  <si>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</si>
  <si>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</si>
  <si>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</si>
  <si>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</si>
  <si>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</si>
  <si>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</si>
  <si>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</si>
  <si>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</si>
  <si>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</si>
  <si>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</si>
  <si>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</si>
  <si>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</si>
  <si>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</si>
  <si>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</si>
  <si>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</si>
  <si>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</si>
  <si>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</si>
  <si>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</si>
  <si>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</si>
  <si>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</si>
  <si>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</si>
  <si>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</si>
  <si>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</si>
  <si>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</si>
  <si>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</si>
  <si>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</si>
  <si>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</si>
  <si>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</si>
  <si>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</si>
  <si>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</si>
  <si>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</si>
  <si>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</si>
  <si>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</si>
  <si>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</si>
  <si>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</si>
  <si>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</si>
  <si>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</si>
  <si>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</si>
  <si>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</si>
  <si>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</si>
  <si>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</si>
  <si>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</si>
  <si>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</si>
  <si>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</si>
  <si>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</si>
  <si>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</si>
  <si>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</si>
  <si>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</si>
  <si>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</si>
  <si>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</si>
  <si>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</si>
  <si>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</si>
  <si>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</si>
  <si>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</si>
  <si>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</si>
  <si>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</si>
  <si>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</si>
  <si>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</si>
  <si>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</si>
  <si>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</si>
  <si>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</si>
  <si>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</si>
  <si>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</si>
  <si>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</si>
  <si>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</si>
  <si>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</si>
  <si>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</si>
  <si>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</si>
  <si>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</si>
  <si>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</si>
  <si>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</si>
  <si>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</si>
  <si>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</si>
  <si>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</si>
  <si>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</si>
  <si>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</si>
  <si>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</si>
  <si>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</si>
  <si>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</si>
  <si>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</si>
  <si>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</si>
  <si>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</si>
  <si>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</si>
  <si>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</si>
  <si>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</si>
  <si>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</si>
  <si>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</si>
  <si>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</si>
  <si>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</si>
  <si>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</si>
  <si>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</si>
  <si>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</si>
  <si>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</si>
  <si>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</si>
  <si>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</si>
  <si>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</si>
  <si>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</si>
  <si>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</si>
  <si>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</si>
  <si>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</si>
  <si>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</si>
  <si>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</si>
  <si>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</si>
  <si>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</si>
  <si>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</si>
  <si>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</si>
  <si>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</si>
  <si>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</si>
  <si>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</si>
  <si>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</si>
  <si>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</si>
  <si>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</si>
  <si>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</si>
  <si>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</si>
  <si>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</si>
  <si>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</si>
  <si>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</si>
  <si>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</si>
  <si>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</si>
  <si>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</si>
  <si>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</si>
  <si>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</si>
  <si>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</si>
  <si>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</si>
  <si>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</si>
  <si>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</si>
  <si>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</si>
  <si>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</si>
  <si>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</si>
  <si>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</si>
  <si>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</si>
  <si>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</si>
  <si>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</si>
  <si>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</si>
  <si>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</si>
  <si>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</si>
  <si>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</si>
  <si>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</si>
  <si>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</si>
  <si>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</si>
  <si>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</si>
  <si>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</si>
  <si>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</si>
  <si>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</si>
  <si>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</si>
  <si>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</si>
  <si>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</si>
  <si>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</si>
  <si>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</si>
  <si>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</si>
  <si>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</si>
  <si>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</si>
  <si>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</si>
  <si>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</si>
  <si>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</si>
  <si>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</si>
  <si>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</si>
  <si>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</si>
  <si>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</si>
  <si>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</si>
  <si>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</si>
  <si>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</si>
  <si>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</si>
  <si>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</si>
  <si>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</si>
  <si>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</si>
  <si>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</si>
  <si>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</si>
  <si>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</si>
  <si>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</si>
  <si>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</si>
  <si>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</si>
  <si>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</si>
  <si>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</si>
  <si>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</si>
  <si>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</si>
  <si>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</si>
  <si>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</si>
  <si>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</si>
  <si>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</si>
  <si>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</si>
  <si>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</si>
  <si>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</si>
  <si>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</si>
  <si>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</si>
  <si>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</si>
  <si>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</si>
  <si>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</si>
  <si>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</si>
  <si>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</si>
  <si>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</si>
  <si>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</si>
  <si>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</si>
  <si>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</si>
  <si>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</si>
  <si>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</si>
  <si>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</si>
  <si>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</si>
  <si>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</si>
  <si>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</si>
  <si>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</si>
  <si>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</si>
  <si>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</si>
  <si>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</si>
  <si>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</si>
  <si>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</si>
  <si>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</si>
  <si>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</si>
  <si>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</si>
  <si>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</si>
  <si>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</si>
  <si>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</si>
  <si>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</si>
  <si>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</si>
  <si>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</si>
  <si>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</si>
  <si>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</si>
  <si>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</si>
  <si>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</si>
  <si>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</si>
  <si>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</si>
  <si>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</si>
  <si>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</si>
  <si>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</si>
  <si>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</si>
  <si>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</si>
  <si>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</si>
  <si>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</si>
  <si>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</si>
  <si>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</si>
  <si>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</si>
  <si>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</si>
  <si>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</si>
  <si>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</si>
  <si>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</si>
  <si>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</si>
  <si>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</si>
  <si>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</si>
  <si>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</si>
  <si>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</si>
  <si>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</si>
  <si>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</si>
  <si>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</si>
  <si>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</si>
  <si>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</si>
  <si>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</si>
  <si>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</si>
  <si>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</si>
  <si>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</si>
  <si>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</si>
  <si>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</si>
  <si>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</si>
  <si>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</si>
  <si>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</si>
  <si>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</si>
  <si>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</si>
  <si>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</si>
  <si>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</si>
  <si>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</si>
  <si>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</si>
  <si>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</si>
  <si>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</si>
  <si>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</si>
  <si>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</si>
  <si>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</si>
  <si>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</si>
  <si>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</si>
  <si>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</si>
  <si>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</si>
  <si>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</si>
  <si>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</si>
  <si>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</si>
  <si>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</si>
  <si>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</si>
  <si>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</si>
  <si>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</si>
  <si>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</si>
  <si>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</si>
  <si>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</si>
  <si>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</si>
  <si>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</si>
  <si>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</si>
  <si>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</si>
  <si>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</si>
  <si>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</si>
  <si>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</si>
  <si>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</si>
  <si>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</si>
  <si>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</si>
  <si>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</si>
  <si>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</si>
  <si>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</si>
  <si>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</si>
  <si>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</si>
  <si>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</si>
  <si>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</si>
  <si>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</si>
  <si>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</si>
  <si>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</si>
  <si>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</si>
  <si>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</si>
  <si>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</si>
  <si>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</si>
  <si>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</si>
  <si>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</si>
  <si>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</si>
  <si>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</si>
  <si>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</si>
  <si>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</si>
  <si>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</si>
  <si>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</si>
  <si>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</si>
  <si>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</si>
  <si>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</si>
  <si>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</si>
  <si>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</si>
  <si>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</si>
  <si>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</si>
  <si>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</si>
  <si>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</si>
  <si>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</si>
  <si>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</si>
  <si>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</si>
  <si>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</si>
  <si>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</si>
  <si>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</si>
  <si>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</si>
  <si>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</si>
  <si>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</si>
  <si>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</si>
  <si>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</si>
  <si>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</si>
  <si>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</si>
  <si>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</si>
  <si>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</si>
  <si>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</si>
  <si>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</si>
  <si>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</si>
  <si>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</si>
  <si>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</si>
  <si>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</si>
  <si>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</si>
  <si>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</si>
  <si>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</si>
  <si>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</si>
  <si>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</si>
  <si>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</si>
  <si>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</si>
  <si>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</si>
  <si>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</si>
  <si>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</si>
  <si>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</si>
  <si>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</si>
  <si>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</si>
  <si>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</si>
  <si>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</si>
  <si>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</si>
  <si>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</si>
  <si>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</si>
  <si>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</si>
  <si>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</si>
  <si>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</si>
  <si>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</si>
  <si>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</si>
  <si>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</si>
  <si>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</si>
  <si>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</si>
  <si>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</si>
  <si>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</si>
  <si>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</si>
  <si>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</si>
  <si>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</si>
  <si>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</si>
  <si>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</si>
  <si>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</si>
  <si>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</si>
  <si>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</si>
  <si>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</si>
  <si>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</si>
  <si>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</si>
  <si>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</si>
  <si>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</si>
  <si>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</si>
  <si>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</si>
  <si>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</si>
  <si>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</si>
  <si>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</si>
  <si>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</si>
  <si>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</si>
  <si>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</si>
  <si>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</si>
  <si>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</si>
  <si>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</si>
  <si>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</si>
  <si>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</si>
  <si>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</si>
  <si>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</si>
  <si>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</si>
  <si>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</si>
  <si>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</si>
  <si>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</si>
  <si>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</si>
  <si>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</si>
  <si>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</si>
  <si>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</si>
  <si>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</si>
  <si>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</si>
  <si>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</si>
  <si>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</si>
  <si>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</si>
  <si>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</si>
  <si>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</si>
  <si>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</si>
  <si>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</si>
  <si>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</si>
  <si>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</si>
  <si>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</si>
  <si>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</si>
  <si>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</si>
  <si>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</si>
  <si>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</si>
  <si>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</si>
  <si>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</si>
  <si>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</si>
  <si>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</si>
  <si>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</si>
  <si>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</si>
  <si>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</si>
  <si>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</si>
  <si>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</si>
  <si>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</si>
  <si>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</si>
  <si>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</si>
  <si>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</si>
  <si>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</si>
  <si>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</si>
  <si>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</si>
  <si>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</si>
  <si>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</si>
  <si>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</si>
  <si>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</si>
  <si>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</si>
  <si>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</si>
  <si>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</si>
  <si>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</si>
  <si>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</si>
  <si>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</si>
  <si>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</si>
  <si>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</si>
  <si>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</si>
  <si>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</si>
  <si>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</si>
  <si>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</si>
  <si>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</si>
  <si>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</si>
  <si>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</si>
  <si>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</si>
  <si>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</si>
  <si>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</si>
  <si>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</si>
  <si>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</si>
  <si>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</si>
  <si>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</si>
  <si>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</si>
  <si>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</si>
  <si>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</si>
  <si>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</si>
  <si>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</si>
  <si>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</si>
  <si>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</si>
  <si>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</si>
  <si>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</si>
  <si>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</si>
  <si>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</si>
  <si>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</si>
  <si>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</si>
  <si>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</si>
  <si>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</si>
  <si>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</si>
  <si>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</si>
  <si>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</si>
  <si>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</si>
  <si>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</si>
  <si>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</si>
  <si>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</si>
  <si>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</si>
  <si>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</si>
  <si>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</si>
  <si>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</si>
  <si>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</si>
  <si>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</si>
  <si>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</si>
  <si>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</si>
  <si>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</si>
  <si>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</si>
  <si>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</si>
  <si>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</si>
  <si>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</si>
  <si>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</si>
  <si>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</si>
  <si>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</si>
  <si>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</si>
  <si>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</si>
  <si>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</si>
  <si>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</si>
  <si>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</si>
  <si>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</si>
  <si>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</si>
  <si>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</si>
  <si>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</si>
  <si>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</si>
  <si>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</si>
  <si>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</si>
  <si>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</si>
  <si>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</si>
  <si>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</si>
  <si>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</si>
  <si>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</si>
  <si>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</si>
  <si>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</si>
  <si>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</si>
  <si>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</si>
  <si>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</si>
  <si>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</si>
  <si>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</si>
  <si>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</si>
  <si>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</si>
  <si>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</si>
  <si>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</si>
  <si>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</si>
  <si>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</si>
  <si>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</si>
  <si>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</si>
  <si>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</si>
  <si>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</si>
  <si>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</si>
  <si>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</si>
  <si>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</si>
  <si>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</si>
  <si>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</si>
  <si>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</si>
  <si>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</si>
  <si>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</si>
  <si>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</si>
  <si>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</si>
  <si>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</si>
  <si>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</si>
  <si>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</si>
  <si>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</si>
  <si>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</si>
  <si>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</si>
  <si>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</si>
  <si>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</si>
  <si>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</si>
  <si>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</si>
  <si>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</si>
  <si>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</si>
  <si>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</si>
  <si>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</si>
  <si>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</si>
  <si>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</si>
  <si>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</si>
  <si>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</si>
  <si>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</si>
  <si>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</si>
  <si>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</si>
  <si>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</si>
  <si>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</si>
  <si>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</si>
  <si>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</si>
  <si>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</si>
  <si>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</si>
  <si>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</si>
  <si>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</si>
  <si>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</si>
  <si>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</si>
  <si>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</si>
  <si>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</si>
  <si>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</si>
  <si>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</si>
  <si>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</si>
  <si>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</si>
  <si>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</si>
  <si>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</si>
  <si>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</si>
  <si>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</si>
  <si>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</si>
  <si>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</si>
  <si>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</si>
  <si>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</si>
  <si>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</si>
  <si>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</si>
  <si>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</si>
  <si>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</si>
  <si>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</si>
  <si>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</si>
  <si>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</si>
  <si>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</si>
  <si>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</si>
  <si>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</si>
  <si>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</si>
  <si>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</si>
  <si>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</si>
  <si>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</si>
  <si>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</si>
  <si>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</si>
  <si>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</si>
  <si>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</si>
  <si>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</si>
  <si>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</si>
  <si>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</si>
  <si>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</si>
  <si>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</si>
  <si>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</si>
  <si>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</si>
  <si>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</si>
  <si>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</si>
  <si>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</si>
  <si>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</si>
  <si>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</si>
  <si>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</si>
  <si>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</si>
  <si>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</si>
  <si>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</si>
  <si>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</si>
  <si>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</si>
  <si>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</si>
  <si>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</si>
  <si>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</si>
  <si>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</si>
  <si>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</si>
  <si>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</si>
  <si>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</si>
  <si>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</si>
  <si>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</si>
  <si>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</si>
  <si>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</si>
  <si>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</si>
  <si>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</si>
  <si>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</si>
  <si>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</si>
  <si>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</si>
  <si>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</si>
  <si>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</si>
  <si>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</si>
  <si>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</si>
  <si>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</si>
  <si>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</si>
  <si>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</si>
  <si>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</si>
  <si>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</si>
  <si>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</si>
  <si>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</si>
  <si>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</si>
  <si>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</si>
  <si>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</si>
  <si>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</si>
  <si>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</si>
  <si>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</si>
  <si>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</si>
  <si>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</si>
  <si>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</si>
  <si>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</si>
  <si>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</si>
  <si>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</si>
  <si>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</si>
  <si>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</si>
  <si>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</si>
  <si>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</si>
  <si>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</si>
  <si>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</si>
  <si>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</si>
  <si>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</si>
  <si>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</si>
  <si>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</si>
  <si>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</si>
  <si>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</si>
  <si>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</si>
  <si>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</si>
  <si>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</si>
  <si>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</si>
  <si>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</si>
  <si>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</si>
  <si>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</si>
  <si>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</si>
  <si>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</si>
  <si>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</si>
  <si>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</si>
  <si>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</si>
  <si>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</si>
  <si>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</si>
  <si>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</si>
  <si>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</si>
  <si>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</si>
  <si>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</si>
  <si>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</si>
  <si>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</si>
  <si>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</si>
  <si>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</si>
  <si>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</si>
  <si>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</si>
  <si>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</si>
  <si>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</si>
  <si>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</si>
  <si>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</si>
  <si>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</si>
  <si>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</si>
  <si>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</si>
  <si>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</si>
  <si>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</si>
  <si>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</si>
  <si>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</si>
  <si>
    <t>Rezerve
07.09.2026</t>
  </si>
  <si>
    <t>Satışa Açık
07.09.2026</t>
  </si>
  <si>
    <t>Rezerve Ayrıntıları</t>
  </si>
  <si>
    <t>1x KPS71 1x KPS72</t>
  </si>
  <si>
    <t>4x KPS71 4x KPS72</t>
  </si>
  <si>
    <t>8x KPS71 8x KPS72</t>
  </si>
  <si>
    <t>2x KPS71 2x KPS72</t>
  </si>
  <si>
    <t>2x KPS50 2x KPS54 2x KPS71 2x KPS72</t>
  </si>
  <si>
    <t>3x KPS51 2x KPS2 2x KPS3 3x KPS4 5x KPS71 5x KPS72 1x KPS50 2x KPS65
10x KH Merkez</t>
  </si>
  <si>
    <t>3x KPS2 3x KPS3 1x KPS54 10x KPS4 26x KPS71 26x KPS72 1x KPS50 
3x KPS12 5x KPS65 56x KH Merkez</t>
  </si>
  <si>
    <t>26x KPS71 26x KPS72</t>
  </si>
  <si>
    <t>Toplam Rezerve
07.09.2026</t>
  </si>
  <si>
    <t>Toplam Satışa Açık
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</si>
</sst>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5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6" fillId="11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5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 wrapText="1"/>
    </xf>
    <xf numFmtId="0" fontId="5" fillId="11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Dashboard!$N$5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Dashboard!$M$6:$M$112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Dashboard!$N$6:$N$112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49130"/>
          <a:ext cx="5245370" cy="487004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190229</xdr:colOff>
      <xdr:row>4</xdr:row>
      <xdr:rowOff>6948</xdr:rowOff>
    </xdr:from>
    <xdr:to>
      <xdr:col>33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17</xdr:col>
      <xdr:colOff>190234</xdr:colOff>
      <xdr:row>18</xdr:row>
      <xdr:rowOff>121055</xdr:rowOff>
    </xdr:from>
    <xdr:to>
      <xdr:col>29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899241" y="4471480"/>
          <a:ext cx="2741035" cy="243553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201885</xdr:colOff>
      <xdr:row>20</xdr:row>
      <xdr:rowOff>118894</xdr:rowOff>
    </xdr:from>
    <xdr:to>
      <xdr:col>29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910892" y="4865632"/>
          <a:ext cx="2671018" cy="243551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95115</xdr:colOff>
      <xdr:row>22</xdr:row>
      <xdr:rowOff>77822</xdr:rowOff>
    </xdr:from>
    <xdr:to>
      <xdr:col>27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3272491" y="5220872"/>
          <a:ext cx="1860770" cy="211127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5.695392361115" createdVersion="8" refreshedVersion="8" minRefreshableVersion="3" recordCount="448" xr:uid="{E6DC5BDC-5863-4C38-BE7A-78E8A3D5FDB4}">
  <cacheSource type="worksheet">
    <worksheetSource ref="A1:DS449" sheet="Stok"/>
  </cacheSource>
  <cacheFields count="12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Rezerve_x000a_07.09.2026" numFmtId="0">
      <sharedItems containsString="0" containsBlank="1" containsNumber="1" containsInteger="1" minValue="2" maxValue="72"/>
    </cacheField>
    <cacheField name="Satışa Açık_x000a_07.09.2026" numFmtId="0">
      <sharedItems containsSemiMixedTypes="0" containsString="0" containsNumber="1" containsInteger="1" minValue="0" maxValue="11439"/>
    </cacheField>
    <cacheField name="Rezerve Ayrıntıları" numFmtId="0">
      <sharedItems containsBlank="1"/>
    </cacheField>
  </cacheFields>
  <extLst>
    <ext xmlns:x14="http://schemas.microsoft.com/office/spreadsheetml/2009/9/main" uri="{725AE2AE-9491-48be-B2B4-4EB974FC3084}">
      <x14:pivotCacheDefinition pivotCacheId="8950941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m/>
    <n v="56"/>
    <m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m/>
    <n v="43"/>
    <m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m/>
    <n v="1"/>
    <m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m/>
    <n v="9"/>
    <m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m/>
    <n v="30"/>
    <m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m/>
    <n v="10"/>
    <m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m/>
    <n v="207"/>
    <m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m/>
    <n v="13"/>
    <m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m/>
    <n v="0"/>
    <m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0"/>
    <s v="1x KPS71 1x KPS7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0"/>
    <s v="4x KPS71 4x KPS72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6"/>
    <n v="2"/>
    <s v="8x KPS71 8x KPS72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0"/>
    <s v="2x KPS71 2x KPS72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m/>
    <n v="161"/>
    <m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m/>
    <n v="27"/>
    <m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m/>
    <n v="141"/>
    <m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m/>
    <n v="38"/>
    <m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m/>
    <n v="128"/>
    <m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m/>
    <n v="0"/>
    <m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m/>
    <n v="0"/>
    <m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m/>
    <n v="73"/>
    <m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m/>
    <n v="8"/>
    <m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m/>
    <n v="10"/>
    <m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m/>
    <n v="26"/>
    <m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m/>
    <n v="18"/>
    <m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m/>
    <n v="116"/>
    <m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m/>
    <n v="64"/>
    <m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m/>
    <n v="97"/>
    <m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m/>
    <n v="78"/>
    <m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m/>
    <n v="400"/>
    <m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m/>
    <n v="288"/>
    <m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m/>
    <n v="65"/>
    <m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m/>
    <n v="80"/>
    <m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m/>
    <n v="204"/>
    <m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m/>
    <n v="548"/>
    <m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m/>
    <n v="402"/>
    <m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m/>
    <n v="0"/>
    <m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m/>
    <n v="18"/>
    <m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m/>
    <n v="48"/>
    <m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m/>
    <n v="1216"/>
    <m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m/>
    <n v="914"/>
    <m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m/>
    <n v="3"/>
    <m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m/>
    <n v="0"/>
    <m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m/>
    <n v="22"/>
    <m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m/>
    <n v="757"/>
    <m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m/>
    <n v="1140"/>
    <m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m/>
    <n v="786"/>
    <m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m/>
    <n v="0"/>
    <m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m/>
    <n v="0"/>
    <m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m/>
    <n v="50"/>
    <m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m/>
    <n v="0"/>
    <m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m/>
    <n v="1163"/>
    <m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m/>
    <n v="662"/>
    <m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m/>
    <n v="0"/>
    <m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m/>
    <n v="0"/>
    <m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m/>
    <n v="491"/>
    <m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m/>
    <n v="139"/>
    <m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m/>
    <n v="3112"/>
    <m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m/>
    <n v="3538"/>
    <m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m/>
    <n v="1000"/>
    <m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m/>
    <n v="427"/>
    <m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m/>
    <n v="407"/>
    <m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m/>
    <n v="1918"/>
    <m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m/>
    <n v="6486"/>
    <m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m/>
    <n v="87"/>
    <m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m/>
    <n v="1"/>
    <m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m/>
    <n v="264"/>
    <m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m/>
    <n v="83"/>
    <m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m/>
    <n v="763"/>
    <m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m/>
    <n v="476"/>
    <m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m/>
    <n v="492"/>
    <m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m/>
    <n v="100"/>
    <m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m/>
    <n v="488"/>
    <m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m/>
    <n v="302"/>
    <m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m/>
    <n v="102"/>
    <m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m/>
    <n v="76"/>
    <m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m/>
    <n v="0"/>
    <m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m/>
    <n v="0"/>
    <m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m/>
    <n v="57"/>
    <m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m/>
    <n v="14"/>
    <m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m/>
    <n v="295"/>
    <m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m/>
    <n v="325"/>
    <m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m/>
    <n v="332"/>
    <m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m/>
    <n v="1275"/>
    <m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m/>
    <n v="884"/>
    <m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m/>
    <n v="135"/>
    <m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m/>
    <n v="804"/>
    <m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m/>
    <n v="969"/>
    <m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m/>
    <n v="1490"/>
    <m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m/>
    <n v="1223"/>
    <m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m/>
    <n v="1154"/>
    <m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m/>
    <n v="1322"/>
    <m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m/>
    <n v="11439"/>
    <m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m/>
    <n v="945"/>
    <m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m/>
    <n v="687"/>
    <m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m/>
    <n v="101"/>
    <m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m/>
    <n v="312"/>
    <m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m/>
    <n v="88"/>
    <m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m/>
    <n v="114"/>
    <m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m/>
    <n v="10"/>
    <m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m/>
    <n v="26"/>
    <m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m/>
    <n v="21"/>
    <m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m/>
    <n v="49"/>
    <m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m/>
    <n v="21"/>
    <m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m/>
    <n v="39"/>
    <m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m/>
    <n v="8"/>
    <m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m/>
    <n v="1"/>
    <m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m/>
    <n v="8"/>
    <m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m/>
    <n v="5"/>
    <m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m/>
    <n v="23"/>
    <m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m/>
    <n v="40"/>
    <m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m/>
    <n v="42"/>
    <m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m/>
    <n v="3"/>
    <m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m/>
    <n v="472"/>
    <m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m/>
    <n v="0"/>
    <m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m/>
    <n v="5"/>
    <m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m/>
    <n v="0"/>
    <m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m/>
    <n v="1"/>
    <m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m/>
    <n v="0"/>
    <m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m/>
    <n v="252"/>
    <m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m/>
    <n v="0"/>
    <m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m/>
    <n v="2"/>
    <m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m/>
    <n v="0"/>
    <m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m/>
    <n v="60"/>
    <m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m/>
    <n v="61"/>
    <m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m/>
    <n v="53"/>
    <m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m/>
    <n v="267"/>
    <m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m/>
    <n v="223"/>
    <m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m/>
    <n v="97"/>
    <m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m/>
    <n v="49"/>
    <m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m/>
    <n v="266"/>
    <m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m/>
    <n v="192"/>
    <m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m/>
    <n v="619"/>
    <m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m/>
    <n v="2893"/>
    <m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m/>
    <n v="94"/>
    <m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m/>
    <n v="8"/>
    <m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72"/>
    <n v="0"/>
    <s v="3x KPS51 2x KPS2 2x KPS3 3x KPS4 5x KPS71 5x KPS72 1x KPS50 2x KPS65_x000a_10x KH Merkez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33"/>
    <n v="29"/>
    <s v="3x KPS2 3x KPS3 1x KPS54 10x KPS4 26x KPS71 26x KPS72 1x KPS50 _x000a_3x KPS12 5x KPS65 56x KH Merkez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s v="26x KPS71 26x KPS7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m/>
    <n v="257"/>
    <m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m/>
    <n v="0"/>
    <m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m/>
    <n v="1"/>
    <m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m/>
    <n v="0"/>
    <m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m/>
    <n v="0"/>
    <m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m/>
    <n v="6"/>
    <m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m/>
    <n v="5"/>
    <m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m/>
    <n v="1"/>
    <m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m/>
    <n v="0"/>
    <m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m/>
    <n v="9"/>
    <m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m/>
    <n v="11"/>
    <m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0"/>
    <m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C61D9-015F-42B8-9965-C885AFC6DF0B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K492" firstHeaderRow="0" firstDataRow="1" firstDataCol="1"/>
  <pivotFields count="123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. Maliyet" fld="12" baseField="3" baseItem="0" numFmtId="164"/>
    <dataField name="T. Maliyet" fld="13" baseField="3" baseItem="0" numFmtId="164"/>
    <dataField name="Toplam Stok Miktarı_x000a_07.09.2026" fld="119" baseField="0" baseItem="0"/>
    <dataField name="Toplam Rezerve_x000a_07.09.2026" fld="120" baseField="0" baseItem="0"/>
    <dataField name="Toplam Satışa Açık_x000a_07.09.2026" fld="12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95094122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95094122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M5:N112" totalsRowShown="0" headerRowDxfId="6" dataDxfId="4" headerRowBorderDxfId="5" tableBorderDxfId="3" totalsRowBorderDxfId="2">
  <autoFilter ref="M5:N112" xr:uid="{E5E02A0B-EBAC-497B-8F95-E1A614B153BB}">
    <filterColumn colId="0" hiddenButton="1"/>
    <filterColumn colId="1" hiddenButton="1"/>
  </autoFilter>
  <sortState xmlns:xlrd2="http://schemas.microsoft.com/office/spreadsheetml/2017/richdata2" ref="M6:N112">
    <sortCondition descending="1" ref="M84:M11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Z497"/>
  <sheetViews>
    <sheetView tabSelected="1" zoomScale="72" zoomScaleNormal="72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2" width="4.36328125" style="39" customWidth="1"/>
    <col min="13" max="13" width="14.90625" style="39" bestFit="1" customWidth="1"/>
    <col min="14" max="14" width="8.1796875" style="39" bestFit="1" customWidth="1"/>
    <col min="15" max="15" width="3.26953125" style="39"/>
    <col min="16" max="16" width="5.1796875" style="39" bestFit="1" customWidth="1"/>
    <col min="17" max="32" width="3.26953125" style="39"/>
    <col min="33" max="33" width="5.54296875" style="39" customWidth="1"/>
    <col min="34" max="34" width="29.6328125" style="67" customWidth="1"/>
    <col min="35" max="35" width="12.54296875" style="68" bestFit="1" customWidth="1"/>
    <col min="36" max="37" width="13.54296875" style="69" customWidth="1"/>
    <col min="38" max="39" width="10.1796875" style="39" bestFit="1" customWidth="1"/>
    <col min="40" max="40" width="31.81640625" style="39" bestFit="1" customWidth="1"/>
    <col min="41" max="41" width="11.08984375" style="39" bestFit="1" customWidth="1"/>
    <col min="42" max="42" width="31.81640625" style="39" bestFit="1" customWidth="1"/>
    <col min="43" max="43" width="10.1796875" style="39" bestFit="1" customWidth="1"/>
    <col min="44" max="44" width="31.81640625" style="39" bestFit="1" customWidth="1"/>
    <col min="45" max="45" width="15.17968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1.08984375" style="39" bestFit="1" customWidth="1"/>
    <col min="50" max="50" width="31.81640625" style="39" bestFit="1" customWidth="1"/>
    <col min="51" max="51" width="10.1796875" style="39" bestFit="1" customWidth="1"/>
    <col min="52" max="52" width="31.81640625" style="39" bestFit="1" customWidth="1"/>
    <col min="53" max="53" width="15.1796875" style="39" bestFit="1" customWidth="1"/>
    <col min="54" max="54" width="31.81640625" style="39" bestFit="1" customWidth="1"/>
    <col min="55" max="55" width="13.17968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1.08984375" style="39" bestFit="1" customWidth="1"/>
    <col min="60" max="60" width="31.81640625" style="39" bestFit="1" customWidth="1"/>
    <col min="61" max="61" width="13.1796875" style="39" bestFit="1" customWidth="1"/>
    <col min="62" max="62" width="31.81640625" style="39" bestFit="1" customWidth="1"/>
    <col min="63" max="63" width="10.1796875" style="39" bestFit="1" customWidth="1"/>
    <col min="64" max="64" width="31.81640625" style="39" bestFit="1" customWidth="1"/>
    <col min="65" max="65" width="11.08984375" style="39" bestFit="1" customWidth="1"/>
    <col min="66" max="66" width="31.81640625" style="39" bestFit="1" customWidth="1"/>
    <col min="67" max="67" width="13.17968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1.089843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0.1796875" style="39" bestFit="1" customWidth="1"/>
    <col min="76" max="76" width="31.81640625" style="39" bestFit="1" customWidth="1"/>
    <col min="77" max="77" width="11.08984375" style="39" bestFit="1" customWidth="1"/>
    <col min="78" max="78" width="31.81640625" style="39" bestFit="1" customWidth="1"/>
    <col min="79" max="79" width="13.1796875" style="39" bestFit="1" customWidth="1"/>
    <col min="80" max="80" width="31.81640625" style="39" bestFit="1" customWidth="1"/>
    <col min="81" max="81" width="17.26953125" style="39" bestFit="1" customWidth="1"/>
    <col min="82" max="82" width="31.81640625" style="39" bestFit="1" customWidth="1"/>
    <col min="83" max="83" width="15.1796875" style="39" bestFit="1" customWidth="1"/>
    <col min="84" max="84" width="31.81640625" style="39" bestFit="1" customWidth="1"/>
    <col min="85" max="85" width="17.26953125" style="39" bestFit="1" customWidth="1"/>
    <col min="86" max="86" width="31.81640625" style="39" bestFit="1" customWidth="1"/>
    <col min="87" max="87" width="13.1796875" style="39" bestFit="1" customWidth="1"/>
    <col min="88" max="88" width="31.81640625" style="39" bestFit="1" customWidth="1"/>
    <col min="89" max="89" width="10.1796875" style="39" bestFit="1" customWidth="1"/>
    <col min="90" max="90" width="31.81640625" style="39" bestFit="1" customWidth="1"/>
    <col min="91" max="91" width="11.08984375" style="39" bestFit="1" customWidth="1"/>
    <col min="92" max="92" width="31.81640625" style="39" bestFit="1" customWidth="1"/>
    <col min="93" max="93" width="10.1796875" style="39" bestFit="1" customWidth="1"/>
    <col min="94" max="94" width="31.81640625" style="39" bestFit="1" customWidth="1"/>
    <col min="95" max="95" width="13.1796875" style="39" bestFit="1" customWidth="1"/>
    <col min="96" max="96" width="31.81640625" style="39" bestFit="1" customWidth="1"/>
    <col min="97" max="97" width="11.08984375" style="39" bestFit="1" customWidth="1"/>
    <col min="98" max="98" width="31.81640625" style="39" bestFit="1" customWidth="1"/>
    <col min="99" max="99" width="13.1796875" style="39" bestFit="1" customWidth="1"/>
    <col min="100" max="100" width="31.81640625" style="39" bestFit="1" customWidth="1"/>
    <col min="101" max="101" width="11.08984375" style="39" bestFit="1" customWidth="1"/>
    <col min="102" max="102" width="31.81640625" style="39" bestFit="1" customWidth="1"/>
    <col min="103" max="103" width="15.1796875" style="39" bestFit="1" customWidth="1"/>
    <col min="104" max="104" width="31.81640625" style="39" bestFit="1" customWidth="1"/>
    <col min="105" max="105" width="11.08984375" style="39" bestFit="1" customWidth="1"/>
    <col min="106" max="106" width="31.81640625" style="39" bestFit="1" customWidth="1"/>
    <col min="107" max="107" width="10.1796875" style="39" bestFit="1" customWidth="1"/>
    <col min="108" max="108" width="31.81640625" style="39" bestFit="1" customWidth="1"/>
    <col min="109" max="109" width="11.08984375" style="39" bestFit="1" customWidth="1"/>
    <col min="110" max="110" width="31.81640625" style="39" bestFit="1" customWidth="1"/>
    <col min="111" max="111" width="10.1796875" style="39" bestFit="1" customWidth="1"/>
    <col min="112" max="112" width="31.81640625" style="39" bestFit="1" customWidth="1"/>
    <col min="113" max="113" width="11.089843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5.1796875" style="39" bestFit="1" customWidth="1"/>
    <col min="118" max="118" width="31.81640625" style="39" bestFit="1" customWidth="1"/>
    <col min="119" max="119" width="13.1796875" style="39" bestFit="1" customWidth="1"/>
    <col min="120" max="120" width="31.81640625" style="39" bestFit="1" customWidth="1"/>
    <col min="121" max="121" width="11.08984375" style="39" bestFit="1" customWidth="1"/>
    <col min="122" max="122" width="31.81640625" style="39" bestFit="1" customWidth="1"/>
    <col min="123" max="123" width="17.26953125" style="39" bestFit="1" customWidth="1"/>
    <col min="124" max="124" width="31.81640625" style="39" bestFit="1" customWidth="1"/>
    <col min="125" max="125" width="15.1796875" style="39" bestFit="1" customWidth="1"/>
    <col min="126" max="126" width="31.81640625" style="39" bestFit="1" customWidth="1"/>
    <col min="127" max="127" width="11.08984375" style="39" bestFit="1" customWidth="1"/>
    <col min="128" max="128" width="31.81640625" style="39" bestFit="1" customWidth="1"/>
    <col min="129" max="129" width="17.26953125" style="39" bestFit="1" customWidth="1"/>
    <col min="130" max="130" width="31.81640625" style="39" bestFit="1" customWidth="1"/>
    <col min="131" max="131" width="13.1796875" style="39" bestFit="1" customWidth="1"/>
    <col min="132" max="132" width="31.81640625" style="39" bestFit="1" customWidth="1"/>
    <col min="133" max="133" width="15.1796875" style="39" bestFit="1" customWidth="1"/>
    <col min="134" max="134" width="31.81640625" style="39" bestFit="1" customWidth="1"/>
    <col min="135" max="135" width="11.08984375" style="39" bestFit="1" customWidth="1"/>
    <col min="136" max="136" width="31.81640625" style="39" bestFit="1" customWidth="1"/>
    <col min="137" max="137" width="13.1796875" style="39" bestFit="1" customWidth="1"/>
    <col min="138" max="138" width="31.81640625" style="39" bestFit="1" customWidth="1"/>
    <col min="139" max="139" width="15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9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5.1796875" style="39" bestFit="1" customWidth="1"/>
    <col min="150" max="150" width="31.81640625" style="39" bestFit="1" customWidth="1"/>
    <col min="151" max="151" width="17.2695312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3.1796875" style="39" bestFit="1" customWidth="1"/>
    <col min="158" max="158" width="31.81640625" style="39" bestFit="1" customWidth="1"/>
    <col min="159" max="159" width="11.08984375" style="39" bestFit="1" customWidth="1"/>
    <col min="160" max="160" width="31.81640625" style="39" bestFit="1" customWidth="1"/>
    <col min="161" max="161" width="19.1796875" style="39" bestFit="1" customWidth="1"/>
    <col min="162" max="162" width="31.81640625" style="39" bestFit="1" customWidth="1"/>
    <col min="163" max="163" width="15.1796875" style="39" bestFit="1" customWidth="1"/>
    <col min="164" max="164" width="31.81640625" style="39" bestFit="1" customWidth="1"/>
    <col min="165" max="165" width="13.1796875" style="39" bestFit="1" customWidth="1"/>
    <col min="166" max="166" width="31.81640625" style="39" bestFit="1" customWidth="1"/>
    <col min="167" max="167" width="10.179687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7.26953125" style="39" bestFit="1" customWidth="1"/>
    <col min="172" max="172" width="31.81640625" style="39" bestFit="1" customWidth="1"/>
    <col min="173" max="173" width="10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9.1796875" style="39" bestFit="1" customWidth="1"/>
    <col min="178" max="178" width="31.81640625" style="39" bestFit="1" customWidth="1"/>
    <col min="179" max="179" width="15.1796875" style="39" bestFit="1" customWidth="1"/>
    <col min="180" max="180" width="31.81640625" style="39" bestFit="1" customWidth="1"/>
    <col min="181" max="181" width="19.1796875" style="39" bestFit="1" customWidth="1"/>
    <col min="182" max="182" width="31.81640625" style="39" bestFit="1" customWidth="1"/>
    <col min="183" max="183" width="10.1796875" style="39" bestFit="1" customWidth="1"/>
    <col min="184" max="184" width="31.81640625" style="39" bestFit="1" customWidth="1"/>
    <col min="185" max="185" width="15.1796875" style="39" bestFit="1" customWidth="1"/>
    <col min="186" max="186" width="31.81640625" style="39" bestFit="1" customWidth="1"/>
    <col min="187" max="187" width="11.08984375" style="39" bestFit="1" customWidth="1"/>
    <col min="188" max="188" width="31.81640625" style="39" bestFit="1" customWidth="1"/>
    <col min="189" max="189" width="17.26953125" style="39" bestFit="1" customWidth="1"/>
    <col min="190" max="190" width="31.81640625" style="39" bestFit="1" customWidth="1"/>
    <col min="191" max="191" width="10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3.1796875" style="39" bestFit="1" customWidth="1"/>
    <col min="196" max="196" width="31.81640625" style="39" bestFit="1" customWidth="1"/>
    <col min="197" max="197" width="11.08984375" style="39" bestFit="1" customWidth="1"/>
    <col min="198" max="198" width="31.81640625" style="39" bestFit="1" customWidth="1"/>
    <col min="199" max="199" width="10.1796875" style="39" bestFit="1" customWidth="1"/>
    <col min="200" max="200" width="31.81640625" style="39" bestFit="1" customWidth="1"/>
    <col min="201" max="201" width="15.1796875" style="39" bestFit="1" customWidth="1"/>
    <col min="202" max="202" width="31.81640625" style="39" bestFit="1" customWidth="1"/>
    <col min="203" max="203" width="13.1796875" style="39" bestFit="1" customWidth="1"/>
    <col min="204" max="204" width="31.81640625" style="39" bestFit="1" customWidth="1"/>
    <col min="205" max="205" width="17.26953125" style="39" bestFit="1" customWidth="1"/>
    <col min="206" max="206" width="31.81640625" style="39" bestFit="1" customWidth="1"/>
    <col min="207" max="207" width="15.1796875" style="39" bestFit="1" customWidth="1"/>
    <col min="208" max="208" width="31.81640625" style="39" bestFit="1" customWidth="1"/>
    <col min="209" max="209" width="10.1796875" style="39" bestFit="1" customWidth="1"/>
    <col min="210" max="210" width="31.81640625" style="39" bestFit="1" customWidth="1"/>
    <col min="211" max="211" width="19.1796875" style="39" bestFit="1" customWidth="1"/>
    <col min="212" max="212" width="31.81640625" style="39" bestFit="1" customWidth="1"/>
    <col min="213" max="213" width="10.1796875" style="39" bestFit="1" customWidth="1"/>
    <col min="214" max="214" width="31.81640625" style="39" bestFit="1" customWidth="1"/>
    <col min="215" max="215" width="17.26953125" style="39" bestFit="1" customWidth="1"/>
    <col min="216" max="216" width="31.81640625" style="39" bestFit="1" customWidth="1"/>
    <col min="217" max="217" width="11.08984375" style="39" bestFit="1" customWidth="1"/>
    <col min="218" max="218" width="31.81640625" style="39" bestFit="1" customWidth="1"/>
    <col min="219" max="219" width="10.1796875" style="39" bestFit="1" customWidth="1"/>
    <col min="220" max="220" width="31.81640625" style="39" bestFit="1" customWidth="1"/>
    <col min="221" max="221" width="13.1796875" style="39" bestFit="1" customWidth="1"/>
    <col min="222" max="222" width="31.81640625" style="39" bestFit="1" customWidth="1"/>
    <col min="223" max="223" width="15.1796875" style="39" bestFit="1" customWidth="1"/>
    <col min="224" max="224" width="31.81640625" style="39" bestFit="1" customWidth="1"/>
    <col min="225" max="225" width="19.1796875" style="39" bestFit="1" customWidth="1"/>
    <col min="226" max="226" width="31.81640625" style="39" bestFit="1" customWidth="1"/>
    <col min="227" max="227" width="17.26953125" style="39" bestFit="1" customWidth="1"/>
    <col min="228" max="228" width="31.81640625" style="39" bestFit="1" customWidth="1"/>
    <col min="229" max="229" width="15.1796875" style="39" bestFit="1" customWidth="1"/>
    <col min="230" max="230" width="31.81640625" style="39" bestFit="1" customWidth="1"/>
    <col min="231" max="231" width="13.1796875" style="39" bestFit="1" customWidth="1"/>
    <col min="232" max="232" width="31.81640625" style="39" bestFit="1" customWidth="1"/>
    <col min="233" max="233" width="19.1796875" style="39" bestFit="1" customWidth="1"/>
    <col min="234" max="234" width="31.81640625" style="39" bestFit="1" customWidth="1"/>
    <col min="235" max="235" width="10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3.1796875" style="39" bestFit="1" customWidth="1"/>
    <col min="240" max="240" width="31.81640625" style="39" bestFit="1" customWidth="1"/>
    <col min="241" max="241" width="17.26953125" style="39" bestFit="1" customWidth="1"/>
    <col min="242" max="242" width="31.81640625" style="39" bestFit="1" customWidth="1"/>
    <col min="243" max="243" width="10.1796875" style="39" bestFit="1" customWidth="1"/>
    <col min="244" max="244" width="31.81640625" style="39" bestFit="1" customWidth="1"/>
    <col min="245" max="245" width="19.179687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7.26953125" style="39" bestFit="1" customWidth="1"/>
    <col min="250" max="250" width="31.81640625" style="39" bestFit="1" customWidth="1"/>
    <col min="251" max="251" width="10.1796875" style="39" bestFit="1" customWidth="1"/>
    <col min="252" max="252" width="31.81640625" style="39" bestFit="1" customWidth="1"/>
    <col min="253" max="253" width="13.1796875" style="39" bestFit="1" customWidth="1"/>
    <col min="254" max="254" width="31.81640625" style="39" bestFit="1" customWidth="1"/>
    <col min="255" max="255" width="17.26953125" style="39" bestFit="1" customWidth="1"/>
    <col min="256" max="256" width="31.81640625" style="39" bestFit="1" customWidth="1"/>
    <col min="257" max="257" width="11.08984375" style="39" bestFit="1" customWidth="1"/>
    <col min="258" max="258" width="31.81640625" style="39" bestFit="1" customWidth="1"/>
    <col min="259" max="259" width="17.26953125" style="39" bestFit="1" customWidth="1"/>
    <col min="260" max="260" width="31.81640625" style="39" bestFit="1" customWidth="1"/>
    <col min="261" max="261" width="11.089843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3.1796875" style="39" bestFit="1" customWidth="1"/>
    <col min="266" max="266" width="31.81640625" style="39" bestFit="1" customWidth="1"/>
    <col min="267" max="267" width="17.26953125" style="39" bestFit="1" customWidth="1"/>
    <col min="268" max="268" width="31.81640625" style="39" bestFit="1" customWidth="1"/>
    <col min="269" max="269" width="13.1796875" style="39" bestFit="1" customWidth="1"/>
    <col min="270" max="270" width="31.81640625" style="39" bestFit="1" customWidth="1"/>
    <col min="271" max="271" width="15.1796875" style="39" bestFit="1" customWidth="1"/>
    <col min="272" max="272" width="31.81640625" style="39" bestFit="1" customWidth="1"/>
    <col min="273" max="273" width="13.1796875" style="39" bestFit="1" customWidth="1"/>
    <col min="274" max="274" width="31.81640625" style="39" bestFit="1" customWidth="1"/>
    <col min="275" max="275" width="15.1796875" style="39" bestFit="1" customWidth="1"/>
    <col min="276" max="276" width="31.81640625" style="39" bestFit="1" customWidth="1"/>
    <col min="277" max="277" width="17.26953125" style="39" bestFit="1" customWidth="1"/>
    <col min="278" max="278" width="31.81640625" style="39" bestFit="1" customWidth="1"/>
    <col min="279" max="279" width="19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5.1796875" style="39" bestFit="1" customWidth="1"/>
    <col min="284" max="284" width="31.81640625" style="39" bestFit="1" customWidth="1"/>
    <col min="285" max="285" width="13.1796875" style="39" bestFit="1" customWidth="1"/>
    <col min="286" max="286" width="31.81640625" style="39" bestFit="1" customWidth="1"/>
    <col min="287" max="287" width="11.08984375" style="39" bestFit="1" customWidth="1"/>
    <col min="288" max="288" width="31.81640625" style="39" bestFit="1" customWidth="1"/>
    <col min="289" max="289" width="10.1796875" style="39" bestFit="1" customWidth="1"/>
    <col min="290" max="290" width="31.81640625" style="39" bestFit="1" customWidth="1"/>
    <col min="291" max="291" width="19.1796875" style="39" bestFit="1" customWidth="1"/>
    <col min="292" max="292" width="31.81640625" style="39" bestFit="1" customWidth="1"/>
    <col min="293" max="293" width="23.1796875" style="39" bestFit="1" customWidth="1"/>
    <col min="294" max="294" width="31.81640625" style="39" bestFit="1" customWidth="1"/>
    <col min="295" max="295" width="11.08984375" style="39" bestFit="1" customWidth="1"/>
    <col min="296" max="296" width="31.81640625" style="39" bestFit="1" customWidth="1"/>
    <col min="297" max="297" width="15.1796875" style="39" bestFit="1" customWidth="1"/>
    <col min="298" max="298" width="31.81640625" style="39" bestFit="1" customWidth="1"/>
    <col min="299" max="299" width="17.26953125" style="39" bestFit="1" customWidth="1"/>
    <col min="300" max="300" width="31.81640625" style="39" bestFit="1" customWidth="1"/>
    <col min="301" max="301" width="10.1796875" style="39" bestFit="1" customWidth="1"/>
    <col min="302" max="302" width="31.81640625" style="39" bestFit="1" customWidth="1"/>
    <col min="303" max="303" width="15.1796875" style="39" bestFit="1" customWidth="1"/>
    <col min="304" max="304" width="31.81640625" style="39" bestFit="1" customWidth="1"/>
    <col min="305" max="305" width="10.1796875" style="39" bestFit="1" customWidth="1"/>
    <col min="306" max="306" width="31.81640625" style="39" bestFit="1" customWidth="1"/>
    <col min="307" max="307" width="11.08984375" style="39" bestFit="1" customWidth="1"/>
    <col min="308" max="308" width="31.81640625" style="39" bestFit="1" customWidth="1"/>
    <col min="309" max="309" width="23.1796875" style="39" bestFit="1" customWidth="1"/>
    <col min="310" max="310" width="31.81640625" style="39" bestFit="1" customWidth="1"/>
    <col min="311" max="311" width="10.1796875" style="39" bestFit="1" customWidth="1"/>
    <col min="312" max="312" width="31.81640625" style="39" bestFit="1" customWidth="1"/>
    <col min="313" max="313" width="11.08984375" style="39" bestFit="1" customWidth="1"/>
    <col min="314" max="314" width="31.81640625" style="39" bestFit="1" customWidth="1"/>
    <col min="315" max="315" width="15.1796875" style="39" bestFit="1" customWidth="1"/>
    <col min="316" max="316" width="31.81640625" style="39" bestFit="1" customWidth="1"/>
    <col min="317" max="317" width="11.08984375" style="39" bestFit="1" customWidth="1"/>
    <col min="318" max="318" width="31.81640625" style="39" bestFit="1" customWidth="1"/>
    <col min="319" max="319" width="15.1796875" style="39" bestFit="1" customWidth="1"/>
    <col min="320" max="320" width="31.81640625" style="39" bestFit="1" customWidth="1"/>
    <col min="321" max="321" width="13.1796875" style="39" bestFit="1" customWidth="1"/>
    <col min="322" max="322" width="31.81640625" style="39" bestFit="1" customWidth="1"/>
    <col min="323" max="323" width="11.08984375" style="39" bestFit="1" customWidth="1"/>
    <col min="324" max="324" width="31.81640625" style="39" bestFit="1" customWidth="1"/>
    <col min="325" max="325" width="23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5.1796875" style="39" bestFit="1" customWidth="1"/>
    <col min="330" max="330" width="31.81640625" style="39" bestFit="1" customWidth="1"/>
    <col min="331" max="331" width="13.1796875" style="39" bestFit="1" customWidth="1"/>
    <col min="332" max="332" width="31.81640625" style="39" bestFit="1" customWidth="1"/>
    <col min="333" max="333" width="15.1796875" style="39" bestFit="1" customWidth="1"/>
    <col min="334" max="334" width="31.81640625" style="39" bestFit="1" customWidth="1"/>
    <col min="335" max="335" width="13.1796875" style="39" bestFit="1" customWidth="1"/>
    <col min="336" max="336" width="31.81640625" style="39" bestFit="1" customWidth="1"/>
    <col min="337" max="337" width="10.1796875" style="39" bestFit="1" customWidth="1"/>
    <col min="338" max="338" width="31.81640625" style="39" bestFit="1" customWidth="1"/>
    <col min="339" max="339" width="23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9.1796875" style="39" bestFit="1" customWidth="1"/>
    <col min="344" max="344" width="31.81640625" style="39" bestFit="1" customWidth="1"/>
    <col min="345" max="345" width="10.1796875" style="39" bestFit="1" customWidth="1"/>
    <col min="346" max="346" width="31.81640625" style="39" bestFit="1" customWidth="1"/>
    <col min="347" max="347" width="17.26953125" style="39" bestFit="1" customWidth="1"/>
    <col min="348" max="348" width="31.81640625" style="39" bestFit="1" customWidth="1"/>
    <col min="349" max="349" width="13.179687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21.26953125" style="39" bestFit="1" customWidth="1"/>
    <col min="354" max="354" width="31.81640625" style="39" bestFit="1" customWidth="1"/>
    <col min="355" max="355" width="17.26953125" style="39" bestFit="1" customWidth="1"/>
    <col min="356" max="356" width="31.81640625" style="39" bestFit="1" customWidth="1"/>
    <col min="357" max="357" width="10.1796875" style="39" bestFit="1" customWidth="1"/>
    <col min="358" max="358" width="31.81640625" style="39" bestFit="1" customWidth="1"/>
    <col min="359" max="359" width="21.2695312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0.1796875" style="39" bestFit="1" customWidth="1"/>
    <col min="366" max="366" width="31.81640625" style="39" bestFit="1" customWidth="1"/>
    <col min="367" max="367" width="15.1796875" style="39" bestFit="1" customWidth="1"/>
    <col min="368" max="368" width="31.81640625" style="39" bestFit="1" customWidth="1"/>
    <col min="369" max="369" width="21.26953125" style="39" bestFit="1" customWidth="1"/>
    <col min="370" max="370" width="31.81640625" style="39" bestFit="1" customWidth="1"/>
    <col min="371" max="371" width="17.26953125" style="39" bestFit="1" customWidth="1"/>
    <col min="372" max="372" width="31.81640625" style="39" bestFit="1" customWidth="1"/>
    <col min="373" max="373" width="10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13.1796875" style="39" bestFit="1" customWidth="1"/>
    <col min="378" max="378" width="31.81640625" style="39" bestFit="1" customWidth="1"/>
    <col min="379" max="379" width="21.2695312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10.1796875" style="39" bestFit="1" customWidth="1"/>
    <col min="384" max="384" width="31.81640625" style="39" bestFit="1" customWidth="1"/>
    <col min="385" max="385" width="21.26953125" style="39" bestFit="1" customWidth="1"/>
    <col min="386" max="386" width="31.81640625" style="39" bestFit="1" customWidth="1"/>
    <col min="387" max="387" width="10.1796875" style="39" bestFit="1" customWidth="1"/>
    <col min="388" max="388" width="31.81640625" style="39" bestFit="1" customWidth="1"/>
    <col min="389" max="389" width="19.1796875" style="39" bestFit="1" customWidth="1"/>
    <col min="390" max="390" width="31.81640625" style="39" bestFit="1" customWidth="1"/>
    <col min="391" max="391" width="13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0.1796875" style="39" bestFit="1" customWidth="1"/>
    <col min="396" max="396" width="31.81640625" style="39" bestFit="1" customWidth="1"/>
    <col min="397" max="397" width="15.1796875" style="39" bestFit="1" customWidth="1"/>
    <col min="398" max="398" width="31.81640625" style="39" bestFit="1" customWidth="1"/>
    <col min="399" max="399" width="17.26953125" style="39" bestFit="1" customWidth="1"/>
    <col min="400" max="400" width="31.81640625" style="39" bestFit="1" customWidth="1"/>
    <col min="401" max="401" width="13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5.1796875" style="39" bestFit="1" customWidth="1"/>
    <col min="406" max="406" width="31.81640625" style="39" bestFit="1" customWidth="1"/>
    <col min="407" max="407" width="10.1796875" style="39" bestFit="1" customWidth="1"/>
    <col min="408" max="408" width="31.81640625" style="39" bestFit="1" customWidth="1"/>
    <col min="409" max="409" width="15.1796875" style="39" bestFit="1" customWidth="1"/>
    <col min="410" max="410" width="31.81640625" style="39" bestFit="1" customWidth="1"/>
    <col min="411" max="411" width="13.1796875" style="39" bestFit="1" customWidth="1"/>
    <col min="412" max="412" width="31.81640625" style="39" bestFit="1" customWidth="1"/>
    <col min="413" max="413" width="19.1796875" style="39" bestFit="1" customWidth="1"/>
    <col min="414" max="414" width="31.81640625" style="39" bestFit="1" customWidth="1"/>
    <col min="415" max="415" width="10.1796875" style="39" bestFit="1" customWidth="1"/>
    <col min="416" max="416" width="31.81640625" style="39" bestFit="1" customWidth="1"/>
    <col min="417" max="417" width="13.1796875" style="39" bestFit="1" customWidth="1"/>
    <col min="418" max="418" width="31.81640625" style="39" bestFit="1" customWidth="1"/>
    <col min="419" max="419" width="15.1796875" style="39" bestFit="1" customWidth="1"/>
    <col min="420" max="420" width="31.81640625" style="39" bestFit="1" customWidth="1"/>
    <col min="421" max="421" width="10.1796875" style="39" bestFit="1" customWidth="1"/>
    <col min="422" max="422" width="31.81640625" style="39" bestFit="1" customWidth="1"/>
    <col min="423" max="423" width="15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0.1796875" style="39" bestFit="1" customWidth="1"/>
    <col min="428" max="428" width="31.81640625" style="39" bestFit="1" customWidth="1"/>
    <col min="429" max="429" width="15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0.1796875" style="39" bestFit="1" customWidth="1"/>
    <col min="436" max="436" width="31.81640625" style="39" bestFit="1" customWidth="1"/>
    <col min="437" max="437" width="15.17968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1.0898437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7.2695312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1.08984375" style="39" bestFit="1" customWidth="1"/>
    <col min="462" max="462" width="31.81640625" style="39" bestFit="1" customWidth="1"/>
    <col min="463" max="463" width="14" style="39" bestFit="1" customWidth="1"/>
    <col min="464" max="464" width="31.81640625" style="39" bestFit="1" customWidth="1"/>
    <col min="465" max="465" width="10.1796875" style="39" bestFit="1" customWidth="1"/>
    <col min="466" max="466" width="31.81640625" style="39" bestFit="1" customWidth="1"/>
    <col min="467" max="467" width="22.81640625" style="39" bestFit="1" customWidth="1"/>
    <col min="468" max="468" width="44.36328125" style="39" bestFit="1" customWidth="1"/>
    <col min="469" max="16384" width="3.26953125" style="39"/>
  </cols>
  <sheetData>
    <row r="1" spans="1:468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145" t="s">
        <v>1585</v>
      </c>
      <c r="AB1" s="146"/>
      <c r="AC1" s="146"/>
      <c r="AD1" s="146"/>
      <c r="AE1" s="146"/>
      <c r="AF1" s="146"/>
      <c r="AG1" s="146"/>
      <c r="AH1" s="87"/>
      <c r="AI1" s="88"/>
      <c r="AJ1" s="89"/>
      <c r="AK1" s="89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</row>
    <row r="2" spans="1:468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147" t="str">
        <f>N6</f>
        <v/>
      </c>
      <c r="AA2" s="147"/>
      <c r="AB2" s="147"/>
      <c r="AC2" s="147"/>
      <c r="AD2" s="147"/>
      <c r="AE2" s="53"/>
      <c r="AF2" s="53"/>
      <c r="AG2" s="53"/>
      <c r="AH2" s="63"/>
      <c r="AI2" s="64"/>
      <c r="AJ2" s="65"/>
      <c r="AK2" s="65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</row>
    <row r="3" spans="1:468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63"/>
      <c r="AI3" s="64"/>
      <c r="AJ3" s="66"/>
      <c r="AK3" s="65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</row>
    <row r="4" spans="1:468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63"/>
      <c r="AI4" s="64"/>
      <c r="AJ4" s="65"/>
      <c r="AK4" s="65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</row>
    <row r="5" spans="1:468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123" t="s">
        <v>1597</v>
      </c>
      <c r="K5" s="123" t="s">
        <v>1598</v>
      </c>
      <c r="L5"/>
      <c r="M5" s="56" t="s">
        <v>1151</v>
      </c>
      <c r="N5" s="57" t="s">
        <v>1152</v>
      </c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63"/>
      <c r="AI5" s="64"/>
      <c r="AJ5" s="65"/>
      <c r="AK5" s="65"/>
      <c r="AL5" s="53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</row>
    <row r="6" spans="1:468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48">
        <v>1</v>
      </c>
      <c r="J6" s="148"/>
      <c r="K6" s="148">
        <v>1</v>
      </c>
      <c r="L6"/>
      <c r="M6" s="58">
        <v>46272</v>
      </c>
      <c r="N6" s="59" t="str">
        <f>IFERROR(VLOOKUP($A$2,Stok!$B$1:$DP$449,119,0),"")</f>
        <v/>
      </c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63"/>
      <c r="AI6" s="64"/>
      <c r="AJ6" s="65"/>
      <c r="AK6" s="65"/>
      <c r="AL6" s="53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</row>
    <row r="7" spans="1:468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48">
        <v>0</v>
      </c>
      <c r="J7" s="148"/>
      <c r="K7" s="148">
        <v>0</v>
      </c>
      <c r="L7"/>
      <c r="M7" s="58">
        <v>46265</v>
      </c>
      <c r="N7" s="59" t="str">
        <f>IFERROR(VLOOKUP($A$2,Stok!$B$1:$DO$447,118,0),"")</f>
        <v/>
      </c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63"/>
      <c r="AI7" s="64"/>
      <c r="AJ7" s="65"/>
      <c r="AK7" s="65"/>
      <c r="AL7" s="53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</row>
    <row r="8" spans="1:468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48">
        <v>1</v>
      </c>
      <c r="J8" s="148"/>
      <c r="K8" s="148">
        <v>1</v>
      </c>
      <c r="L8"/>
      <c r="M8" s="58">
        <v>46258</v>
      </c>
      <c r="N8" s="59" t="str">
        <f>IFERROR(VLOOKUP($A$2,Stok!$B$1:$DN$449,117,0),"")</f>
        <v/>
      </c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63"/>
      <c r="AI8" s="64"/>
      <c r="AJ8" s="65"/>
      <c r="AK8" s="65"/>
      <c r="AL8" s="53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</row>
    <row r="9" spans="1:468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48">
        <v>127</v>
      </c>
      <c r="J9" s="148"/>
      <c r="K9" s="148">
        <v>127</v>
      </c>
      <c r="L9"/>
      <c r="M9" s="58">
        <v>46251</v>
      </c>
      <c r="N9" s="59" t="str">
        <f>IFERROR(VLOOKUP($A$2,Stok!$B$1:$DM$449,116,0),"")</f>
        <v/>
      </c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63"/>
      <c r="AI9" s="64"/>
      <c r="AJ9" s="65"/>
      <c r="AK9" s="65"/>
      <c r="AL9" s="53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</row>
    <row r="10" spans="1:468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48">
        <v>1</v>
      </c>
      <c r="J10" s="148"/>
      <c r="K10" s="148">
        <v>1</v>
      </c>
      <c r="L10"/>
      <c r="M10" s="58">
        <v>46244</v>
      </c>
      <c r="N10" s="59" t="str">
        <f>IFERROR(VLOOKUP($A$2,Stok!$B$1:$DL$449,115,0),"")</f>
        <v/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63"/>
      <c r="AI10" s="64"/>
      <c r="AJ10" s="65"/>
      <c r="AK10" s="65"/>
      <c r="AL10" s="53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</row>
    <row r="11" spans="1:468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48">
        <v>1</v>
      </c>
      <c r="J11" s="148"/>
      <c r="K11" s="148">
        <v>1</v>
      </c>
      <c r="L11"/>
      <c r="M11" s="58">
        <v>46237</v>
      </c>
      <c r="N11" s="59" t="str">
        <f>IFERROR(VLOOKUP($A$2,Stok!$B$1:$DK$449,114,0),"")</f>
        <v/>
      </c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63"/>
      <c r="AI11" s="64"/>
      <c r="AJ11" s="65"/>
      <c r="AK11" s="65"/>
      <c r="AL11" s="53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</row>
    <row r="12" spans="1:468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48">
        <v>1</v>
      </c>
      <c r="J12" s="148"/>
      <c r="K12" s="148">
        <v>1</v>
      </c>
      <c r="L12"/>
      <c r="M12" s="58">
        <v>46223</v>
      </c>
      <c r="N12" s="59" t="str">
        <f>IFERROR(VLOOKUP($A$2,Stok!$B$1:$DJ$449,113,0),"")</f>
        <v/>
      </c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63"/>
      <c r="AI12" s="64"/>
      <c r="AJ12" s="65"/>
      <c r="AK12" s="65"/>
      <c r="AL12" s="53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</row>
    <row r="13" spans="1:468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48">
        <v>0</v>
      </c>
      <c r="J13" s="148"/>
      <c r="K13" s="148">
        <v>0</v>
      </c>
      <c r="L13"/>
      <c r="M13" s="58">
        <v>46216</v>
      </c>
      <c r="N13" s="59" t="str">
        <f>IFERROR(VLOOKUP($A$2,Stok!$B$1:$DI$449,112,0),"")</f>
        <v/>
      </c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63"/>
      <c r="AI13" s="64"/>
      <c r="AJ13" s="65"/>
      <c r="AK13" s="65"/>
      <c r="AL13" s="53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</row>
    <row r="14" spans="1:468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48">
        <v>0</v>
      </c>
      <c r="J14" s="148"/>
      <c r="K14" s="148">
        <v>0</v>
      </c>
      <c r="L14"/>
      <c r="M14" s="58">
        <v>46209</v>
      </c>
      <c r="N14" s="59" t="str">
        <f>IFERROR(VLOOKUP($A$2,Stok!$B$1:$DH$449,111,0),"")</f>
        <v/>
      </c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63"/>
      <c r="AI14" s="64"/>
      <c r="AJ14" s="65"/>
      <c r="AK14" s="65"/>
      <c r="AL14" s="53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</row>
    <row r="15" spans="1:468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48">
        <v>0</v>
      </c>
      <c r="J15" s="148"/>
      <c r="K15" s="148">
        <v>0</v>
      </c>
      <c r="L15"/>
      <c r="M15" s="58">
        <v>46202</v>
      </c>
      <c r="N15" s="59" t="str">
        <f>IFERROR(VLOOKUP($A$2,Stok!$B$1:$DG$449,110,0),"")</f>
        <v/>
      </c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63"/>
      <c r="AI15" s="64"/>
      <c r="AJ15" s="65"/>
      <c r="AK15" s="65"/>
      <c r="AL15" s="53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</row>
    <row r="16" spans="1:468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48">
        <v>0</v>
      </c>
      <c r="J16" s="148"/>
      <c r="K16" s="148">
        <v>0</v>
      </c>
      <c r="L16"/>
      <c r="M16" s="58">
        <v>46195</v>
      </c>
      <c r="N16" s="59" t="str">
        <f>IFERROR(VLOOKUP($A$2,Stok!$B$1:$DF$449,109,0),"")</f>
        <v/>
      </c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63"/>
      <c r="AI16" s="64"/>
      <c r="AJ16" s="65"/>
      <c r="AK16" s="65"/>
      <c r="AL16" s="53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</row>
    <row r="17" spans="1:468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48">
        <v>0</v>
      </c>
      <c r="J17" s="148"/>
      <c r="K17" s="148">
        <v>0</v>
      </c>
      <c r="L17"/>
      <c r="M17" s="58">
        <v>46188</v>
      </c>
      <c r="N17" s="59" t="str">
        <f>IFERROR(VLOOKUP($A$2,Stok!$B$1:$DE$449,108,0),"")</f>
        <v/>
      </c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63"/>
      <c r="AI17" s="64"/>
      <c r="AJ17" s="65"/>
      <c r="AK17" s="65"/>
      <c r="AL17" s="53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</row>
    <row r="18" spans="1:468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48">
        <v>1</v>
      </c>
      <c r="J18" s="148"/>
      <c r="K18" s="148">
        <v>1</v>
      </c>
      <c r="L18"/>
      <c r="M18" s="58">
        <v>46181</v>
      </c>
      <c r="N18" s="59" t="str">
        <f>IFERROR(VLOOKUP($A$2,Stok!$B$1:$DD$449,107,0),"")</f>
        <v/>
      </c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63"/>
      <c r="AI18" s="64"/>
      <c r="AJ18" s="65"/>
      <c r="AK18" s="65"/>
      <c r="AL18" s="53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</row>
    <row r="19" spans="1:468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48">
        <v>14</v>
      </c>
      <c r="J19" s="148"/>
      <c r="K19" s="148">
        <v>14</v>
      </c>
      <c r="L19"/>
      <c r="M19" s="58">
        <v>46174</v>
      </c>
      <c r="N19" s="59" t="str">
        <f>IFERROR(VLOOKUP($A$2,Stok!$B$1:$DC$449,106,0),"")</f>
        <v/>
      </c>
      <c r="O19" s="53"/>
      <c r="P19" s="62"/>
      <c r="Q19" s="62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62"/>
      <c r="AG19" s="62"/>
      <c r="AH19" s="63"/>
      <c r="AI19" s="64"/>
      <c r="AJ19" s="65"/>
      <c r="AK19" s="65"/>
      <c r="AL19" s="53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</row>
    <row r="20" spans="1:468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48">
        <v>1</v>
      </c>
      <c r="J20" s="148"/>
      <c r="K20" s="148">
        <v>1</v>
      </c>
      <c r="L20"/>
      <c r="M20" s="58">
        <v>46160</v>
      </c>
      <c r="N20" s="59" t="str">
        <f>IFERROR(VLOOKUP($A$2,Stok!$B$1:$DB$449,105,0),"")</f>
        <v/>
      </c>
      <c r="O20" s="53"/>
      <c r="P20" s="62"/>
      <c r="Q20" s="62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62"/>
      <c r="AG20" s="62"/>
      <c r="AH20" s="63"/>
      <c r="AI20" s="64"/>
      <c r="AJ20" s="65"/>
      <c r="AK20" s="65"/>
      <c r="AL20" s="53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</row>
    <row r="21" spans="1:468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48">
        <v>56</v>
      </c>
      <c r="J21" s="148"/>
      <c r="K21" s="148">
        <v>56</v>
      </c>
      <c r="L21"/>
      <c r="M21" s="58">
        <v>46153</v>
      </c>
      <c r="N21" s="59" t="str">
        <f>IFERROR(VLOOKUP($A$2,Stok!$B$1:$DA$449,104,0),"")</f>
        <v/>
      </c>
      <c r="O21" s="53"/>
      <c r="P21" s="53"/>
      <c r="Q21" s="53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53"/>
      <c r="AG21" s="53"/>
      <c r="AH21" s="63"/>
      <c r="AI21" s="64"/>
      <c r="AJ21" s="65"/>
      <c r="AK21" s="65"/>
      <c r="AL21" s="53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</row>
    <row r="22" spans="1:468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48">
        <v>43</v>
      </c>
      <c r="J22" s="148"/>
      <c r="K22" s="148">
        <v>43</v>
      </c>
      <c r="L22"/>
      <c r="M22" s="58">
        <v>46146</v>
      </c>
      <c r="N22" s="59" t="str">
        <f>IFERROR(VLOOKUP($A$2,Stok!$B$1:$CZ$449,103,0),"")</f>
        <v/>
      </c>
      <c r="O22" s="53"/>
      <c r="P22" s="53"/>
      <c r="Q22" s="53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53"/>
      <c r="AG22" s="53"/>
      <c r="AH22" s="63"/>
      <c r="AI22" s="64"/>
      <c r="AJ22" s="65"/>
      <c r="AK22" s="65"/>
      <c r="AL22" s="53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</row>
    <row r="23" spans="1:468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48">
        <v>0</v>
      </c>
      <c r="J23" s="148"/>
      <c r="K23" s="148">
        <v>0</v>
      </c>
      <c r="L23"/>
      <c r="M23" s="58">
        <v>46139</v>
      </c>
      <c r="N23" s="59" t="str">
        <f>IFERROR(VLOOKUP($A$2,Stok!$B$1:$CY$449,102,0),"")</f>
        <v/>
      </c>
      <c r="O23" s="53"/>
      <c r="P23" s="53"/>
      <c r="Q23" s="53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53"/>
      <c r="AG23" s="53"/>
      <c r="AH23" s="63"/>
      <c r="AI23" s="64"/>
      <c r="AJ23" s="65"/>
      <c r="AK23" s="65"/>
      <c r="AL23" s="53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</row>
    <row r="24" spans="1:468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48">
        <v>9</v>
      </c>
      <c r="J24" s="148"/>
      <c r="K24" s="148">
        <v>9</v>
      </c>
      <c r="L24"/>
      <c r="M24" s="58">
        <v>46132</v>
      </c>
      <c r="N24" s="59" t="str">
        <f>IFERROR(VLOOKUP($A$2,Stok!$B$1:$CX$449,101,0),"")</f>
        <v/>
      </c>
      <c r="O24" s="53"/>
      <c r="P24" s="53"/>
      <c r="Q24" s="53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53"/>
      <c r="AG24" s="53"/>
      <c r="AH24" s="63"/>
      <c r="AI24" s="64"/>
      <c r="AJ24" s="65"/>
      <c r="AK24" s="65"/>
      <c r="AL24" s="53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</row>
    <row r="25" spans="1:468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48">
        <v>0</v>
      </c>
      <c r="J25" s="148"/>
      <c r="K25" s="148">
        <v>0</v>
      </c>
      <c r="L25"/>
      <c r="M25" s="58">
        <v>46125</v>
      </c>
      <c r="N25" s="59" t="str">
        <f>IFERROR(VLOOKUP($A$2,Stok!$B$1:$CW$449,100,0),"")</f>
        <v/>
      </c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63"/>
      <c r="AI25" s="64"/>
      <c r="AJ25" s="65"/>
      <c r="AK25" s="65"/>
      <c r="AL25" s="53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</row>
    <row r="26" spans="1:468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48">
        <v>845</v>
      </c>
      <c r="J26" s="148"/>
      <c r="K26" s="148">
        <v>845</v>
      </c>
      <c r="L26"/>
      <c r="M26" s="58">
        <v>46118</v>
      </c>
      <c r="N26" s="59" t="str">
        <f>IFERROR(VLOOKUP($A$2,Stok!$B$1:$CV$449,99,0),"")</f>
        <v/>
      </c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63"/>
      <c r="AI26" s="64"/>
      <c r="AJ26" s="65"/>
      <c r="AK26" s="65"/>
      <c r="AL26" s="53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</row>
    <row r="27" spans="1:468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48">
        <v>500</v>
      </c>
      <c r="J27" s="148"/>
      <c r="K27" s="148">
        <v>500</v>
      </c>
      <c r="L27"/>
      <c r="M27" s="58">
        <v>46111</v>
      </c>
      <c r="N27" s="59" t="str">
        <f>IFERROR(VLOOKUP($A$2,Stok!$B$1:$CU$449,98,0),"")</f>
        <v/>
      </c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63"/>
      <c r="AI27" s="64"/>
      <c r="AJ27" s="65"/>
      <c r="AK27" s="65"/>
      <c r="AL27" s="53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</row>
    <row r="28" spans="1:468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48">
        <v>0</v>
      </c>
      <c r="J28" s="148"/>
      <c r="K28" s="148">
        <v>0</v>
      </c>
      <c r="L28"/>
      <c r="M28" s="58">
        <v>46104</v>
      </c>
      <c r="N28" s="59" t="str">
        <f>IFERROR(VLOOKUP($A$2,Stok!$B$1:$CT$449,97,0),"")</f>
        <v/>
      </c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63"/>
      <c r="AI28" s="64"/>
      <c r="AJ28" s="65"/>
      <c r="AK28" s="65"/>
      <c r="AL28" s="53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</row>
    <row r="29" spans="1:468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48">
        <v>1</v>
      </c>
      <c r="J29" s="148"/>
      <c r="K29" s="148">
        <v>1</v>
      </c>
      <c r="L29"/>
      <c r="M29" s="58">
        <v>46097</v>
      </c>
      <c r="N29" s="59" t="str">
        <f>IFERROR(VLOOKUP($A$2,Stok!$B$1:$CS$449,96,0),"")</f>
        <v/>
      </c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63"/>
      <c r="AI29" s="64"/>
      <c r="AJ29" s="65"/>
      <c r="AK29" s="65"/>
      <c r="AL29" s="53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</row>
    <row r="30" spans="1:468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48">
        <v>207</v>
      </c>
      <c r="J30" s="148"/>
      <c r="K30" s="148">
        <v>207</v>
      </c>
      <c r="L30"/>
      <c r="M30" s="58">
        <v>46090</v>
      </c>
      <c r="N30" s="59" t="str">
        <f>IFERROR(VLOOKUP($A$2,Stok!$B$1:$CR$449,95,0),"")</f>
        <v/>
      </c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63"/>
      <c r="AI30" s="64"/>
      <c r="AJ30" s="65"/>
      <c r="AK30" s="65"/>
      <c r="AL30" s="53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</row>
    <row r="31" spans="1:468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48">
        <v>24</v>
      </c>
      <c r="J31" s="148"/>
      <c r="K31" s="148">
        <v>24</v>
      </c>
      <c r="L31"/>
      <c r="M31" s="58">
        <v>46083</v>
      </c>
      <c r="N31" s="59" t="str">
        <f>IFERROR(VLOOKUP($A$2,Stok!$B$1:$CQ$449,94,0),"")</f>
        <v/>
      </c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63"/>
      <c r="AI31" s="64"/>
      <c r="AJ31" s="65"/>
      <c r="AK31" s="65"/>
      <c r="AL31" s="53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</row>
    <row r="32" spans="1:468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48">
        <v>28</v>
      </c>
      <c r="J32" s="148"/>
      <c r="K32" s="148">
        <v>28</v>
      </c>
      <c r="L32"/>
      <c r="M32" s="58">
        <v>46076</v>
      </c>
      <c r="N32" s="59" t="str">
        <f>IFERROR(VLOOKUP($A$2,Stok!$B$1:$CP$449,93,0),"")</f>
        <v/>
      </c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63"/>
      <c r="AI32" s="64"/>
      <c r="AJ32" s="65"/>
      <c r="AK32" s="65"/>
      <c r="AL32" s="53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</row>
    <row r="33" spans="1:468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48">
        <v>28</v>
      </c>
      <c r="J33" s="148"/>
      <c r="K33" s="148">
        <v>28</v>
      </c>
      <c r="L33"/>
      <c r="M33" s="58">
        <v>46069</v>
      </c>
      <c r="N33" s="59" t="str">
        <f>IFERROR(VLOOKUP($A$2,Stok!$B$1:$CO$449,92,0),"")</f>
        <v/>
      </c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63"/>
      <c r="AI33" s="64"/>
      <c r="AJ33" s="65"/>
      <c r="AK33" s="65"/>
      <c r="AL33" s="53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</row>
    <row r="34" spans="1:468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48">
        <v>30</v>
      </c>
      <c r="J34" s="148"/>
      <c r="K34" s="148">
        <v>30</v>
      </c>
      <c r="L34"/>
      <c r="M34" s="58">
        <v>46062</v>
      </c>
      <c r="N34" s="59" t="str">
        <f>IFERROR(VLOOKUP($A$2,Stok!$B$1:$CN$449,91,0),"")</f>
        <v/>
      </c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63"/>
      <c r="AI34" s="64"/>
      <c r="AJ34" s="65"/>
      <c r="AK34" s="65"/>
      <c r="AL34" s="53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</row>
    <row r="35" spans="1:468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48">
        <v>10</v>
      </c>
      <c r="J35" s="148"/>
      <c r="K35" s="148">
        <v>10</v>
      </c>
      <c r="L35"/>
      <c r="M35" s="58">
        <v>46055</v>
      </c>
      <c r="N35" s="59" t="str">
        <f>IFERROR(VLOOKUP($A$2,Stok!$B$1:$CM$449,90,0),"")</f>
        <v/>
      </c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63"/>
      <c r="AI35" s="64"/>
      <c r="AJ35" s="65"/>
      <c r="AK35" s="65"/>
      <c r="AL35" s="53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</row>
    <row r="36" spans="1:468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48">
        <v>2</v>
      </c>
      <c r="J36" s="148"/>
      <c r="K36" s="148">
        <v>2</v>
      </c>
      <c r="L36"/>
      <c r="M36" s="58">
        <v>46048</v>
      </c>
      <c r="N36" s="59" t="str">
        <f>IFERROR(VLOOKUP($A$2,Stok!$B$1:$CL$449,89,0),"")</f>
        <v/>
      </c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63"/>
      <c r="AI36" s="64"/>
      <c r="AJ36" s="65"/>
      <c r="AK36" s="65"/>
      <c r="AL36" s="53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</row>
    <row r="37" spans="1:468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48">
        <v>2</v>
      </c>
      <c r="J37" s="148"/>
      <c r="K37" s="148">
        <v>2</v>
      </c>
      <c r="L37"/>
      <c r="M37" s="58">
        <v>46041</v>
      </c>
      <c r="N37" s="59" t="str">
        <f>IFERROR(VLOOKUP($A$2,Stok!$B$1:$CK$449,88,0),"")</f>
        <v/>
      </c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3"/>
      <c r="AI37" s="64"/>
      <c r="AJ37" s="65"/>
      <c r="AK37" s="65"/>
      <c r="AL37" s="53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</row>
    <row r="38" spans="1:468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48">
        <v>13</v>
      </c>
      <c r="J38" s="148"/>
      <c r="K38" s="148">
        <v>13</v>
      </c>
      <c r="L38"/>
      <c r="M38" s="58">
        <v>46034</v>
      </c>
      <c r="N38" s="59" t="str">
        <f>IFERROR(VLOOKUP($A$2,Stok!$B$1:$CJ$449,87,0),"")</f>
        <v/>
      </c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3"/>
      <c r="AI38" s="64"/>
      <c r="AJ38" s="65"/>
      <c r="AK38" s="65"/>
      <c r="AL38" s="53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</row>
    <row r="39" spans="1:468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48">
        <v>2</v>
      </c>
      <c r="J39" s="148"/>
      <c r="K39" s="148">
        <v>2</v>
      </c>
      <c r="L39"/>
      <c r="M39" s="58">
        <v>46027</v>
      </c>
      <c r="N39" s="59" t="str">
        <f>IFERROR(VLOOKUP($A$2,Stok!$B$1:$CI$449,86,0),"")</f>
        <v/>
      </c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3"/>
      <c r="AI39" s="64"/>
      <c r="AJ39" s="65"/>
      <c r="AK39" s="65"/>
      <c r="AL39" s="53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</row>
    <row r="40" spans="1:468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48">
        <v>2</v>
      </c>
      <c r="J40" s="148"/>
      <c r="K40" s="148">
        <v>2</v>
      </c>
      <c r="L40"/>
      <c r="M40" s="58">
        <v>46020</v>
      </c>
      <c r="N40" s="59" t="str">
        <f>IFERROR(VLOOKUP($A$2,Stok!$B$1:$CH$449,85,0),"")</f>
        <v/>
      </c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63"/>
      <c r="AI40" s="64"/>
      <c r="AJ40" s="65"/>
      <c r="AK40" s="65"/>
      <c r="AL40" s="53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</row>
    <row r="41" spans="1:468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48">
        <v>42</v>
      </c>
      <c r="J41" s="148">
        <v>30</v>
      </c>
      <c r="K41" s="148">
        <v>12</v>
      </c>
      <c r="L41"/>
      <c r="M41" s="58">
        <v>46013</v>
      </c>
      <c r="N41" s="59" t="str">
        <f>IFERROR(VLOOKUP($A$2,Stok!$B$1:$CG$449,84,0),"")</f>
        <v/>
      </c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63"/>
      <c r="AI41" s="64"/>
      <c r="AJ41" s="65"/>
      <c r="AK41" s="65"/>
      <c r="AL41" s="53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</row>
    <row r="42" spans="1:468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48">
        <v>1</v>
      </c>
      <c r="J42" s="148"/>
      <c r="K42" s="148">
        <v>1</v>
      </c>
      <c r="L42"/>
      <c r="M42" s="58">
        <v>46006</v>
      </c>
      <c r="N42" s="59" t="str">
        <f>IFERROR(VLOOKUP($A$2,Stok!$B$1:$CF$449,83,0),"")</f>
        <v/>
      </c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63"/>
      <c r="AI42" s="64"/>
      <c r="AJ42" s="65"/>
      <c r="AK42" s="65"/>
      <c r="AL42" s="53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</row>
    <row r="43" spans="1:468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48">
        <v>0</v>
      </c>
      <c r="J43" s="148"/>
      <c r="K43" s="148">
        <v>0</v>
      </c>
      <c r="L43"/>
      <c r="M43" s="58">
        <v>45999</v>
      </c>
      <c r="N43" s="59" t="str">
        <f>IFERROR(VLOOKUP($A$2,Stok!$B$1:$CE$449,82,0),"")</f>
        <v/>
      </c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63"/>
      <c r="AI43" s="64"/>
      <c r="AJ43" s="65"/>
      <c r="AK43" s="65"/>
      <c r="AL43" s="53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</row>
    <row r="44" spans="1:468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48">
        <v>1</v>
      </c>
      <c r="J44" s="148"/>
      <c r="K44" s="148">
        <v>1</v>
      </c>
      <c r="L44"/>
      <c r="M44" s="58">
        <v>45992</v>
      </c>
      <c r="N44" s="59" t="str">
        <f>IFERROR(VLOOKUP($A$2,Stok!$B$1:$CD$449,81,0),"")</f>
        <v/>
      </c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63"/>
      <c r="AI44" s="64"/>
      <c r="AJ44" s="65"/>
      <c r="AK44" s="65"/>
      <c r="AL44" s="53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</row>
    <row r="45" spans="1:468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48">
        <v>8</v>
      </c>
      <c r="J45" s="148">
        <v>8</v>
      </c>
      <c r="K45" s="148">
        <v>0</v>
      </c>
      <c r="L45"/>
      <c r="M45" s="58">
        <v>45985</v>
      </c>
      <c r="N45" s="59" t="str">
        <f>IFERROR(VLOOKUP($A$2,Stok!$B$1:$CC$449,80,0),"")</f>
        <v/>
      </c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63"/>
      <c r="AI45" s="64"/>
      <c r="AJ45" s="65"/>
      <c r="AK45" s="65"/>
      <c r="AL45" s="53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</row>
    <row r="46" spans="1:468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48">
        <v>2</v>
      </c>
      <c r="J46" s="148">
        <v>2</v>
      </c>
      <c r="K46" s="148">
        <v>0</v>
      </c>
      <c r="L46"/>
      <c r="M46" s="58">
        <v>45978</v>
      </c>
      <c r="N46" s="59" t="str">
        <f>IFERROR(VLOOKUP($A$2,Stok!$B$1:$CB$449,79,0),"")</f>
        <v/>
      </c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63"/>
      <c r="AI46" s="64"/>
      <c r="AJ46" s="65"/>
      <c r="AK46" s="65"/>
      <c r="AL46" s="53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</row>
    <row r="47" spans="1:468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48">
        <v>1</v>
      </c>
      <c r="J47" s="148"/>
      <c r="K47" s="148">
        <v>1</v>
      </c>
      <c r="L47"/>
      <c r="M47" s="58">
        <v>45971</v>
      </c>
      <c r="N47" s="59" t="str">
        <f>IFERROR(VLOOKUP($A$2,Stok!$B$1:$CA$449,78,0),"")</f>
        <v/>
      </c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63"/>
      <c r="AI47" s="64"/>
      <c r="AJ47" s="65"/>
      <c r="AK47" s="65"/>
      <c r="AL47" s="53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</row>
    <row r="48" spans="1:468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48">
        <v>0</v>
      </c>
      <c r="J48" s="148"/>
      <c r="K48" s="148">
        <v>0</v>
      </c>
      <c r="L48"/>
      <c r="M48" s="58">
        <v>45964</v>
      </c>
      <c r="N48" s="59" t="str">
        <f>IFERROR(VLOOKUP($A$2,Stok!$B$1:$BZ$449,77,0),"")</f>
        <v/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63"/>
      <c r="AI48" s="64"/>
      <c r="AJ48" s="65"/>
      <c r="AK48" s="65"/>
      <c r="AL48" s="53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</row>
    <row r="49" spans="1:468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48">
        <v>4</v>
      </c>
      <c r="J49" s="148">
        <v>4</v>
      </c>
      <c r="K49" s="148">
        <v>0</v>
      </c>
      <c r="L49"/>
      <c r="M49" s="58">
        <v>45950</v>
      </c>
      <c r="N49" s="59" t="str">
        <f>IFERROR(VLOOKUP($A$2,Stok!$B$1:$BY$449,76,0),"")</f>
        <v/>
      </c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63"/>
      <c r="AI49" s="64"/>
      <c r="AJ49" s="65"/>
      <c r="AK49" s="65"/>
      <c r="AL49" s="53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</row>
    <row r="50" spans="1:468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48">
        <v>18</v>
      </c>
      <c r="J50" s="148">
        <v>16</v>
      </c>
      <c r="K50" s="148">
        <v>2</v>
      </c>
      <c r="L50"/>
      <c r="M50" s="58">
        <v>45943</v>
      </c>
      <c r="N50" s="59" t="str">
        <f>IFERROR(VLOOKUP($A$2,Stok!$B$1:$BX$449,75,0),"")</f>
        <v/>
      </c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63"/>
      <c r="AI50" s="64"/>
      <c r="AJ50" s="65"/>
      <c r="AK50" s="65"/>
      <c r="AL50" s="53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</row>
    <row r="51" spans="1:468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48">
        <v>0</v>
      </c>
      <c r="J51" s="148"/>
      <c r="K51" s="148">
        <v>0</v>
      </c>
      <c r="L51"/>
      <c r="M51" s="58">
        <v>45936</v>
      </c>
      <c r="N51" s="59" t="str">
        <f>IFERROR(VLOOKUP($A$2,Stok!$B$1:$BW$449,74,0),"")</f>
        <v/>
      </c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63"/>
      <c r="AI51" s="64"/>
      <c r="AJ51" s="65"/>
      <c r="AK51" s="65"/>
      <c r="AL51" s="53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</row>
    <row r="52" spans="1:468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48">
        <v>0</v>
      </c>
      <c r="J52" s="148"/>
      <c r="K52" s="148">
        <v>0</v>
      </c>
      <c r="L52"/>
      <c r="M52" s="58">
        <v>45929</v>
      </c>
      <c r="N52" s="59" t="str">
        <f>IFERROR(VLOOKUP($A$2,Stok!$B$1:$BV$449,73,0),"")</f>
        <v/>
      </c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63"/>
      <c r="AI52" s="64"/>
      <c r="AJ52" s="65"/>
      <c r="AK52" s="65"/>
      <c r="AL52" s="53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</row>
    <row r="53" spans="1:468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48">
        <v>7</v>
      </c>
      <c r="J53" s="148"/>
      <c r="K53" s="148">
        <v>7</v>
      </c>
      <c r="L53"/>
      <c r="M53" s="58">
        <v>45919</v>
      </c>
      <c r="N53" s="59" t="str">
        <f>IFERROR(VLOOKUP($A$2,Stok!$B$1:$BU$449,72,0),"")</f>
        <v/>
      </c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63"/>
      <c r="AI53" s="64"/>
      <c r="AJ53" s="65"/>
      <c r="AK53" s="65"/>
      <c r="AL53" s="53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</row>
    <row r="54" spans="1:468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48">
        <v>0</v>
      </c>
      <c r="J54" s="148"/>
      <c r="K54" s="148">
        <v>0</v>
      </c>
      <c r="L54"/>
      <c r="M54" s="58">
        <v>45908</v>
      </c>
      <c r="N54" s="59" t="str">
        <f>IFERROR(VLOOKUP($A$2,Stok!$B$1:$BT$449,71,0),"")</f>
        <v/>
      </c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63"/>
      <c r="AI54" s="64"/>
      <c r="AJ54" s="65"/>
      <c r="AK54" s="65"/>
      <c r="AL54" s="53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</row>
    <row r="55" spans="1:468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48">
        <v>646</v>
      </c>
      <c r="J55" s="148"/>
      <c r="K55" s="148">
        <v>646</v>
      </c>
      <c r="L55"/>
      <c r="M55" s="58">
        <v>45896</v>
      </c>
      <c r="N55" s="59" t="str">
        <f>IFERROR(VLOOKUP($A$2,Stok!$B$1:$BS$449,70,0),"")</f>
        <v/>
      </c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63"/>
      <c r="AI55" s="64"/>
      <c r="AJ55" s="65"/>
      <c r="AK55" s="65"/>
      <c r="AL55" s="53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</row>
    <row r="56" spans="1:468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48">
        <v>8</v>
      </c>
      <c r="J56" s="148"/>
      <c r="K56" s="148">
        <v>8</v>
      </c>
      <c r="L56"/>
      <c r="M56" s="58">
        <v>45866</v>
      </c>
      <c r="N56" s="59" t="str">
        <f>IFERROR(VLOOKUP($A$2,Stok!$B$1:$BR$449,69,0),"")</f>
        <v/>
      </c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63"/>
      <c r="AI56" s="64"/>
      <c r="AJ56" s="65"/>
      <c r="AK56" s="65"/>
      <c r="AL56" s="53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</row>
    <row r="57" spans="1:468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48">
        <v>0</v>
      </c>
      <c r="J57" s="148"/>
      <c r="K57" s="148">
        <v>0</v>
      </c>
      <c r="L57"/>
      <c r="M57" s="58">
        <v>45840</v>
      </c>
      <c r="N57" s="59" t="str">
        <f>IFERROR(VLOOKUP($A$2,Stok!$B$1:$BQ$449,68,0),"")</f>
        <v/>
      </c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63"/>
      <c r="AI57" s="64"/>
      <c r="AJ57" s="65"/>
      <c r="AK57" s="65"/>
      <c r="AL57" s="53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</row>
    <row r="58" spans="1:468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48">
        <v>10</v>
      </c>
      <c r="J58" s="148"/>
      <c r="K58" s="148">
        <v>10</v>
      </c>
      <c r="L58"/>
      <c r="M58" s="58">
        <v>45824</v>
      </c>
      <c r="N58" s="59" t="str">
        <f>IFERROR(VLOOKUP($A$2,Stok!$B$1:$BP$449,67,0),"")</f>
        <v/>
      </c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63"/>
      <c r="AI58" s="64"/>
      <c r="AJ58" s="65"/>
      <c r="AK58" s="65"/>
      <c r="AL58" s="53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</row>
    <row r="59" spans="1:468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48">
        <v>73</v>
      </c>
      <c r="J59" s="148"/>
      <c r="K59" s="148">
        <v>73</v>
      </c>
      <c r="L59"/>
      <c r="M59" s="58">
        <v>45805</v>
      </c>
      <c r="N59" s="59" t="str">
        <f>IFERROR(VLOOKUP($A$2,Stok!$B$1:$BO$449,66,0),"")</f>
        <v/>
      </c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63"/>
      <c r="AI59" s="64"/>
      <c r="AJ59" s="65"/>
      <c r="AK59" s="65"/>
      <c r="AL59" s="53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</row>
    <row r="60" spans="1:468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48">
        <v>0</v>
      </c>
      <c r="J60" s="148"/>
      <c r="K60" s="148">
        <v>0</v>
      </c>
      <c r="L60"/>
      <c r="M60" s="58">
        <v>45797</v>
      </c>
      <c r="N60" s="59" t="str">
        <f>IFERROR(VLOOKUP($A$2,Stok!$B$1:$BN$449,65,0),"")</f>
        <v/>
      </c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63"/>
      <c r="AI60" s="64"/>
      <c r="AJ60" s="65"/>
      <c r="AK60" s="65"/>
      <c r="AL60" s="53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</row>
    <row r="61" spans="1:468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48">
        <v>0</v>
      </c>
      <c r="J61" s="148"/>
      <c r="K61" s="148">
        <v>0</v>
      </c>
      <c r="L61"/>
      <c r="M61" s="58">
        <v>45783</v>
      </c>
      <c r="N61" s="59" t="str">
        <f>IFERROR(VLOOKUP($A$2,Stok!$B$1:$BM$449,64,0),"")</f>
        <v/>
      </c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63"/>
      <c r="AI61" s="64"/>
      <c r="AJ61" s="65"/>
      <c r="AK61" s="65"/>
      <c r="AL61" s="53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</row>
    <row r="62" spans="1:468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48">
        <v>38</v>
      </c>
      <c r="J62" s="148"/>
      <c r="K62" s="148">
        <v>38</v>
      </c>
      <c r="L62"/>
      <c r="M62" s="58">
        <v>45769</v>
      </c>
      <c r="N62" s="59" t="str">
        <f>IFERROR(VLOOKUP($A$2,Stok!$B$1:$BL$449,63,0),"")</f>
        <v/>
      </c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63"/>
      <c r="AI62" s="64"/>
      <c r="AJ62" s="65"/>
      <c r="AK62" s="65"/>
      <c r="AL62" s="53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</row>
    <row r="63" spans="1:468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48">
        <v>0</v>
      </c>
      <c r="J63" s="148"/>
      <c r="K63" s="148">
        <v>0</v>
      </c>
      <c r="L63"/>
      <c r="M63" s="58">
        <v>45762</v>
      </c>
      <c r="N63" s="59" t="str">
        <f>IFERROR(VLOOKUP($A$2,Stok!$B$1:$BK$449,62,0),"")</f>
        <v/>
      </c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63"/>
      <c r="AI63" s="64"/>
      <c r="AJ63" s="65"/>
      <c r="AK63" s="65"/>
      <c r="AL63" s="53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</row>
    <row r="64" spans="1:468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48">
        <v>0</v>
      </c>
      <c r="J64" s="148"/>
      <c r="K64" s="148">
        <v>0</v>
      </c>
      <c r="L64"/>
      <c r="M64" s="58">
        <v>45750</v>
      </c>
      <c r="N64" s="59" t="str">
        <f>IFERROR(VLOOKUP($A$2,Stok!$B$1:$BJ$449,61,0),"")</f>
        <v/>
      </c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63"/>
      <c r="AI64" s="64"/>
      <c r="AJ64" s="65"/>
      <c r="AK64" s="65"/>
      <c r="AL64" s="53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</row>
    <row r="65" spans="1:468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48">
        <v>0</v>
      </c>
      <c r="J65" s="148"/>
      <c r="K65" s="148">
        <v>0</v>
      </c>
      <c r="L65"/>
      <c r="M65" s="58">
        <v>45741</v>
      </c>
      <c r="N65" s="59" t="str">
        <f>IFERROR(VLOOKUP($A$2,Stok!$B$1:$BI$449,60,0),"")</f>
        <v/>
      </c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63"/>
      <c r="AI65" s="64"/>
      <c r="AJ65" s="65"/>
      <c r="AK65" s="65"/>
      <c r="AL65" s="53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</row>
    <row r="66" spans="1:468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48">
        <v>0</v>
      </c>
      <c r="J66" s="148"/>
      <c r="K66" s="148">
        <v>0</v>
      </c>
      <c r="L66"/>
      <c r="M66" s="58">
        <v>45736</v>
      </c>
      <c r="N66" s="59" t="str">
        <f>IFERROR(VLOOKUP($A$2,Stok!$B$1:$BH$449,59,0),"")</f>
        <v/>
      </c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63"/>
      <c r="AI66" s="64"/>
      <c r="AJ66" s="65"/>
      <c r="AK66" s="65"/>
      <c r="AL66" s="53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</row>
    <row r="67" spans="1:468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48">
        <v>0</v>
      </c>
      <c r="J67" s="148"/>
      <c r="K67" s="148">
        <v>0</v>
      </c>
      <c r="L67"/>
      <c r="M67" s="58">
        <v>45726</v>
      </c>
      <c r="N67" s="59" t="str">
        <f>IFERROR(VLOOKUP($A$2,Stok!$B$1:$BG$449,58,0),"")</f>
        <v/>
      </c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63"/>
      <c r="AI67" s="64"/>
      <c r="AJ67" s="65"/>
      <c r="AK67" s="65"/>
      <c r="AL67" s="53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</row>
    <row r="68" spans="1:468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48">
        <v>24</v>
      </c>
      <c r="J68" s="148"/>
      <c r="K68" s="148">
        <v>24</v>
      </c>
      <c r="L68"/>
      <c r="M68" s="58">
        <v>45723</v>
      </c>
      <c r="N68" s="59" t="str">
        <f>IFERROR(VLOOKUP($A$2,Stok!$B$1:$BF$449,57,0),"")</f>
        <v/>
      </c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63"/>
      <c r="AI68" s="64"/>
      <c r="AJ68" s="65"/>
      <c r="AK68" s="65"/>
      <c r="AL68" s="53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</row>
    <row r="69" spans="1:468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48">
        <v>161</v>
      </c>
      <c r="J69" s="148"/>
      <c r="K69" s="148">
        <v>161</v>
      </c>
      <c r="L69"/>
      <c r="M69" s="58">
        <v>45716</v>
      </c>
      <c r="N69" s="59" t="str">
        <f>IFERROR(VLOOKUP($A$2,Stok!$B$1:$BE$449,56,0),"")</f>
        <v/>
      </c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63"/>
      <c r="AI69" s="64"/>
      <c r="AJ69" s="65"/>
      <c r="AK69" s="65"/>
      <c r="AL69" s="53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</row>
    <row r="70" spans="1:468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48">
        <v>0</v>
      </c>
      <c r="J70" s="148"/>
      <c r="K70" s="148">
        <v>0</v>
      </c>
      <c r="L70"/>
      <c r="M70" s="58">
        <v>45712</v>
      </c>
      <c r="N70" s="59" t="str">
        <f>IFERROR(VLOOKUP($A$2,Stok!$B$1:$BD$449,55,0),"")</f>
        <v/>
      </c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63"/>
      <c r="AI70" s="64"/>
      <c r="AJ70" s="65"/>
      <c r="AK70" s="65"/>
      <c r="AL70" s="53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</row>
    <row r="71" spans="1:468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48">
        <v>0</v>
      </c>
      <c r="J71" s="148"/>
      <c r="K71" s="148">
        <v>0</v>
      </c>
      <c r="L71"/>
      <c r="M71" s="58">
        <v>45705</v>
      </c>
      <c r="N71" s="59" t="str">
        <f>IFERROR(VLOOKUP($A$2,Stok!$B$1:$BC$449,54,0),"")</f>
        <v/>
      </c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63"/>
      <c r="AI71" s="64"/>
      <c r="AJ71" s="65"/>
      <c r="AK71" s="65"/>
      <c r="AL71" s="53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</row>
    <row r="72" spans="1:468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48">
        <v>0</v>
      </c>
      <c r="J72" s="148"/>
      <c r="K72" s="148">
        <v>0</v>
      </c>
      <c r="L72"/>
      <c r="M72" s="58">
        <v>45702</v>
      </c>
      <c r="N72" s="59" t="str">
        <f>IFERROR(VLOOKUP($A$2,Stok!$B$1:$BB$449,53,0),"")</f>
        <v/>
      </c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63"/>
      <c r="AI72" s="64"/>
      <c r="AJ72" s="65"/>
      <c r="AK72" s="65"/>
      <c r="AL72" s="53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</row>
    <row r="73" spans="1:468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48">
        <v>0</v>
      </c>
      <c r="J73" s="148"/>
      <c r="K73" s="148">
        <v>0</v>
      </c>
      <c r="L73"/>
      <c r="M73" s="58">
        <v>45698</v>
      </c>
      <c r="N73" s="59" t="str">
        <f>IFERROR(VLOOKUP($A$2,Stok!$B$1:$BA$449,52,0),"")</f>
        <v/>
      </c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63"/>
      <c r="AI73" s="64"/>
      <c r="AJ73" s="65"/>
      <c r="AK73" s="65"/>
      <c r="AL73" s="53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</row>
    <row r="74" spans="1:468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48">
        <v>0</v>
      </c>
      <c r="J74" s="148"/>
      <c r="K74" s="148">
        <v>0</v>
      </c>
      <c r="L74"/>
      <c r="M74" s="58">
        <v>45691</v>
      </c>
      <c r="N74" s="59" t="str">
        <f>IFERROR(VLOOKUP($A$2,Stok!$B$1:$AZ$449,51,0),"")</f>
        <v/>
      </c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63"/>
      <c r="AI74" s="64"/>
      <c r="AJ74" s="65"/>
      <c r="AK74" s="65"/>
      <c r="AL74" s="53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</row>
    <row r="75" spans="1:468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48">
        <v>6</v>
      </c>
      <c r="J75" s="148"/>
      <c r="K75" s="148">
        <v>6</v>
      </c>
      <c r="L75"/>
      <c r="M75" s="58">
        <v>45684</v>
      </c>
      <c r="N75" s="59" t="str">
        <f>IFERROR(VLOOKUP($A$2,Stok!$B$1:$AY$449,50,0),"")</f>
        <v/>
      </c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63"/>
      <c r="AI75" s="64"/>
      <c r="AJ75" s="65"/>
      <c r="AK75" s="65"/>
      <c r="AL75" s="53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</row>
    <row r="76" spans="1:468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48">
        <v>0</v>
      </c>
      <c r="J76" s="148"/>
      <c r="K76" s="148">
        <v>0</v>
      </c>
      <c r="L76"/>
      <c r="M76" s="58">
        <v>45677</v>
      </c>
      <c r="N76" s="59" t="str">
        <f>IFERROR(VLOOKUP($A$2,Stok!$B$1:$AX$449,49,0),"")</f>
        <v/>
      </c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63"/>
      <c r="AI76" s="64"/>
      <c r="AJ76" s="65"/>
      <c r="AK76" s="65"/>
      <c r="AL76" s="53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</row>
    <row r="77" spans="1:468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48">
        <v>128</v>
      </c>
      <c r="J77" s="148"/>
      <c r="K77" s="148">
        <v>128</v>
      </c>
      <c r="L77"/>
      <c r="M77" s="58">
        <v>45672</v>
      </c>
      <c r="N77" s="59" t="str">
        <f>IFERROR(VLOOKUP($A$2,Stok!$B$1:$AW$449,48,0),"")</f>
        <v/>
      </c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63"/>
      <c r="AI77" s="64"/>
      <c r="AJ77" s="65"/>
      <c r="AK77" s="65"/>
      <c r="AL77" s="53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</row>
    <row r="78" spans="1:468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48">
        <v>27</v>
      </c>
      <c r="J78" s="148"/>
      <c r="K78" s="148">
        <v>27</v>
      </c>
      <c r="L78"/>
      <c r="M78" s="58">
        <v>45656</v>
      </c>
      <c r="N78" s="59" t="str">
        <f>IFERROR(VLOOKUP($A$2,Stok!$B$1:$AV$449,47,0),"")</f>
        <v/>
      </c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63"/>
      <c r="AI78" s="64"/>
      <c r="AJ78" s="65"/>
      <c r="AK78" s="65"/>
      <c r="AL78" s="53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</row>
    <row r="79" spans="1:468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48">
        <v>0</v>
      </c>
      <c r="J79" s="148"/>
      <c r="K79" s="148">
        <v>0</v>
      </c>
      <c r="L79"/>
      <c r="M79" s="58">
        <v>45649</v>
      </c>
      <c r="N79" s="59" t="str">
        <f>IFERROR(VLOOKUP($A$2,Stok!$B$1:$AU$449,46,0),"")</f>
        <v/>
      </c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63"/>
      <c r="AI79" s="64"/>
      <c r="AJ79" s="65"/>
      <c r="AK79" s="65"/>
      <c r="AL79" s="53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</row>
    <row r="80" spans="1:468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48">
        <v>0</v>
      </c>
      <c r="J80" s="148"/>
      <c r="K80" s="148">
        <v>0</v>
      </c>
      <c r="L80"/>
      <c r="M80" s="58">
        <v>45642</v>
      </c>
      <c r="N80" s="59" t="str">
        <f>IFERROR(VLOOKUP($A$2,Stok!$B$1:$AT$449,45,0),"")</f>
        <v/>
      </c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63"/>
      <c r="AI80" s="64"/>
      <c r="AJ80" s="65"/>
      <c r="AK80" s="65"/>
      <c r="AL80" s="53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</row>
    <row r="81" spans="1:468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48">
        <v>0</v>
      </c>
      <c r="J81" s="148"/>
      <c r="K81" s="148">
        <v>0</v>
      </c>
      <c r="L81"/>
      <c r="M81" s="58">
        <v>45635</v>
      </c>
      <c r="N81" s="59" t="str">
        <f>IFERROR(VLOOKUP($A$2,Stok!$B$1:$AS$449,44,0),"")</f>
        <v/>
      </c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63"/>
      <c r="AI81" s="64"/>
      <c r="AJ81" s="65"/>
      <c r="AK81" s="65"/>
      <c r="AL81" s="53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</row>
    <row r="82" spans="1:468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48">
        <v>0</v>
      </c>
      <c r="J82" s="148"/>
      <c r="K82" s="148">
        <v>0</v>
      </c>
      <c r="L82"/>
      <c r="M82" s="58">
        <v>45630</v>
      </c>
      <c r="N82" s="59" t="str">
        <f>IFERROR(VLOOKUP($A$2,Stok!$B$1:$AR$449,43,0),"")</f>
        <v/>
      </c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63"/>
      <c r="AI82" s="64"/>
      <c r="AJ82" s="65"/>
      <c r="AK82" s="65"/>
      <c r="AL82" s="53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</row>
    <row r="83" spans="1:468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48">
        <v>0</v>
      </c>
      <c r="J83" s="148"/>
      <c r="K83" s="148">
        <v>0</v>
      </c>
      <c r="L83"/>
      <c r="M83" s="58">
        <v>45614</v>
      </c>
      <c r="N83" s="59" t="str">
        <f>IFERROR(VLOOKUP($A$2,Stok!$B$1:$AQ$449,42,0),"")</f>
        <v/>
      </c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63"/>
      <c r="AI83" s="64"/>
      <c r="AJ83" s="65"/>
      <c r="AK83" s="65"/>
      <c r="AL83" s="53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</row>
    <row r="84" spans="1:468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48">
        <v>1</v>
      </c>
      <c r="J84" s="148"/>
      <c r="K84" s="148">
        <v>1</v>
      </c>
      <c r="L84"/>
      <c r="M84" s="58">
        <v>45608</v>
      </c>
      <c r="N84" s="59" t="str">
        <f>IFERROR(VLOOKUP($A$2,Stok!$B$1:$AP$449,41,0),"")</f>
        <v/>
      </c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63"/>
      <c r="AI84" s="64"/>
      <c r="AJ84" s="65"/>
      <c r="AK84" s="65"/>
      <c r="AL84" s="53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</row>
    <row r="85" spans="1:468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48">
        <v>0</v>
      </c>
      <c r="J85" s="148"/>
      <c r="K85" s="148">
        <v>0</v>
      </c>
      <c r="L85"/>
      <c r="M85" s="58">
        <v>45596</v>
      </c>
      <c r="N85" s="59" t="str">
        <f>IFERROR(VLOOKUP($A$2,Stok!$B$1:$AO$449,40,0),"")</f>
        <v/>
      </c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63"/>
      <c r="AI85" s="64"/>
      <c r="AJ85" s="65"/>
      <c r="AK85" s="65"/>
      <c r="AL85" s="53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</row>
    <row r="86" spans="1:468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48">
        <v>141</v>
      </c>
      <c r="J86" s="148"/>
      <c r="K86" s="148">
        <v>141</v>
      </c>
      <c r="L86"/>
      <c r="M86" s="58">
        <v>45580</v>
      </c>
      <c r="N86" s="59" t="str">
        <f>IFERROR(VLOOKUP($A$2,Stok!$B$1:$AN$449,39,0),"")</f>
        <v/>
      </c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63"/>
      <c r="AI86" s="64"/>
      <c r="AJ86" s="65"/>
      <c r="AK86" s="65"/>
      <c r="AL86" s="53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</row>
    <row r="87" spans="1:468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48">
        <v>29</v>
      </c>
      <c r="J87" s="148"/>
      <c r="K87" s="148">
        <v>29</v>
      </c>
      <c r="L87"/>
      <c r="M87" s="58">
        <v>45570</v>
      </c>
      <c r="N87" s="59" t="str">
        <f>IFERROR(VLOOKUP($A$2,Stok!$B$1:$AM$449,38,0),"")</f>
        <v/>
      </c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63"/>
      <c r="AI87" s="64"/>
      <c r="AJ87" s="65"/>
      <c r="AK87" s="65"/>
      <c r="AL87" s="53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</row>
    <row r="88" spans="1:468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48">
        <v>0</v>
      </c>
      <c r="J88" s="148"/>
      <c r="K88" s="148">
        <v>0</v>
      </c>
      <c r="L88"/>
      <c r="M88" s="58">
        <v>45563</v>
      </c>
      <c r="N88" s="59" t="str">
        <f>IFERROR(VLOOKUP($A$2,Stok!$B$1:$AL$449,37,0),"")</f>
        <v/>
      </c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63"/>
      <c r="AI88" s="64"/>
      <c r="AJ88" s="65"/>
      <c r="AK88" s="65"/>
      <c r="AL88" s="53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</row>
    <row r="89" spans="1:468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48">
        <v>0</v>
      </c>
      <c r="J89" s="148"/>
      <c r="K89" s="148">
        <v>0</v>
      </c>
      <c r="L89"/>
      <c r="M89" s="58">
        <v>45552</v>
      </c>
      <c r="N89" s="59" t="str">
        <f>IFERROR(VLOOKUP($A$2,Stok!$B$1:$AK$449,36,0),"")</f>
        <v/>
      </c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63"/>
      <c r="AI89" s="64"/>
      <c r="AJ89" s="65"/>
      <c r="AK89" s="65"/>
      <c r="AL89" s="53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</row>
    <row r="90" spans="1:468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48">
        <v>0</v>
      </c>
      <c r="J90" s="148"/>
      <c r="K90" s="148">
        <v>0</v>
      </c>
      <c r="L90"/>
      <c r="M90" s="58">
        <v>45539</v>
      </c>
      <c r="N90" s="59" t="str">
        <f>IFERROR(VLOOKUP($A$2,Stok!$B$1:$AJ$449,35,0),"")</f>
        <v/>
      </c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63"/>
      <c r="AI90" s="64"/>
      <c r="AJ90" s="65"/>
      <c r="AK90" s="65"/>
      <c r="AL90" s="53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</row>
    <row r="91" spans="1:468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48">
        <v>0</v>
      </c>
      <c r="J91" s="148"/>
      <c r="K91" s="148">
        <v>0</v>
      </c>
      <c r="L91"/>
      <c r="M91" s="58">
        <v>45524</v>
      </c>
      <c r="N91" s="59" t="str">
        <f>IFERROR(VLOOKUP($A$2,Stok!$B$1:$AI$449,34,0),"")</f>
        <v/>
      </c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63"/>
      <c r="AI91" s="64"/>
      <c r="AJ91" s="65"/>
      <c r="AK91" s="65"/>
      <c r="AL91" s="53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</row>
    <row r="92" spans="1:468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48">
        <v>0</v>
      </c>
      <c r="J92" s="148"/>
      <c r="K92" s="148">
        <v>0</v>
      </c>
      <c r="L92"/>
      <c r="M92" s="58">
        <v>45511</v>
      </c>
      <c r="N92" s="59" t="str">
        <f>IFERROR(VLOOKUP($A$2,Stok!$B$1:$AH$449,33,0),"")</f>
        <v/>
      </c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63"/>
      <c r="AI92" s="64"/>
      <c r="AJ92" s="65"/>
      <c r="AK92" s="65"/>
      <c r="AL92" s="53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</row>
    <row r="93" spans="1:468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48">
        <v>0</v>
      </c>
      <c r="J93" s="148"/>
      <c r="K93" s="148">
        <v>0</v>
      </c>
      <c r="L93"/>
      <c r="M93" s="58">
        <v>45500</v>
      </c>
      <c r="N93" s="59" t="str">
        <f>IFERROR(VLOOKUP($A$2,Stok!$B$1:$AG$449,32,0),"")</f>
        <v/>
      </c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63"/>
      <c r="AI93" s="64"/>
      <c r="AJ93" s="65"/>
      <c r="AK93" s="65"/>
      <c r="AL93" s="53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</row>
    <row r="94" spans="1:468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48">
        <v>8</v>
      </c>
      <c r="J94" s="148"/>
      <c r="K94" s="148">
        <v>8</v>
      </c>
      <c r="L94"/>
      <c r="M94" s="58">
        <v>45490</v>
      </c>
      <c r="N94" s="59" t="str">
        <f>IFERROR(VLOOKUP($A$2,Stok!$B$1:$AF$449,31,0),"")</f>
        <v/>
      </c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63"/>
      <c r="AI94" s="64"/>
      <c r="AJ94" s="65"/>
      <c r="AK94" s="65"/>
      <c r="AL94" s="53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</row>
    <row r="95" spans="1:468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48">
        <v>0</v>
      </c>
      <c r="J95" s="148"/>
      <c r="K95" s="148">
        <v>0</v>
      </c>
      <c r="L95"/>
      <c r="M95" s="58">
        <v>45478</v>
      </c>
      <c r="N95" s="59" t="str">
        <f>IFERROR(VLOOKUP($A$2,Stok!$B$1:$AE$449,30,0),"")</f>
        <v/>
      </c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63"/>
      <c r="AI95" s="64"/>
      <c r="AJ95" s="65"/>
      <c r="AK95" s="65"/>
      <c r="AL95" s="53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</row>
    <row r="96" spans="1:468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48">
        <v>0</v>
      </c>
      <c r="J96" s="148"/>
      <c r="K96" s="148">
        <v>0</v>
      </c>
      <c r="L96"/>
      <c r="M96" s="58">
        <v>45467</v>
      </c>
      <c r="N96" s="59" t="str">
        <f>IFERROR(VLOOKUP($A$2,Stok!$B$1:$AD$449,29,0),"")</f>
        <v/>
      </c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63"/>
      <c r="AI96" s="64"/>
      <c r="AJ96" s="65"/>
      <c r="AK96" s="65"/>
      <c r="AL96" s="53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</row>
    <row r="97" spans="1:468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48">
        <v>0</v>
      </c>
      <c r="J97" s="148"/>
      <c r="K97" s="148">
        <v>0</v>
      </c>
      <c r="L97"/>
      <c r="M97" s="58">
        <v>45455</v>
      </c>
      <c r="N97" s="59" t="str">
        <f>IFERROR(VLOOKUP($A$2,Stok!$B$1:$AC$449,28,0),"")</f>
        <v/>
      </c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63"/>
      <c r="AI97" s="64"/>
      <c r="AJ97" s="65"/>
      <c r="AK97" s="65"/>
      <c r="AL97" s="53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</row>
    <row r="98" spans="1:468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48">
        <v>0</v>
      </c>
      <c r="J98" s="148"/>
      <c r="K98" s="148">
        <v>0</v>
      </c>
      <c r="L98"/>
      <c r="M98" s="58">
        <v>45442</v>
      </c>
      <c r="N98" s="59" t="str">
        <f>IFERROR(VLOOKUP($A$2,Stok!$B$1:$AB$449,27,0),"")</f>
        <v/>
      </c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63"/>
      <c r="AI98" s="64"/>
      <c r="AJ98" s="65"/>
      <c r="AK98" s="65"/>
      <c r="AL98" s="53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</row>
    <row r="99" spans="1:468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48">
        <v>6</v>
      </c>
      <c r="J99" s="148"/>
      <c r="K99" s="148">
        <v>6</v>
      </c>
      <c r="L99"/>
      <c r="M99" s="58">
        <v>45427</v>
      </c>
      <c r="N99" s="59" t="str">
        <f>IFERROR(VLOOKUP($A$2,Stok!$B$1:$AA$449,25,0),"")</f>
        <v/>
      </c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63"/>
      <c r="AI99" s="64"/>
      <c r="AJ99" s="65"/>
      <c r="AK99" s="65"/>
      <c r="AL99" s="53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</row>
    <row r="100" spans="1:468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48">
        <v>2</v>
      </c>
      <c r="J100" s="148"/>
      <c r="K100" s="148">
        <v>2</v>
      </c>
      <c r="L100"/>
      <c r="M100" s="58">
        <v>45427</v>
      </c>
      <c r="N100" s="59" t="str">
        <f>IFERROR(VLOOKUP($A$2,Stok!$B$1:$AA$449,26,0),"")</f>
        <v/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63"/>
      <c r="AI100" s="64"/>
      <c r="AJ100" s="65"/>
      <c r="AK100" s="65"/>
      <c r="AL100" s="53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</row>
    <row r="101" spans="1:468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48">
        <v>209</v>
      </c>
      <c r="J101" s="148"/>
      <c r="K101" s="148">
        <v>209</v>
      </c>
      <c r="L101"/>
      <c r="M101" s="58">
        <v>45411</v>
      </c>
      <c r="N101" s="59" t="str">
        <f>IFERROR(VLOOKUP($A$2,Stok!$B$1:$AA$449,24,0),"")</f>
        <v/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63"/>
      <c r="AI101" s="64"/>
      <c r="AJ101" s="65"/>
      <c r="AK101" s="65"/>
      <c r="AL101" s="53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</row>
    <row r="102" spans="1:468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48">
        <v>0</v>
      </c>
      <c r="J102" s="148"/>
      <c r="K102" s="148">
        <v>0</v>
      </c>
      <c r="L102"/>
      <c r="M102" s="58">
        <v>45397</v>
      </c>
      <c r="N102" s="59" t="str">
        <f>IFERROR(VLOOKUP($A$2,Stok!$B$1:$AA$449,23,0),"")</f>
        <v/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63"/>
      <c r="AI102" s="64"/>
      <c r="AJ102" s="65"/>
      <c r="AK102" s="65"/>
      <c r="AL102" s="53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</row>
    <row r="103" spans="1:468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48">
        <v>0</v>
      </c>
      <c r="J103" s="148"/>
      <c r="K103" s="148">
        <v>0</v>
      </c>
      <c r="L103"/>
      <c r="M103" s="58">
        <v>45376</v>
      </c>
      <c r="N103" s="59" t="str">
        <f>IFERROR(VLOOKUP($A$2,Stok!$B$1:$AA$449,22,0),"")</f>
        <v/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63"/>
      <c r="AI103" s="64"/>
      <c r="AJ103" s="65"/>
      <c r="AK103" s="65"/>
      <c r="AL103" s="53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</row>
    <row r="104" spans="1:468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48">
        <v>0</v>
      </c>
      <c r="J104" s="148"/>
      <c r="K104" s="148">
        <v>0</v>
      </c>
      <c r="L104"/>
      <c r="M104" s="58">
        <v>45364</v>
      </c>
      <c r="N104" s="59" t="str">
        <f>IFERROR(VLOOKUP($A$2,Stok!$B$1:$AA$449,21,0),"")</f>
        <v/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63"/>
      <c r="AI104" s="64"/>
      <c r="AJ104" s="65"/>
      <c r="AK104" s="65"/>
      <c r="AL104" s="53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</row>
    <row r="105" spans="1:468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48">
        <v>0</v>
      </c>
      <c r="J105" s="148"/>
      <c r="K105" s="148">
        <v>0</v>
      </c>
      <c r="L105"/>
      <c r="M105" s="58">
        <v>45352</v>
      </c>
      <c r="N105" s="59" t="str">
        <f>IFERROR(VLOOKUP($A$2,Stok!$B$1:$AA$449,20,0),"")</f>
        <v/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63"/>
      <c r="AI105" s="64"/>
      <c r="AJ105" s="65"/>
      <c r="AK105" s="65"/>
      <c r="AL105" s="53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</row>
    <row r="106" spans="1:468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48">
        <v>0</v>
      </c>
      <c r="J106" s="148"/>
      <c r="K106" s="148">
        <v>0</v>
      </c>
      <c r="L106"/>
      <c r="M106" s="58">
        <v>45334</v>
      </c>
      <c r="N106" s="59" t="str">
        <f>IFERROR(VLOOKUP($A$2,Stok!$B$1:$AA$449,19,0),"")</f>
        <v/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63"/>
      <c r="AI106" s="64"/>
      <c r="AJ106" s="65"/>
      <c r="AK106" s="65"/>
      <c r="AL106" s="53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</row>
    <row r="107" spans="1:468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48">
        <v>0</v>
      </c>
      <c r="J107" s="148"/>
      <c r="K107" s="148">
        <v>0</v>
      </c>
      <c r="L107"/>
      <c r="M107" s="58">
        <v>45320</v>
      </c>
      <c r="N107" s="59" t="str">
        <f>IFERROR(VLOOKUP($A$2,Stok!$B$1:$AA$449,18,0),"")</f>
        <v/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63"/>
      <c r="AI107" s="64"/>
      <c r="AJ107" s="65"/>
      <c r="AK107" s="65"/>
      <c r="AL107" s="53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</row>
    <row r="108" spans="1:468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48">
        <v>26</v>
      </c>
      <c r="J108" s="148"/>
      <c r="K108" s="148">
        <v>26</v>
      </c>
      <c r="L108"/>
      <c r="M108" s="58">
        <v>45313</v>
      </c>
      <c r="N108" s="59" t="str">
        <f>IFERROR(VLOOKUP($A$2,Stok!$B$1:$AA$449,17,0),"")</f>
        <v/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63"/>
      <c r="AI108" s="64"/>
      <c r="AJ108" s="65"/>
      <c r="AK108" s="65"/>
      <c r="AL108" s="53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</row>
    <row r="109" spans="1:468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48">
        <v>5</v>
      </c>
      <c r="J109" s="148"/>
      <c r="K109" s="148">
        <v>5</v>
      </c>
      <c r="L109"/>
      <c r="M109" s="60">
        <v>45293</v>
      </c>
      <c r="N109" s="59" t="str">
        <f>IFERROR(VLOOKUP($A$2,Stok!$B$1:$AA$449,16,0),"")</f>
        <v/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63"/>
      <c r="AI109" s="64"/>
      <c r="AJ109" s="65"/>
      <c r="AK109" s="65"/>
      <c r="AL109" s="53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</row>
    <row r="110" spans="1:468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48">
        <v>18</v>
      </c>
      <c r="J110" s="148"/>
      <c r="K110" s="148">
        <v>18</v>
      </c>
      <c r="L110"/>
      <c r="M110" s="60">
        <v>45285</v>
      </c>
      <c r="N110" s="70" t="str">
        <f>IFERROR(VLOOKUP($A$2,Stok!$B$1:$AA$449,15,0),"")</f>
        <v/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63"/>
      <c r="AI110" s="64"/>
      <c r="AJ110" s="65"/>
      <c r="AK110" s="65"/>
      <c r="AL110" s="53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</row>
    <row r="111" spans="1:468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48">
        <v>116</v>
      </c>
      <c r="J111" s="148"/>
      <c r="K111" s="148">
        <v>116</v>
      </c>
      <c r="L111"/>
      <c r="M111" s="58">
        <v>45275</v>
      </c>
      <c r="N111" s="70" t="str">
        <f>IFERROR(VLOOKUP($A$2,Stok!$B$1:$AA$449,14,0),"")</f>
        <v/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63"/>
      <c r="AI111" s="64"/>
      <c r="AJ111" s="65"/>
      <c r="AK111" s="65"/>
      <c r="AL111" s="53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</row>
    <row r="112" spans="1:468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48">
        <v>28</v>
      </c>
      <c r="J112" s="148"/>
      <c r="K112" s="148">
        <v>28</v>
      </c>
      <c r="L112"/>
      <c r="M112" s="60">
        <v>45173</v>
      </c>
      <c r="N112" s="70" t="str">
        <f>IFERROR(VLOOKUP($A$2,Stok!$B$1:$AA$449,8,0),"")</f>
        <v/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63"/>
      <c r="AI112" s="64"/>
      <c r="AJ112" s="65"/>
      <c r="AK112" s="65"/>
      <c r="AL112" s="53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</row>
    <row r="113" spans="1:468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48">
        <v>16</v>
      </c>
      <c r="J113" s="148"/>
      <c r="K113" s="148">
        <v>16</v>
      </c>
      <c r="L11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63"/>
      <c r="AI113" s="64"/>
      <c r="AJ113" s="65"/>
      <c r="AK113" s="65"/>
      <c r="AL113" s="53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</row>
    <row r="114" spans="1:468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48">
        <v>239</v>
      </c>
      <c r="J114" s="148"/>
      <c r="K114" s="148">
        <v>239</v>
      </c>
      <c r="L114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63"/>
      <c r="AI114" s="64"/>
      <c r="AJ114" s="65"/>
      <c r="AK114" s="65"/>
      <c r="AL114" s="53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</row>
    <row r="115" spans="1:468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48">
        <v>64</v>
      </c>
      <c r="J115" s="148"/>
      <c r="K115" s="148">
        <v>64</v>
      </c>
      <c r="L115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63"/>
      <c r="AI115" s="64"/>
      <c r="AJ115" s="65"/>
      <c r="AK115" s="65"/>
      <c r="AL115" s="53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</row>
    <row r="116" spans="1:468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48">
        <v>97</v>
      </c>
      <c r="J116" s="148"/>
      <c r="K116" s="148">
        <v>97</v>
      </c>
      <c r="L116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63"/>
      <c r="AI116" s="64"/>
      <c r="AJ116" s="65"/>
      <c r="AK116" s="65"/>
      <c r="AL116" s="53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</row>
    <row r="117" spans="1:468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48">
        <v>78</v>
      </c>
      <c r="J117" s="148"/>
      <c r="K117" s="148">
        <v>78</v>
      </c>
      <c r="L117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63"/>
      <c r="AI117" s="64"/>
      <c r="AJ117" s="65"/>
      <c r="AK117" s="65"/>
      <c r="AL117" s="53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</row>
    <row r="118" spans="1:468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48">
        <v>900</v>
      </c>
      <c r="J118" s="148"/>
      <c r="K118" s="148">
        <v>900</v>
      </c>
      <c r="L118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63"/>
      <c r="AI118" s="64"/>
      <c r="AJ118" s="65"/>
      <c r="AK118" s="65"/>
      <c r="AL118" s="53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</row>
    <row r="119" spans="1:468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48">
        <v>500</v>
      </c>
      <c r="J119" s="148"/>
      <c r="K119" s="148">
        <v>500</v>
      </c>
      <c r="L119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63"/>
      <c r="AI119" s="64"/>
      <c r="AJ119" s="65"/>
      <c r="AK119" s="65"/>
      <c r="AL119" s="53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</row>
    <row r="120" spans="1:468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48">
        <v>400</v>
      </c>
      <c r="J120" s="148"/>
      <c r="K120" s="148">
        <v>400</v>
      </c>
      <c r="L120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63"/>
      <c r="AI120" s="64"/>
      <c r="AJ120" s="65"/>
      <c r="AK120" s="65"/>
      <c r="AL120" s="53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</row>
    <row r="121" spans="1:468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48">
        <v>54399</v>
      </c>
      <c r="J121" s="148"/>
      <c r="K121" s="148">
        <v>54399</v>
      </c>
      <c r="L121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63"/>
      <c r="AI121" s="64"/>
      <c r="AJ121" s="65"/>
      <c r="AK121" s="65"/>
      <c r="AL121" s="53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</row>
    <row r="122" spans="1:468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48">
        <v>4</v>
      </c>
      <c r="J122" s="148"/>
      <c r="K122" s="148">
        <v>4</v>
      </c>
      <c r="L122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63"/>
      <c r="AI122" s="64"/>
      <c r="AJ122" s="65"/>
      <c r="AK122" s="65"/>
      <c r="AL122" s="53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</row>
    <row r="123" spans="1:468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48">
        <v>21</v>
      </c>
      <c r="J123" s="148"/>
      <c r="K123" s="148">
        <v>21</v>
      </c>
      <c r="L12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63"/>
      <c r="AI123" s="64"/>
      <c r="AJ123" s="65"/>
      <c r="AK123" s="65"/>
      <c r="AL123" s="53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</row>
    <row r="124" spans="1:468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48">
        <v>4</v>
      </c>
      <c r="J124" s="148"/>
      <c r="K124" s="148">
        <v>4</v>
      </c>
      <c r="L124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63"/>
      <c r="AI124" s="64"/>
      <c r="AJ124" s="65"/>
      <c r="AK124" s="65"/>
      <c r="AL124" s="53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</row>
    <row r="125" spans="1:468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48">
        <v>30</v>
      </c>
      <c r="J125" s="148"/>
      <c r="K125" s="148">
        <v>30</v>
      </c>
      <c r="L125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63"/>
      <c r="AI125" s="64"/>
      <c r="AJ125" s="65"/>
      <c r="AK125" s="65"/>
      <c r="AL125" s="53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</row>
    <row r="126" spans="1:468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48">
        <v>4</v>
      </c>
      <c r="J126" s="148"/>
      <c r="K126" s="148">
        <v>4</v>
      </c>
      <c r="L126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63"/>
      <c r="AI126" s="64"/>
      <c r="AJ126" s="65"/>
      <c r="AK126" s="65"/>
      <c r="AL126" s="53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</row>
    <row r="127" spans="1:468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48">
        <v>8</v>
      </c>
      <c r="J127" s="148"/>
      <c r="K127" s="148">
        <v>8</v>
      </c>
      <c r="L127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63"/>
      <c r="AI127" s="64"/>
      <c r="AJ127" s="65"/>
      <c r="AK127" s="65"/>
      <c r="AL127" s="53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</row>
    <row r="128" spans="1:468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48">
        <v>3</v>
      </c>
      <c r="J128" s="148"/>
      <c r="K128" s="148">
        <v>3</v>
      </c>
      <c r="L128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63"/>
      <c r="AI128" s="64"/>
      <c r="AJ128" s="65"/>
      <c r="AK128" s="65"/>
      <c r="AL128" s="53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</row>
    <row r="129" spans="1:468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48">
        <v>0</v>
      </c>
      <c r="J129" s="148"/>
      <c r="K129" s="148">
        <v>0</v>
      </c>
      <c r="L129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63"/>
      <c r="AI129" s="64"/>
      <c r="AJ129" s="65"/>
      <c r="AK129" s="65"/>
      <c r="AL129" s="53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</row>
    <row r="130" spans="1:468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48">
        <v>0</v>
      </c>
      <c r="J130" s="148"/>
      <c r="K130" s="148">
        <v>0</v>
      </c>
      <c r="L130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63"/>
      <c r="AI130" s="64"/>
      <c r="AJ130" s="65"/>
      <c r="AK130" s="65"/>
      <c r="AL130" s="53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</row>
    <row r="131" spans="1:468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48">
        <v>30</v>
      </c>
      <c r="J131" s="148"/>
      <c r="K131" s="148">
        <v>30</v>
      </c>
      <c r="L131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63"/>
      <c r="AI131" s="64"/>
      <c r="AJ131" s="65"/>
      <c r="AK131" s="65"/>
      <c r="AL131" s="53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</row>
    <row r="132" spans="1:468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48">
        <v>0</v>
      </c>
      <c r="J132" s="148"/>
      <c r="K132" s="148">
        <v>0</v>
      </c>
      <c r="L132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63"/>
      <c r="AI132" s="64"/>
      <c r="AJ132" s="65"/>
      <c r="AK132" s="65"/>
      <c r="AL132" s="53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</row>
    <row r="133" spans="1:468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48">
        <v>1918</v>
      </c>
      <c r="J133" s="148"/>
      <c r="K133" s="148">
        <v>1918</v>
      </c>
      <c r="L13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63"/>
      <c r="AI133" s="64"/>
      <c r="AJ133" s="65"/>
      <c r="AK133" s="65"/>
      <c r="AL133" s="53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</row>
    <row r="134" spans="1:468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48">
        <v>4</v>
      </c>
      <c r="J134" s="148"/>
      <c r="K134" s="148">
        <v>4</v>
      </c>
      <c r="L134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63"/>
      <c r="AI134" s="64"/>
      <c r="AJ134" s="65"/>
      <c r="AK134" s="65"/>
      <c r="AL134" s="53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</row>
    <row r="135" spans="1:468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48">
        <v>14</v>
      </c>
      <c r="J135" s="148"/>
      <c r="K135" s="148">
        <v>14</v>
      </c>
      <c r="L135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63"/>
      <c r="AI135" s="64"/>
      <c r="AJ135" s="65"/>
      <c r="AK135" s="65"/>
      <c r="AL135" s="53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</row>
    <row r="136" spans="1:468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48">
        <v>491</v>
      </c>
      <c r="J136" s="148"/>
      <c r="K136" s="148">
        <v>491</v>
      </c>
      <c r="L136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63"/>
      <c r="AI136" s="64"/>
      <c r="AJ136" s="65"/>
      <c r="AK136" s="65"/>
      <c r="AL136" s="53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</row>
    <row r="137" spans="1:468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48">
        <v>0</v>
      </c>
      <c r="J137" s="148"/>
      <c r="K137" s="148">
        <v>0</v>
      </c>
      <c r="L137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63"/>
      <c r="AI137" s="64"/>
      <c r="AJ137" s="65"/>
      <c r="AK137" s="65"/>
      <c r="AL137" s="53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</row>
    <row r="138" spans="1:468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48">
        <v>139</v>
      </c>
      <c r="J138" s="148"/>
      <c r="K138" s="148">
        <v>139</v>
      </c>
      <c r="L138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63"/>
      <c r="AI138" s="64"/>
      <c r="AJ138" s="65"/>
      <c r="AK138" s="65"/>
      <c r="AL138" s="53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</row>
    <row r="139" spans="1:468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48">
        <v>407</v>
      </c>
      <c r="J139" s="148"/>
      <c r="K139" s="148">
        <v>407</v>
      </c>
      <c r="L139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63"/>
      <c r="AI139" s="64"/>
      <c r="AJ139" s="65"/>
      <c r="AK139" s="65"/>
      <c r="AL139" s="53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</row>
    <row r="140" spans="1:468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48">
        <v>0</v>
      </c>
      <c r="J140" s="148"/>
      <c r="K140" s="148">
        <v>0</v>
      </c>
      <c r="L140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63"/>
      <c r="AI140" s="64"/>
      <c r="AJ140" s="65"/>
      <c r="AK140" s="65"/>
      <c r="AL140" s="53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</row>
    <row r="141" spans="1:468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48">
        <v>0</v>
      </c>
      <c r="J141" s="148"/>
      <c r="K141" s="148">
        <v>0</v>
      </c>
      <c r="L141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63"/>
      <c r="AI141" s="64"/>
      <c r="AJ141" s="65"/>
      <c r="AK141" s="65"/>
      <c r="AL141" s="53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</row>
    <row r="142" spans="1:468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48">
        <v>0</v>
      </c>
      <c r="J142" s="148"/>
      <c r="K142" s="148">
        <v>0</v>
      </c>
      <c r="L142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63"/>
      <c r="AI142" s="64"/>
      <c r="AJ142" s="65"/>
      <c r="AK142" s="65"/>
      <c r="AL142" s="53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</row>
    <row r="143" spans="1:468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48">
        <v>288</v>
      </c>
      <c r="J143" s="148"/>
      <c r="K143" s="148">
        <v>288</v>
      </c>
      <c r="L14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63"/>
      <c r="AI143" s="64"/>
      <c r="AJ143" s="65"/>
      <c r="AK143" s="65"/>
      <c r="AL143" s="53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</row>
    <row r="144" spans="1:468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48">
        <v>1216</v>
      </c>
      <c r="J144" s="148"/>
      <c r="K144" s="148">
        <v>1216</v>
      </c>
      <c r="L144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63"/>
      <c r="AI144" s="64"/>
      <c r="AJ144" s="65"/>
      <c r="AK144" s="65"/>
      <c r="AL144" s="53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</row>
    <row r="145" spans="1:468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48">
        <v>54</v>
      </c>
      <c r="J145" s="148"/>
      <c r="K145" s="148">
        <v>54</v>
      </c>
      <c r="L145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63"/>
      <c r="AI145" s="64"/>
      <c r="AJ145" s="65"/>
      <c r="AK145" s="65"/>
      <c r="AL145" s="53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</row>
    <row r="146" spans="1:468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48">
        <v>204</v>
      </c>
      <c r="J146" s="148"/>
      <c r="K146" s="148">
        <v>204</v>
      </c>
      <c r="L146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63"/>
      <c r="AI146" s="64"/>
      <c r="AJ146" s="65"/>
      <c r="AK146" s="65"/>
      <c r="AL146" s="53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</row>
    <row r="147" spans="1:468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48">
        <v>757</v>
      </c>
      <c r="J147" s="148"/>
      <c r="K147" s="148">
        <v>757</v>
      </c>
      <c r="L147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63"/>
      <c r="AI147" s="64"/>
      <c r="AJ147" s="65"/>
      <c r="AK147" s="65"/>
      <c r="AL147" s="53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</row>
    <row r="148" spans="1:468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48">
        <v>0</v>
      </c>
      <c r="J148" s="148"/>
      <c r="K148" s="148">
        <v>0</v>
      </c>
      <c r="L148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63"/>
      <c r="AI148" s="64"/>
      <c r="AJ148" s="65"/>
      <c r="AK148" s="65"/>
      <c r="AL148" s="53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</row>
    <row r="149" spans="1:468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48">
        <v>1163</v>
      </c>
      <c r="J149" s="148"/>
      <c r="K149" s="148">
        <v>1163</v>
      </c>
      <c r="L149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63"/>
      <c r="AI149" s="64"/>
      <c r="AJ149" s="65"/>
      <c r="AK149" s="65"/>
      <c r="AL149" s="53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</row>
    <row r="150" spans="1:468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48">
        <v>548</v>
      </c>
      <c r="J150" s="148"/>
      <c r="K150" s="148">
        <v>548</v>
      </c>
      <c r="L150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63"/>
      <c r="AI150" s="64"/>
      <c r="AJ150" s="65"/>
      <c r="AK150" s="65"/>
      <c r="AL150" s="53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</row>
    <row r="151" spans="1:468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48">
        <v>1140</v>
      </c>
      <c r="J151" s="148"/>
      <c r="K151" s="148">
        <v>1140</v>
      </c>
      <c r="L151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63"/>
      <c r="AI151" s="64"/>
      <c r="AJ151" s="65"/>
      <c r="AK151" s="65"/>
      <c r="AL151" s="53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</row>
    <row r="152" spans="1:468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48">
        <v>0</v>
      </c>
      <c r="J152" s="148"/>
      <c r="K152" s="148">
        <v>0</v>
      </c>
      <c r="L152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63"/>
      <c r="AI152" s="64"/>
      <c r="AJ152" s="65"/>
      <c r="AK152" s="65"/>
      <c r="AL152" s="53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</row>
    <row r="153" spans="1:468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48">
        <v>914</v>
      </c>
      <c r="J153" s="148"/>
      <c r="K153" s="148">
        <v>914</v>
      </c>
      <c r="L1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63"/>
      <c r="AI153" s="64"/>
      <c r="AJ153" s="65"/>
      <c r="AK153" s="65"/>
      <c r="AL153" s="53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</row>
    <row r="154" spans="1:468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48">
        <v>662</v>
      </c>
      <c r="J154" s="148"/>
      <c r="K154" s="148">
        <v>662</v>
      </c>
      <c r="L154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63"/>
      <c r="AI154" s="64"/>
      <c r="AJ154" s="65"/>
      <c r="AK154" s="65"/>
      <c r="AL154" s="53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</row>
    <row r="155" spans="1:468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48">
        <v>402</v>
      </c>
      <c r="J155" s="148"/>
      <c r="K155" s="148">
        <v>402</v>
      </c>
      <c r="L155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63"/>
      <c r="AI155" s="64"/>
      <c r="AJ155" s="65"/>
      <c r="AK155" s="65"/>
      <c r="AL155" s="53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</row>
    <row r="156" spans="1:468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48">
        <v>786</v>
      </c>
      <c r="J156" s="148"/>
      <c r="K156" s="148">
        <v>786</v>
      </c>
      <c r="L156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63"/>
      <c r="AI156" s="64"/>
      <c r="AJ156" s="65"/>
      <c r="AK156" s="65"/>
      <c r="AL156" s="53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</row>
    <row r="157" spans="1:468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48">
        <v>0</v>
      </c>
      <c r="J157" s="148"/>
      <c r="K157" s="148">
        <v>0</v>
      </c>
      <c r="L157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63"/>
      <c r="AI157" s="64"/>
      <c r="AJ157" s="65"/>
      <c r="AK157" s="65"/>
      <c r="AL157" s="53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</row>
    <row r="158" spans="1:468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48">
        <v>3</v>
      </c>
      <c r="J158" s="148"/>
      <c r="K158" s="148">
        <v>3</v>
      </c>
      <c r="L158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63"/>
      <c r="AI158" s="64"/>
      <c r="AJ158" s="65"/>
      <c r="AK158" s="65"/>
      <c r="AL158" s="53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</row>
    <row r="159" spans="1:468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48">
        <v>0</v>
      </c>
      <c r="J159" s="148"/>
      <c r="K159" s="148">
        <v>0</v>
      </c>
      <c r="L159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63"/>
      <c r="AI159" s="64"/>
      <c r="AJ159" s="65"/>
      <c r="AK159" s="65"/>
      <c r="AL159" s="53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</row>
    <row r="160" spans="1:468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48">
        <v>0</v>
      </c>
      <c r="J160" s="148"/>
      <c r="K160" s="148">
        <v>0</v>
      </c>
      <c r="L160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63"/>
      <c r="AI160" s="64"/>
      <c r="AJ160" s="65"/>
      <c r="AK160" s="65"/>
      <c r="AL160" s="53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</row>
    <row r="161" spans="1:468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48">
        <v>0</v>
      </c>
      <c r="J161" s="148"/>
      <c r="K161" s="148">
        <v>0</v>
      </c>
      <c r="L161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63"/>
      <c r="AI161" s="64"/>
      <c r="AJ161" s="65"/>
      <c r="AK161" s="65"/>
      <c r="AL161" s="53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</row>
    <row r="162" spans="1:468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48">
        <v>0</v>
      </c>
      <c r="J162" s="148"/>
      <c r="K162" s="148">
        <v>0</v>
      </c>
      <c r="L162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63"/>
      <c r="AI162" s="64"/>
      <c r="AJ162" s="65"/>
      <c r="AK162" s="65"/>
      <c r="AL162" s="53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</row>
    <row r="163" spans="1:468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48">
        <v>0</v>
      </c>
      <c r="J163" s="148"/>
      <c r="K163" s="148">
        <v>0</v>
      </c>
      <c r="L16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63"/>
      <c r="AI163" s="64"/>
      <c r="AJ163" s="65"/>
      <c r="AK163" s="65"/>
      <c r="AL163" s="53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</row>
    <row r="164" spans="1:468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48">
        <v>0</v>
      </c>
      <c r="J164" s="148"/>
      <c r="K164" s="148">
        <v>0</v>
      </c>
      <c r="L164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63"/>
      <c r="AI164" s="64"/>
      <c r="AJ164" s="65"/>
      <c r="AK164" s="65"/>
      <c r="AL164" s="53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</row>
    <row r="165" spans="1:468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48">
        <v>0</v>
      </c>
      <c r="J165" s="148"/>
      <c r="K165" s="148">
        <v>0</v>
      </c>
      <c r="L165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63"/>
      <c r="AI165" s="64"/>
      <c r="AJ165" s="65"/>
      <c r="AK165" s="65"/>
      <c r="AL165" s="53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</row>
    <row r="166" spans="1:468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48">
        <v>0</v>
      </c>
      <c r="J166" s="148"/>
      <c r="K166" s="148">
        <v>0</v>
      </c>
      <c r="L166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63"/>
      <c r="AI166" s="64"/>
      <c r="AJ166" s="65"/>
      <c r="AK166" s="65"/>
      <c r="AL166" s="53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</row>
    <row r="167" spans="1:468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48">
        <v>0</v>
      </c>
      <c r="J167" s="148"/>
      <c r="K167" s="148">
        <v>0</v>
      </c>
      <c r="L167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63"/>
      <c r="AI167" s="64"/>
      <c r="AJ167" s="65"/>
      <c r="AK167" s="65"/>
      <c r="AL167" s="53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</row>
    <row r="168" spans="1:468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48">
        <v>0</v>
      </c>
      <c r="J168" s="148"/>
      <c r="K168" s="148">
        <v>0</v>
      </c>
      <c r="L168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63"/>
      <c r="AI168" s="64"/>
      <c r="AJ168" s="65"/>
      <c r="AK168" s="65"/>
      <c r="AL168" s="53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</row>
    <row r="169" spans="1:468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48">
        <v>0</v>
      </c>
      <c r="J169" s="148"/>
      <c r="K169" s="148">
        <v>0</v>
      </c>
      <c r="L169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63"/>
      <c r="AI169" s="64"/>
      <c r="AJ169" s="65"/>
      <c r="AK169" s="65"/>
      <c r="AL169" s="53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</row>
    <row r="170" spans="1:468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48">
        <v>0</v>
      </c>
      <c r="J170" s="148"/>
      <c r="K170" s="148">
        <v>0</v>
      </c>
      <c r="L170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63"/>
      <c r="AI170" s="64"/>
      <c r="AJ170" s="65"/>
      <c r="AK170" s="65"/>
      <c r="AL170" s="53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</row>
    <row r="171" spans="1:468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48">
        <v>0</v>
      </c>
      <c r="J171" s="148"/>
      <c r="K171" s="148">
        <v>0</v>
      </c>
      <c r="L171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63"/>
      <c r="AI171" s="64"/>
      <c r="AJ171" s="65"/>
      <c r="AK171" s="65"/>
      <c r="AL171" s="53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</row>
    <row r="172" spans="1:468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48">
        <v>0</v>
      </c>
      <c r="J172" s="148"/>
      <c r="K172" s="148">
        <v>0</v>
      </c>
      <c r="L172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63"/>
      <c r="AI172" s="64"/>
      <c r="AJ172" s="65"/>
      <c r="AK172" s="65"/>
      <c r="AL172" s="53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</row>
    <row r="173" spans="1:468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48">
        <v>0</v>
      </c>
      <c r="J173" s="148"/>
      <c r="K173" s="148">
        <v>0</v>
      </c>
      <c r="L17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63"/>
      <c r="AI173" s="64"/>
      <c r="AJ173" s="65"/>
      <c r="AK173" s="65"/>
      <c r="AL173" s="53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</row>
    <row r="174" spans="1:468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48">
        <v>30</v>
      </c>
      <c r="J174" s="148"/>
      <c r="K174" s="148">
        <v>30</v>
      </c>
      <c r="L174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63"/>
      <c r="AI174" s="64"/>
      <c r="AJ174" s="65"/>
      <c r="AK174" s="65"/>
      <c r="AL174" s="53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</row>
    <row r="175" spans="1:468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48">
        <v>18</v>
      </c>
      <c r="J175" s="148"/>
      <c r="K175" s="148">
        <v>18</v>
      </c>
      <c r="L175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63"/>
      <c r="AI175" s="64"/>
      <c r="AJ175" s="65"/>
      <c r="AK175" s="65"/>
      <c r="AL175" s="53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</row>
    <row r="176" spans="1:468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48">
        <v>30</v>
      </c>
      <c r="J176" s="148"/>
      <c r="K176" s="148">
        <v>30</v>
      </c>
      <c r="L176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63"/>
      <c r="AI176" s="64"/>
      <c r="AJ176" s="65"/>
      <c r="AK176" s="65"/>
      <c r="AL176" s="53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</row>
    <row r="177" spans="1:468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48">
        <v>54</v>
      </c>
      <c r="J177" s="148"/>
      <c r="K177" s="148">
        <v>54</v>
      </c>
      <c r="L177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63"/>
      <c r="AI177" s="64"/>
      <c r="AJ177" s="65"/>
      <c r="AK177" s="65"/>
      <c r="AL177" s="53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</row>
    <row r="178" spans="1:468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48">
        <v>30</v>
      </c>
      <c r="J178" s="148"/>
      <c r="K178" s="148">
        <v>30</v>
      </c>
      <c r="L178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63"/>
      <c r="AI178" s="64"/>
      <c r="AJ178" s="65"/>
      <c r="AK178" s="65"/>
      <c r="AL178" s="53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</row>
    <row r="179" spans="1:468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48">
        <v>48</v>
      </c>
      <c r="J179" s="148"/>
      <c r="K179" s="148">
        <v>48</v>
      </c>
      <c r="L179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63"/>
      <c r="AI179" s="64"/>
      <c r="AJ179" s="65"/>
      <c r="AK179" s="65"/>
      <c r="AL179" s="53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</row>
    <row r="180" spans="1:468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48">
        <v>50</v>
      </c>
      <c r="J180" s="148"/>
      <c r="K180" s="148">
        <v>50</v>
      </c>
      <c r="L180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63"/>
      <c r="AI180" s="64"/>
      <c r="AJ180" s="65"/>
      <c r="AK180" s="65"/>
      <c r="AL180" s="53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</row>
    <row r="181" spans="1:468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48">
        <v>22</v>
      </c>
      <c r="J181" s="148"/>
      <c r="K181" s="148">
        <v>22</v>
      </c>
      <c r="L181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63"/>
      <c r="AI181" s="64"/>
      <c r="AJ181" s="65"/>
      <c r="AK181" s="65"/>
      <c r="AL181" s="53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</row>
    <row r="182" spans="1:468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48">
        <v>10</v>
      </c>
      <c r="J182" s="148"/>
      <c r="K182" s="148">
        <v>10</v>
      </c>
      <c r="L182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63"/>
      <c r="AI182" s="64"/>
      <c r="AJ182" s="65"/>
      <c r="AK182" s="65"/>
      <c r="AL182" s="53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</row>
    <row r="183" spans="1:468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48">
        <v>29</v>
      </c>
      <c r="J183" s="148"/>
      <c r="K183" s="148">
        <v>29</v>
      </c>
      <c r="L18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63"/>
      <c r="AI183" s="64"/>
      <c r="AJ183" s="65"/>
      <c r="AK183" s="65"/>
      <c r="AL183" s="53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</row>
    <row r="184" spans="1:468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48">
        <v>30</v>
      </c>
      <c r="J184" s="148"/>
      <c r="K184" s="148">
        <v>30</v>
      </c>
      <c r="L184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63"/>
      <c r="AI184" s="64"/>
      <c r="AJ184" s="65"/>
      <c r="AK184" s="65"/>
      <c r="AL184" s="53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</row>
    <row r="185" spans="1:468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48">
        <v>20</v>
      </c>
      <c r="J185" s="148"/>
      <c r="K185" s="148">
        <v>20</v>
      </c>
      <c r="L185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63"/>
      <c r="AI185" s="64"/>
      <c r="AJ185" s="65"/>
      <c r="AK185" s="65"/>
      <c r="AL185" s="53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</row>
    <row r="186" spans="1:468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48">
        <v>10</v>
      </c>
      <c r="J186" s="148"/>
      <c r="K186" s="148">
        <v>10</v>
      </c>
      <c r="L186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63"/>
      <c r="AI186" s="64"/>
      <c r="AJ186" s="65"/>
      <c r="AK186" s="65"/>
      <c r="AL186" s="53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</row>
    <row r="187" spans="1:468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48">
        <v>16</v>
      </c>
      <c r="J187" s="148"/>
      <c r="K187" s="148">
        <v>16</v>
      </c>
      <c r="L187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63"/>
      <c r="AI187" s="64"/>
      <c r="AJ187" s="65"/>
      <c r="AK187" s="65"/>
      <c r="AL187" s="53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</row>
    <row r="188" spans="1:468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48">
        <v>20</v>
      </c>
      <c r="J188" s="148"/>
      <c r="K188" s="148">
        <v>20</v>
      </c>
      <c r="L188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63"/>
      <c r="AI188" s="64"/>
      <c r="AJ188" s="65"/>
      <c r="AK188" s="65"/>
      <c r="AL188" s="53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</row>
    <row r="189" spans="1:468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48">
        <v>65</v>
      </c>
      <c r="J189" s="148"/>
      <c r="K189" s="148">
        <v>65</v>
      </c>
      <c r="L189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63"/>
      <c r="AI189" s="64"/>
      <c r="AJ189" s="65"/>
      <c r="AK189" s="65"/>
      <c r="AL189" s="53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</row>
    <row r="190" spans="1:468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48">
        <v>80</v>
      </c>
      <c r="J190" s="148"/>
      <c r="K190" s="148">
        <v>80</v>
      </c>
      <c r="L190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63"/>
      <c r="AI190" s="64"/>
      <c r="AJ190" s="65"/>
      <c r="AK190" s="65"/>
      <c r="AL190" s="53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</row>
    <row r="191" spans="1:468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48">
        <v>1000</v>
      </c>
      <c r="J191" s="148"/>
      <c r="K191" s="148">
        <v>1000</v>
      </c>
      <c r="L191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63"/>
      <c r="AI191" s="64"/>
      <c r="AJ191" s="65"/>
      <c r="AK191" s="65"/>
      <c r="AL191" s="53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</row>
    <row r="192" spans="1:468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48">
        <v>0</v>
      </c>
      <c r="J192" s="148"/>
      <c r="K192" s="148">
        <v>0</v>
      </c>
      <c r="L192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63"/>
      <c r="AI192" s="64"/>
      <c r="AJ192" s="65"/>
      <c r="AK192" s="65"/>
      <c r="AL192" s="53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</row>
    <row r="193" spans="1:468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48">
        <v>12</v>
      </c>
      <c r="J193" s="148"/>
      <c r="K193" s="148">
        <v>12</v>
      </c>
      <c r="L19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63"/>
      <c r="AI193" s="64"/>
      <c r="AJ193" s="65"/>
      <c r="AK193" s="65"/>
      <c r="AL193" s="53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</row>
    <row r="194" spans="1:468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48">
        <v>427</v>
      </c>
      <c r="J194" s="148"/>
      <c r="K194" s="148">
        <v>427</v>
      </c>
      <c r="L194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63"/>
      <c r="AI194" s="64"/>
      <c r="AJ194" s="65"/>
      <c r="AK194" s="65"/>
      <c r="AL194" s="53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</row>
    <row r="195" spans="1:468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48">
        <v>0</v>
      </c>
      <c r="J195" s="148"/>
      <c r="K195" s="148">
        <v>0</v>
      </c>
      <c r="L195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63"/>
      <c r="AI195" s="64"/>
      <c r="AJ195" s="65"/>
      <c r="AK195" s="65"/>
      <c r="AL195" s="53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</row>
    <row r="196" spans="1:468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48">
        <v>3112</v>
      </c>
      <c r="J196" s="148"/>
      <c r="K196" s="148">
        <v>3112</v>
      </c>
      <c r="L196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63"/>
      <c r="AI196" s="64"/>
      <c r="AJ196" s="65"/>
      <c r="AK196" s="65"/>
      <c r="AL196" s="53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</row>
    <row r="197" spans="1:468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48">
        <v>3538</v>
      </c>
      <c r="J197" s="148"/>
      <c r="K197" s="148">
        <v>3538</v>
      </c>
      <c r="L197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63"/>
      <c r="AI197" s="64"/>
      <c r="AJ197" s="65"/>
      <c r="AK197" s="65"/>
      <c r="AL197" s="53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</row>
    <row r="198" spans="1:468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48">
        <v>0</v>
      </c>
      <c r="J198" s="148"/>
      <c r="K198" s="148">
        <v>0</v>
      </c>
      <c r="L198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63"/>
      <c r="AI198" s="64"/>
      <c r="AJ198" s="65"/>
      <c r="AK198" s="65"/>
      <c r="AL198" s="53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</row>
    <row r="199" spans="1:468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48">
        <v>0</v>
      </c>
      <c r="J199" s="148"/>
      <c r="K199" s="148">
        <v>0</v>
      </c>
      <c r="L199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63"/>
      <c r="AI199" s="64"/>
      <c r="AJ199" s="65"/>
      <c r="AK199" s="65"/>
      <c r="AL199" s="53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</row>
    <row r="200" spans="1:468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48">
        <v>10</v>
      </c>
      <c r="J200" s="148"/>
      <c r="K200" s="148">
        <v>10</v>
      </c>
      <c r="L200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63"/>
      <c r="AI200" s="64"/>
      <c r="AJ200" s="65"/>
      <c r="AK200" s="65"/>
      <c r="AL200" s="53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</row>
    <row r="201" spans="1:468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48">
        <v>7</v>
      </c>
      <c r="J201" s="148"/>
      <c r="K201" s="148">
        <v>7</v>
      </c>
      <c r="L201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63"/>
      <c r="AI201" s="64"/>
      <c r="AJ201" s="65"/>
      <c r="AK201" s="65"/>
      <c r="AL201" s="53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</row>
    <row r="202" spans="1:468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48">
        <v>1</v>
      </c>
      <c r="J202" s="148"/>
      <c r="K202" s="148">
        <v>1</v>
      </c>
      <c r="L202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63"/>
      <c r="AI202" s="64"/>
      <c r="AJ202" s="65"/>
      <c r="AK202" s="65"/>
      <c r="AL202" s="53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</row>
    <row r="203" spans="1:468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48">
        <v>12</v>
      </c>
      <c r="J203" s="148"/>
      <c r="K203" s="148">
        <v>12</v>
      </c>
      <c r="L20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63"/>
      <c r="AI203" s="64"/>
      <c r="AJ203" s="65"/>
      <c r="AK203" s="65"/>
      <c r="AL203" s="53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</row>
    <row r="204" spans="1:468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48">
        <v>0</v>
      </c>
      <c r="J204" s="148"/>
      <c r="K204" s="148">
        <v>0</v>
      </c>
      <c r="L204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63"/>
      <c r="AI204" s="64"/>
      <c r="AJ204" s="65"/>
      <c r="AK204" s="65"/>
      <c r="AL204" s="53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</row>
    <row r="205" spans="1:468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48">
        <v>8</v>
      </c>
      <c r="J205" s="148"/>
      <c r="K205" s="148">
        <v>8</v>
      </c>
      <c r="L205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63"/>
      <c r="AI205" s="64"/>
      <c r="AJ205" s="65"/>
      <c r="AK205" s="65"/>
      <c r="AL205" s="53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</row>
    <row r="206" spans="1:468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48">
        <v>0</v>
      </c>
      <c r="J206" s="148"/>
      <c r="K206" s="148">
        <v>0</v>
      </c>
      <c r="L206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63"/>
      <c r="AI206" s="64"/>
      <c r="AJ206" s="65"/>
      <c r="AK206" s="65"/>
      <c r="AL206" s="53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</row>
    <row r="207" spans="1:468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48">
        <v>0</v>
      </c>
      <c r="J207" s="148"/>
      <c r="K207" s="148">
        <v>0</v>
      </c>
      <c r="L207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63"/>
      <c r="AI207" s="64"/>
      <c r="AJ207" s="65"/>
      <c r="AK207" s="65"/>
      <c r="AL207" s="53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</row>
    <row r="208" spans="1:468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48">
        <v>0</v>
      </c>
      <c r="J208" s="148"/>
      <c r="K208" s="148">
        <v>0</v>
      </c>
      <c r="L208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63"/>
      <c r="AI208" s="64"/>
      <c r="AJ208" s="65"/>
      <c r="AK208" s="65"/>
      <c r="AL208" s="53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</row>
    <row r="209" spans="1:468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48">
        <v>11439</v>
      </c>
      <c r="J209" s="148"/>
      <c r="K209" s="148">
        <v>11439</v>
      </c>
      <c r="L209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63"/>
      <c r="AI209" s="64"/>
      <c r="AJ209" s="65"/>
      <c r="AK209" s="65"/>
      <c r="AL209" s="53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</row>
    <row r="210" spans="1:468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48">
        <v>6486</v>
      </c>
      <c r="J210" s="148"/>
      <c r="K210" s="148">
        <v>6486</v>
      </c>
      <c r="L210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63"/>
      <c r="AI210" s="64"/>
      <c r="AJ210" s="65"/>
      <c r="AK210" s="65"/>
      <c r="AL210" s="53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</row>
    <row r="211" spans="1:468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48">
        <v>3</v>
      </c>
      <c r="J211" s="148"/>
      <c r="K211" s="148">
        <v>3</v>
      </c>
      <c r="L211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63"/>
      <c r="AI211" s="64"/>
      <c r="AJ211" s="65"/>
      <c r="AK211" s="65"/>
      <c r="AL211" s="53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</row>
    <row r="212" spans="1:468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48">
        <v>23</v>
      </c>
      <c r="J212" s="148"/>
      <c r="K212" s="148">
        <v>23</v>
      </c>
      <c r="L212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63"/>
      <c r="AI212" s="64"/>
      <c r="AJ212" s="65"/>
      <c r="AK212" s="65"/>
      <c r="AL212" s="53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</row>
    <row r="213" spans="1:468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48">
        <v>40</v>
      </c>
      <c r="J213" s="148"/>
      <c r="K213" s="148">
        <v>40</v>
      </c>
      <c r="L21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63"/>
      <c r="AI213" s="64"/>
      <c r="AJ213" s="65"/>
      <c r="AK213" s="65"/>
      <c r="AL213" s="53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</row>
    <row r="214" spans="1:468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48">
        <v>42</v>
      </c>
      <c r="J214" s="148"/>
      <c r="K214" s="148">
        <v>42</v>
      </c>
      <c r="L214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63"/>
      <c r="AI214" s="64"/>
      <c r="AJ214" s="65"/>
      <c r="AK214" s="65"/>
      <c r="AL214" s="53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</row>
    <row r="215" spans="1:468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48">
        <v>763</v>
      </c>
      <c r="J215" s="148"/>
      <c r="K215" s="148">
        <v>763</v>
      </c>
      <c r="L215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63"/>
      <c r="AI215" s="64"/>
      <c r="AJ215" s="65"/>
      <c r="AK215" s="65"/>
      <c r="AL215" s="53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</row>
    <row r="216" spans="1:468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48">
        <v>476</v>
      </c>
      <c r="J216" s="148"/>
      <c r="K216" s="148">
        <v>476</v>
      </c>
      <c r="L216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63"/>
      <c r="AI216" s="64"/>
      <c r="AJ216" s="65"/>
      <c r="AK216" s="65"/>
      <c r="AL216" s="53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</row>
    <row r="217" spans="1:468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48">
        <v>492</v>
      </c>
      <c r="J217" s="148"/>
      <c r="K217" s="148">
        <v>492</v>
      </c>
      <c r="L217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63"/>
      <c r="AI217" s="64"/>
      <c r="AJ217" s="65"/>
      <c r="AK217" s="65"/>
      <c r="AL217" s="53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</row>
    <row r="218" spans="1:468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48">
        <v>100</v>
      </c>
      <c r="J218" s="148"/>
      <c r="K218" s="148">
        <v>100</v>
      </c>
      <c r="L218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63"/>
      <c r="AI218" s="64"/>
      <c r="AJ218" s="65"/>
      <c r="AK218" s="65"/>
      <c r="AL218" s="53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</row>
    <row r="219" spans="1:468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48">
        <v>1275</v>
      </c>
      <c r="J219" s="148"/>
      <c r="K219" s="148">
        <v>1275</v>
      </c>
      <c r="L219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63"/>
      <c r="AI219" s="64"/>
      <c r="AJ219" s="65"/>
      <c r="AK219" s="65"/>
      <c r="AL219" s="53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</row>
    <row r="220" spans="1:468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48">
        <v>488</v>
      </c>
      <c r="J220" s="148"/>
      <c r="K220" s="148">
        <v>488</v>
      </c>
      <c r="L220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63"/>
      <c r="AI220" s="64"/>
      <c r="AJ220" s="65"/>
      <c r="AK220" s="65"/>
      <c r="AL220" s="53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</row>
    <row r="221" spans="1:468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48">
        <v>302</v>
      </c>
      <c r="J221" s="148"/>
      <c r="K221" s="148">
        <v>302</v>
      </c>
      <c r="L221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63"/>
      <c r="AI221" s="64"/>
      <c r="AJ221" s="65"/>
      <c r="AK221" s="65"/>
      <c r="AL221" s="53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</row>
    <row r="222" spans="1:468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48">
        <v>102</v>
      </c>
      <c r="J222" s="148"/>
      <c r="K222" s="148">
        <v>102</v>
      </c>
      <c r="L222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63"/>
      <c r="AI222" s="64"/>
      <c r="AJ222" s="65"/>
      <c r="AK222" s="65"/>
      <c r="AL222" s="53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</row>
    <row r="223" spans="1:468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48">
        <v>76</v>
      </c>
      <c r="J223" s="148"/>
      <c r="K223" s="148">
        <v>76</v>
      </c>
      <c r="L22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63"/>
      <c r="AI223" s="64"/>
      <c r="AJ223" s="65"/>
      <c r="AK223" s="65"/>
      <c r="AL223" s="53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</row>
    <row r="224" spans="1:468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48">
        <v>884</v>
      </c>
      <c r="J224" s="148"/>
      <c r="K224" s="148">
        <v>884</v>
      </c>
      <c r="L224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63"/>
      <c r="AI224" s="64"/>
      <c r="AJ224" s="65"/>
      <c r="AK224" s="65"/>
      <c r="AL224" s="53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</row>
    <row r="225" spans="1:468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48">
        <v>1</v>
      </c>
      <c r="J225" s="148"/>
      <c r="K225" s="148">
        <v>1</v>
      </c>
      <c r="L225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63"/>
      <c r="AI225" s="64"/>
      <c r="AJ225" s="65"/>
      <c r="AK225" s="65"/>
      <c r="AL225" s="53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</row>
    <row r="226" spans="1:468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48">
        <v>3</v>
      </c>
      <c r="J226" s="148"/>
      <c r="K226" s="148">
        <v>3</v>
      </c>
      <c r="L226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63"/>
      <c r="AI226" s="64"/>
      <c r="AJ226" s="65"/>
      <c r="AK226" s="65"/>
      <c r="AL226" s="53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</row>
    <row r="227" spans="1:468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48">
        <v>264</v>
      </c>
      <c r="J227" s="148"/>
      <c r="K227" s="148">
        <v>264</v>
      </c>
      <c r="L227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63"/>
      <c r="AI227" s="64"/>
      <c r="AJ227" s="65"/>
      <c r="AK227" s="65"/>
      <c r="AL227" s="53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</row>
    <row r="228" spans="1:468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48">
        <v>83</v>
      </c>
      <c r="J228" s="148"/>
      <c r="K228" s="148">
        <v>83</v>
      </c>
      <c r="L228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63"/>
      <c r="AI228" s="64"/>
      <c r="AJ228" s="65"/>
      <c r="AK228" s="65"/>
      <c r="AL228" s="53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</row>
    <row r="229" spans="1:468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48">
        <v>332</v>
      </c>
      <c r="J229" s="148"/>
      <c r="K229" s="148">
        <v>332</v>
      </c>
      <c r="L229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63"/>
      <c r="AI229" s="64"/>
      <c r="AJ229" s="65"/>
      <c r="AK229" s="65"/>
      <c r="AL229" s="53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</row>
    <row r="230" spans="1:468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48">
        <v>1490</v>
      </c>
      <c r="J230" s="148"/>
      <c r="K230" s="148">
        <v>1490</v>
      </c>
      <c r="L230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63"/>
      <c r="AI230" s="64"/>
      <c r="AJ230" s="65"/>
      <c r="AK230" s="65"/>
      <c r="AL230" s="53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</row>
    <row r="231" spans="1:468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48">
        <v>1223</v>
      </c>
      <c r="J231" s="148"/>
      <c r="K231" s="148">
        <v>1223</v>
      </c>
      <c r="L231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63"/>
      <c r="AI231" s="64"/>
      <c r="AJ231" s="65"/>
      <c r="AK231" s="65"/>
      <c r="AL231" s="53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</row>
    <row r="232" spans="1:468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48">
        <v>16</v>
      </c>
      <c r="J232" s="148"/>
      <c r="K232" s="148">
        <v>16</v>
      </c>
      <c r="L232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63"/>
      <c r="AI232" s="64"/>
      <c r="AJ232" s="65"/>
      <c r="AK232" s="65"/>
      <c r="AL232" s="53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</row>
    <row r="233" spans="1:468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48">
        <v>49</v>
      </c>
      <c r="J233" s="148"/>
      <c r="K233" s="148">
        <v>49</v>
      </c>
      <c r="L23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63"/>
      <c r="AI233" s="64"/>
      <c r="AJ233" s="65"/>
      <c r="AK233" s="65"/>
      <c r="AL233" s="53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</row>
    <row r="234" spans="1:468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48">
        <v>21</v>
      </c>
      <c r="J234" s="148"/>
      <c r="K234" s="148">
        <v>21</v>
      </c>
      <c r="L234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63"/>
      <c r="AI234" s="64"/>
      <c r="AJ234" s="65"/>
      <c r="AK234" s="65"/>
      <c r="AL234" s="53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</row>
    <row r="235" spans="1:468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48">
        <v>0</v>
      </c>
      <c r="J235" s="148"/>
      <c r="K235" s="148">
        <v>0</v>
      </c>
      <c r="L235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63"/>
      <c r="AI235" s="64"/>
      <c r="AJ235" s="65"/>
      <c r="AK235" s="65"/>
      <c r="AL235" s="53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</row>
    <row r="236" spans="1:468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48">
        <v>312</v>
      </c>
      <c r="J236" s="148"/>
      <c r="K236" s="148">
        <v>312</v>
      </c>
      <c r="L236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63"/>
      <c r="AI236" s="64"/>
      <c r="AJ236" s="65"/>
      <c r="AK236" s="65"/>
      <c r="AL236" s="53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</row>
    <row r="237" spans="1:468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48">
        <v>88</v>
      </c>
      <c r="J237" s="148"/>
      <c r="K237" s="148">
        <v>88</v>
      </c>
      <c r="L237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63"/>
      <c r="AI237" s="64"/>
      <c r="AJ237" s="65"/>
      <c r="AK237" s="65"/>
      <c r="AL237" s="53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</row>
    <row r="238" spans="1:468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48">
        <v>114</v>
      </c>
      <c r="J238" s="148"/>
      <c r="K238" s="148">
        <v>114</v>
      </c>
      <c r="L238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63"/>
      <c r="AI238" s="64"/>
      <c r="AJ238" s="65"/>
      <c r="AK238" s="65"/>
      <c r="AL238" s="53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</row>
    <row r="239" spans="1:468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48">
        <v>0</v>
      </c>
      <c r="J239" s="148"/>
      <c r="K239" s="148">
        <v>0</v>
      </c>
      <c r="L239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63"/>
      <c r="AI239" s="64"/>
      <c r="AJ239" s="65"/>
      <c r="AK239" s="65"/>
      <c r="AL239" s="53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</row>
    <row r="240" spans="1:468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48">
        <v>10</v>
      </c>
      <c r="J240" s="148"/>
      <c r="K240" s="148">
        <v>10</v>
      </c>
      <c r="L240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63"/>
      <c r="AI240" s="64"/>
      <c r="AJ240" s="65"/>
      <c r="AK240" s="65"/>
      <c r="AL240" s="53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</row>
    <row r="241" spans="1:468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48">
        <v>0</v>
      </c>
      <c r="J241" s="148"/>
      <c r="K241" s="148">
        <v>0</v>
      </c>
      <c r="L241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63"/>
      <c r="AI241" s="64"/>
      <c r="AJ241" s="65"/>
      <c r="AK241" s="65"/>
      <c r="AL241" s="53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</row>
    <row r="242" spans="1:468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48">
        <v>0</v>
      </c>
      <c r="J242" s="148"/>
      <c r="K242" s="148">
        <v>0</v>
      </c>
      <c r="L242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63"/>
      <c r="AI242" s="64"/>
      <c r="AJ242" s="65"/>
      <c r="AK242" s="65"/>
      <c r="AL242" s="53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</row>
    <row r="243" spans="1:468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48">
        <v>0</v>
      </c>
      <c r="J243" s="148"/>
      <c r="K243" s="148">
        <v>0</v>
      </c>
      <c r="L24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63"/>
      <c r="AI243" s="64"/>
      <c r="AJ243" s="65"/>
      <c r="AK243" s="65"/>
      <c r="AL243" s="53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</row>
    <row r="244" spans="1:468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48">
        <v>8</v>
      </c>
      <c r="J244" s="148"/>
      <c r="K244" s="148">
        <v>8</v>
      </c>
      <c r="L244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63"/>
      <c r="AI244" s="64"/>
      <c r="AJ244" s="65"/>
      <c r="AK244" s="65"/>
      <c r="AL244" s="53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</row>
    <row r="245" spans="1:468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48">
        <v>4</v>
      </c>
      <c r="J245" s="148"/>
      <c r="K245" s="148">
        <v>4</v>
      </c>
      <c r="L245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63"/>
      <c r="AI245" s="64"/>
      <c r="AJ245" s="65"/>
      <c r="AK245" s="65"/>
      <c r="AL245" s="53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</row>
    <row r="246" spans="1:468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48">
        <v>0</v>
      </c>
      <c r="J246" s="148"/>
      <c r="K246" s="148">
        <v>0</v>
      </c>
      <c r="L246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63"/>
      <c r="AI246" s="64"/>
      <c r="AJ246" s="65"/>
      <c r="AK246" s="65"/>
      <c r="AL246" s="53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</row>
    <row r="247" spans="1:468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48">
        <v>0</v>
      </c>
      <c r="J247" s="148"/>
      <c r="K247" s="148">
        <v>0</v>
      </c>
      <c r="L247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63"/>
      <c r="AI247" s="64"/>
      <c r="AJ247" s="65"/>
      <c r="AK247" s="65"/>
      <c r="AL247" s="53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</row>
    <row r="248" spans="1:468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48">
        <v>5</v>
      </c>
      <c r="J248" s="148"/>
      <c r="K248" s="148">
        <v>5</v>
      </c>
      <c r="L248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63"/>
      <c r="AI248" s="64"/>
      <c r="AJ248" s="65"/>
      <c r="AK248" s="65"/>
      <c r="AL248" s="53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</row>
    <row r="249" spans="1:468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48">
        <v>39</v>
      </c>
      <c r="J249" s="148"/>
      <c r="K249" s="148">
        <v>39</v>
      </c>
      <c r="L249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63"/>
      <c r="AI249" s="64"/>
      <c r="AJ249" s="65"/>
      <c r="AK249" s="65"/>
      <c r="AL249" s="53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</row>
    <row r="250" spans="1:468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48">
        <v>0</v>
      </c>
      <c r="J250" s="148"/>
      <c r="K250" s="148">
        <v>0</v>
      </c>
      <c r="L250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63"/>
      <c r="AI250" s="64"/>
      <c r="AJ250" s="65"/>
      <c r="AK250" s="65"/>
      <c r="AL250" s="53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</row>
    <row r="251" spans="1:468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48">
        <v>0</v>
      </c>
      <c r="J251" s="148"/>
      <c r="K251" s="148">
        <v>0</v>
      </c>
      <c r="L251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63"/>
      <c r="AI251" s="64"/>
      <c r="AJ251" s="65"/>
      <c r="AK251" s="65"/>
      <c r="AL251" s="53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</row>
    <row r="252" spans="1:468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48">
        <v>20</v>
      </c>
      <c r="J252" s="148"/>
      <c r="K252" s="148">
        <v>20</v>
      </c>
      <c r="L252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63"/>
      <c r="AI252" s="64"/>
      <c r="AJ252" s="65"/>
      <c r="AK252" s="65"/>
      <c r="AL252" s="53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</row>
    <row r="253" spans="1:468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48">
        <v>295</v>
      </c>
      <c r="J253" s="148"/>
      <c r="K253" s="148">
        <v>295</v>
      </c>
      <c r="L2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63"/>
      <c r="AI253" s="64"/>
      <c r="AJ253" s="65"/>
      <c r="AK253" s="65"/>
      <c r="AL253" s="53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</row>
    <row r="254" spans="1:468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48">
        <v>325</v>
      </c>
      <c r="J254" s="148"/>
      <c r="K254" s="148">
        <v>325</v>
      </c>
      <c r="L254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63"/>
      <c r="AI254" s="64"/>
      <c r="AJ254" s="65"/>
      <c r="AK254" s="65"/>
      <c r="AL254" s="53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</row>
    <row r="255" spans="1:468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48">
        <v>0</v>
      </c>
      <c r="J255" s="148"/>
      <c r="K255" s="148">
        <v>0</v>
      </c>
      <c r="L255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63"/>
      <c r="AI255" s="64"/>
      <c r="AJ255" s="65"/>
      <c r="AK255" s="65"/>
      <c r="AL255" s="53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</row>
    <row r="256" spans="1:468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48">
        <v>0</v>
      </c>
      <c r="J256" s="148"/>
      <c r="K256" s="148">
        <v>0</v>
      </c>
      <c r="L256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63"/>
      <c r="AI256" s="64"/>
      <c r="AJ256" s="65"/>
      <c r="AK256" s="65"/>
      <c r="AL256" s="53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</row>
    <row r="257" spans="1:468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48">
        <v>57</v>
      </c>
      <c r="J257" s="148"/>
      <c r="K257" s="148">
        <v>57</v>
      </c>
      <c r="L257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63"/>
      <c r="AI257" s="64"/>
      <c r="AJ257" s="65"/>
      <c r="AK257" s="65"/>
      <c r="AL257" s="53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</row>
    <row r="258" spans="1:468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48">
        <v>14</v>
      </c>
      <c r="J258" s="148"/>
      <c r="K258" s="148">
        <v>14</v>
      </c>
      <c r="L258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63"/>
      <c r="AI258" s="64"/>
      <c r="AJ258" s="65"/>
      <c r="AK258" s="65"/>
      <c r="AL258" s="53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</row>
    <row r="259" spans="1:468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48">
        <v>1154</v>
      </c>
      <c r="J259" s="148"/>
      <c r="K259" s="148">
        <v>1154</v>
      </c>
      <c r="L259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63"/>
      <c r="AI259" s="64"/>
      <c r="AJ259" s="65"/>
      <c r="AK259" s="65"/>
      <c r="AL259" s="53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</row>
    <row r="260" spans="1:468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48">
        <v>1322</v>
      </c>
      <c r="J260" s="148"/>
      <c r="K260" s="148">
        <v>1322</v>
      </c>
      <c r="L260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63"/>
      <c r="AI260" s="64"/>
      <c r="AJ260" s="65"/>
      <c r="AK260" s="65"/>
      <c r="AL260" s="53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</row>
    <row r="261" spans="1:468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48">
        <v>0</v>
      </c>
      <c r="J261" s="148"/>
      <c r="K261" s="148">
        <v>0</v>
      </c>
      <c r="L261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63"/>
      <c r="AI261" s="64"/>
      <c r="AJ261" s="65"/>
      <c r="AK261" s="65"/>
      <c r="AL261" s="53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</row>
    <row r="262" spans="1:468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48">
        <v>804</v>
      </c>
      <c r="J262" s="148"/>
      <c r="K262" s="148">
        <v>804</v>
      </c>
      <c r="L262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63"/>
      <c r="AI262" s="64"/>
      <c r="AJ262" s="65"/>
      <c r="AK262" s="65"/>
      <c r="AL262" s="53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</row>
    <row r="263" spans="1:468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48">
        <v>969</v>
      </c>
      <c r="J263" s="148"/>
      <c r="K263" s="148">
        <v>969</v>
      </c>
      <c r="L26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63"/>
      <c r="AI263" s="64"/>
      <c r="AJ263" s="65"/>
      <c r="AK263" s="65"/>
      <c r="AL263" s="53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</row>
    <row r="264" spans="1:468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48">
        <v>135</v>
      </c>
      <c r="J264" s="148"/>
      <c r="K264" s="148">
        <v>135</v>
      </c>
      <c r="L264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63"/>
      <c r="AI264" s="64"/>
      <c r="AJ264" s="65"/>
      <c r="AK264" s="65"/>
      <c r="AL264" s="53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</row>
    <row r="265" spans="1:468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48">
        <v>5</v>
      </c>
      <c r="J265" s="148"/>
      <c r="K265" s="148">
        <v>5</v>
      </c>
      <c r="L265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63"/>
      <c r="AI265" s="64"/>
      <c r="AJ265" s="65"/>
      <c r="AK265" s="65"/>
      <c r="AL265" s="53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</row>
    <row r="266" spans="1:468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48">
        <v>0</v>
      </c>
      <c r="J266" s="148"/>
      <c r="K266" s="148">
        <v>0</v>
      </c>
      <c r="L266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63"/>
      <c r="AI266" s="64"/>
      <c r="AJ266" s="65"/>
      <c r="AK266" s="65"/>
      <c r="AL266" s="53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</row>
    <row r="267" spans="1:468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48">
        <v>945</v>
      </c>
      <c r="J267" s="148"/>
      <c r="K267" s="148">
        <v>945</v>
      </c>
      <c r="L267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63"/>
      <c r="AI267" s="64"/>
      <c r="AJ267" s="65"/>
      <c r="AK267" s="65"/>
      <c r="AL267" s="53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</row>
    <row r="268" spans="1:468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48">
        <v>3</v>
      </c>
      <c r="J268" s="148"/>
      <c r="K268" s="148">
        <v>3</v>
      </c>
      <c r="L268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63"/>
      <c r="AI268" s="64"/>
      <c r="AJ268" s="65"/>
      <c r="AK268" s="65"/>
      <c r="AL268" s="53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</row>
    <row r="269" spans="1:468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48">
        <v>26</v>
      </c>
      <c r="J269" s="148"/>
      <c r="K269" s="148">
        <v>26</v>
      </c>
      <c r="L269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63"/>
      <c r="AI269" s="64"/>
      <c r="AJ269" s="65"/>
      <c r="AK269" s="65"/>
      <c r="AL269" s="53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</row>
    <row r="270" spans="1:468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48">
        <v>10</v>
      </c>
      <c r="J270" s="148"/>
      <c r="K270" s="148">
        <v>10</v>
      </c>
      <c r="L270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63"/>
      <c r="AI270" s="64"/>
      <c r="AJ270" s="65"/>
      <c r="AK270" s="65"/>
      <c r="AL270" s="53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</row>
    <row r="271" spans="1:468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48">
        <v>87</v>
      </c>
      <c r="J271" s="148"/>
      <c r="K271" s="148">
        <v>87</v>
      </c>
      <c r="L271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63"/>
      <c r="AI271" s="64"/>
      <c r="AJ271" s="65"/>
      <c r="AK271" s="65"/>
      <c r="AL271" s="53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</row>
    <row r="272" spans="1:468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48">
        <v>687</v>
      </c>
      <c r="J272" s="148"/>
      <c r="K272" s="148">
        <v>687</v>
      </c>
      <c r="L272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63"/>
      <c r="AI272" s="64"/>
      <c r="AJ272" s="65"/>
      <c r="AK272" s="65"/>
      <c r="AL272" s="53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</row>
    <row r="273" spans="1:468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48">
        <v>101</v>
      </c>
      <c r="J273" s="148"/>
      <c r="K273" s="148">
        <v>101</v>
      </c>
      <c r="L27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63"/>
      <c r="AI273" s="64"/>
      <c r="AJ273" s="65"/>
      <c r="AK273" s="65"/>
      <c r="AL273" s="53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</row>
    <row r="274" spans="1:468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48">
        <v>0</v>
      </c>
      <c r="J274" s="148"/>
      <c r="K274" s="148">
        <v>0</v>
      </c>
      <c r="L274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63"/>
      <c r="AI274" s="64"/>
      <c r="AJ274" s="65"/>
      <c r="AK274" s="65"/>
      <c r="AL274" s="53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</row>
    <row r="275" spans="1:468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48">
        <v>472</v>
      </c>
      <c r="J275" s="148"/>
      <c r="K275" s="148">
        <v>472</v>
      </c>
      <c r="L275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63"/>
      <c r="AI275" s="64"/>
      <c r="AJ275" s="65"/>
      <c r="AK275" s="65"/>
      <c r="AL275" s="53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</row>
    <row r="276" spans="1:468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48">
        <v>2</v>
      </c>
      <c r="J276" s="148"/>
      <c r="K276" s="148">
        <v>2</v>
      </c>
      <c r="L276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63"/>
      <c r="AI276" s="64"/>
      <c r="AJ276" s="65"/>
      <c r="AK276" s="65"/>
      <c r="AL276" s="53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</row>
    <row r="277" spans="1:468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48">
        <v>8</v>
      </c>
      <c r="J277" s="148"/>
      <c r="K277" s="148">
        <v>8</v>
      </c>
      <c r="L277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63"/>
      <c r="AI277" s="64"/>
      <c r="AJ277" s="65"/>
      <c r="AK277" s="65"/>
      <c r="AL277" s="53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</row>
    <row r="278" spans="1:468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48">
        <v>1</v>
      </c>
      <c r="J278" s="148"/>
      <c r="K278" s="148">
        <v>1</v>
      </c>
      <c r="L278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63"/>
      <c r="AI278" s="64"/>
      <c r="AJ278" s="65"/>
      <c r="AK278" s="65"/>
      <c r="AL278" s="53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</row>
    <row r="279" spans="1:468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48">
        <v>1</v>
      </c>
      <c r="J279" s="148"/>
      <c r="K279" s="148">
        <v>1</v>
      </c>
      <c r="L279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63"/>
      <c r="AI279" s="64"/>
      <c r="AJ279" s="65"/>
      <c r="AK279" s="65"/>
      <c r="AL279" s="53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</row>
    <row r="280" spans="1:468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48">
        <v>0</v>
      </c>
      <c r="J280" s="148"/>
      <c r="K280" s="148">
        <v>0</v>
      </c>
      <c r="L280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63"/>
      <c r="AI280" s="64"/>
      <c r="AJ280" s="65"/>
      <c r="AK280" s="65"/>
      <c r="AL280" s="53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</row>
    <row r="281" spans="1:468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48">
        <v>3</v>
      </c>
      <c r="J281" s="148"/>
      <c r="K281" s="148">
        <v>3</v>
      </c>
      <c r="L281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63"/>
      <c r="AI281" s="64"/>
      <c r="AJ281" s="65"/>
      <c r="AK281" s="65"/>
      <c r="AL281" s="53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</row>
    <row r="282" spans="1:468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48">
        <v>1</v>
      </c>
      <c r="J282" s="148"/>
      <c r="K282" s="148">
        <v>1</v>
      </c>
      <c r="L282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63"/>
      <c r="AI282" s="64"/>
      <c r="AJ282" s="65"/>
      <c r="AK282" s="65"/>
      <c r="AL282" s="53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</row>
    <row r="283" spans="1:468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48">
        <v>1</v>
      </c>
      <c r="J283" s="148"/>
      <c r="K283" s="148">
        <v>1</v>
      </c>
      <c r="L28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63"/>
      <c r="AI283" s="64"/>
      <c r="AJ283" s="65"/>
      <c r="AK283" s="65"/>
      <c r="AL283" s="53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</row>
    <row r="284" spans="1:468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48">
        <v>1</v>
      </c>
      <c r="J284" s="148"/>
      <c r="K284" s="148">
        <v>1</v>
      </c>
      <c r="L284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63"/>
      <c r="AI284" s="64"/>
      <c r="AJ284" s="65"/>
      <c r="AK284" s="65"/>
      <c r="AL284" s="53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</row>
    <row r="285" spans="1:468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48">
        <v>2</v>
      </c>
      <c r="J285" s="148"/>
      <c r="K285" s="148">
        <v>2</v>
      </c>
      <c r="L285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63"/>
      <c r="AI285" s="64"/>
      <c r="AJ285" s="65"/>
      <c r="AK285" s="65"/>
      <c r="AL285" s="53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</row>
    <row r="286" spans="1:468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48">
        <v>0</v>
      </c>
      <c r="J286" s="148"/>
      <c r="K286" s="148">
        <v>0</v>
      </c>
      <c r="L286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63"/>
      <c r="AI286" s="64"/>
      <c r="AJ286" s="65"/>
      <c r="AK286" s="65"/>
      <c r="AL286" s="53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</row>
    <row r="287" spans="1:468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48">
        <v>0</v>
      </c>
      <c r="J287" s="148"/>
      <c r="K287" s="148">
        <v>0</v>
      </c>
      <c r="L287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63"/>
      <c r="AI287" s="64"/>
      <c r="AJ287" s="65"/>
      <c r="AK287" s="65"/>
      <c r="AL287" s="53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</row>
    <row r="288" spans="1:468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48">
        <v>0</v>
      </c>
      <c r="J288" s="148"/>
      <c r="K288" s="148">
        <v>0</v>
      </c>
      <c r="L288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63"/>
      <c r="AI288" s="64"/>
      <c r="AJ288" s="65"/>
      <c r="AK288" s="65"/>
      <c r="AL288" s="53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</row>
    <row r="289" spans="1:468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48">
        <v>1</v>
      </c>
      <c r="J289" s="148"/>
      <c r="K289" s="148">
        <v>1</v>
      </c>
      <c r="L289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63"/>
      <c r="AI289" s="64"/>
      <c r="AJ289" s="65"/>
      <c r="AK289" s="65"/>
      <c r="AL289" s="53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</row>
    <row r="290" spans="1:468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48">
        <v>0</v>
      </c>
      <c r="J290" s="148"/>
      <c r="K290" s="148">
        <v>0</v>
      </c>
      <c r="L290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63"/>
      <c r="AI290" s="64"/>
      <c r="AJ290" s="65"/>
      <c r="AK290" s="65"/>
      <c r="AL290" s="53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</row>
    <row r="291" spans="1:468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48">
        <v>0</v>
      </c>
      <c r="J291" s="148"/>
      <c r="K291" s="148">
        <v>0</v>
      </c>
      <c r="L291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63"/>
      <c r="AI291" s="64"/>
      <c r="AJ291" s="65"/>
      <c r="AK291" s="65"/>
      <c r="AL291" s="53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</row>
    <row r="292" spans="1:468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48">
        <v>1</v>
      </c>
      <c r="J292" s="148"/>
      <c r="K292" s="148">
        <v>1</v>
      </c>
      <c r="L292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63"/>
      <c r="AI292" s="64"/>
      <c r="AJ292" s="65"/>
      <c r="AK292" s="65"/>
      <c r="AL292" s="53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 s="62"/>
      <c r="BZ292" s="6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</row>
    <row r="293" spans="1:468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48">
        <v>2</v>
      </c>
      <c r="J293" s="148"/>
      <c r="K293" s="148">
        <v>2</v>
      </c>
      <c r="L29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63"/>
      <c r="AI293" s="64"/>
      <c r="AJ293" s="65"/>
      <c r="AK293" s="65"/>
      <c r="AL293" s="53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 s="62"/>
      <c r="BZ293" s="62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</row>
    <row r="294" spans="1:468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48">
        <v>0</v>
      </c>
      <c r="J294" s="148"/>
      <c r="K294" s="148">
        <v>0</v>
      </c>
      <c r="L294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63"/>
      <c r="AI294" s="64"/>
      <c r="AJ294" s="65"/>
      <c r="AK294" s="65"/>
      <c r="AL294" s="53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 s="62"/>
      <c r="BZ294" s="62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</row>
    <row r="295" spans="1:468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48">
        <v>0</v>
      </c>
      <c r="J295" s="148"/>
      <c r="K295" s="148">
        <v>0</v>
      </c>
      <c r="L295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63"/>
      <c r="AI295" s="64"/>
      <c r="AJ295" s="65"/>
      <c r="AK295" s="65"/>
      <c r="AL295" s="53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 s="62"/>
      <c r="BZ295" s="62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</row>
    <row r="296" spans="1:468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48">
        <v>0</v>
      </c>
      <c r="J296" s="148"/>
      <c r="K296" s="148">
        <v>0</v>
      </c>
      <c r="L296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63"/>
      <c r="AI296" s="64"/>
      <c r="AJ296" s="65"/>
      <c r="AK296" s="65"/>
      <c r="AL296" s="53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 s="62"/>
      <c r="BZ296" s="62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</row>
    <row r="297" spans="1:468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48">
        <v>2</v>
      </c>
      <c r="J297" s="148"/>
      <c r="K297" s="148">
        <v>2</v>
      </c>
      <c r="L297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63"/>
      <c r="AI297" s="64"/>
      <c r="AJ297" s="65"/>
      <c r="AK297" s="65"/>
      <c r="AL297" s="53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 s="62"/>
      <c r="BZ297" s="62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</row>
    <row r="298" spans="1:468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48">
        <v>0</v>
      </c>
      <c r="J298" s="148"/>
      <c r="K298" s="148">
        <v>0</v>
      </c>
      <c r="L298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63"/>
      <c r="AI298" s="64"/>
      <c r="AJ298" s="65"/>
      <c r="AK298" s="65"/>
      <c r="AL298" s="53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 s="62"/>
      <c r="BZ298" s="62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</row>
    <row r="299" spans="1:468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48">
        <v>0</v>
      </c>
      <c r="J299" s="148"/>
      <c r="K299" s="148">
        <v>0</v>
      </c>
      <c r="L299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63"/>
      <c r="AI299" s="64"/>
      <c r="AJ299" s="65"/>
      <c r="AK299" s="65"/>
      <c r="AL299" s="53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 s="62"/>
      <c r="BZ299" s="62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</row>
    <row r="300" spans="1:468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48">
        <v>0</v>
      </c>
      <c r="J300" s="148"/>
      <c r="K300" s="148">
        <v>0</v>
      </c>
      <c r="L300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63"/>
      <c r="AI300" s="64"/>
      <c r="AJ300" s="65"/>
      <c r="AK300" s="65"/>
      <c r="AL300" s="53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 s="62"/>
      <c r="BZ300" s="62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</row>
    <row r="301" spans="1:468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48">
        <v>0</v>
      </c>
      <c r="J301" s="148"/>
      <c r="K301" s="148">
        <v>0</v>
      </c>
      <c r="L301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63"/>
      <c r="AI301" s="64"/>
      <c r="AJ301" s="65"/>
      <c r="AK301" s="65"/>
      <c r="AL301" s="53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 s="62"/>
      <c r="BZ301" s="62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</row>
    <row r="302" spans="1:468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48">
        <v>0</v>
      </c>
      <c r="J302" s="148"/>
      <c r="K302" s="148">
        <v>0</v>
      </c>
      <c r="L302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63"/>
      <c r="AI302" s="64"/>
      <c r="AJ302" s="65"/>
      <c r="AK302" s="65"/>
      <c r="AL302" s="53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 s="62"/>
      <c r="BZ302" s="6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</row>
    <row r="303" spans="1:468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48">
        <v>1</v>
      </c>
      <c r="J303" s="148"/>
      <c r="K303" s="148">
        <v>1</v>
      </c>
      <c r="L30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63"/>
      <c r="AI303" s="64"/>
      <c r="AJ303" s="65"/>
      <c r="AK303" s="65"/>
      <c r="AL303" s="53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 s="62"/>
      <c r="BZ303" s="62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</row>
    <row r="304" spans="1:468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48">
        <v>1</v>
      </c>
      <c r="J304" s="148"/>
      <c r="K304" s="148">
        <v>1</v>
      </c>
      <c r="L304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63"/>
      <c r="AI304" s="64"/>
      <c r="AJ304" s="65"/>
      <c r="AK304" s="65"/>
      <c r="AL304" s="53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</row>
    <row r="305" spans="1:468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48">
        <v>252</v>
      </c>
      <c r="J305" s="148"/>
      <c r="K305" s="148">
        <v>252</v>
      </c>
      <c r="L305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63"/>
      <c r="AI305" s="64"/>
      <c r="AJ305" s="65"/>
      <c r="AK305" s="65"/>
      <c r="AL305" s="53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</row>
    <row r="306" spans="1:468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48">
        <v>0</v>
      </c>
      <c r="J306" s="148"/>
      <c r="K306" s="148">
        <v>0</v>
      </c>
      <c r="L306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63"/>
      <c r="AI306" s="64"/>
      <c r="AJ306" s="65"/>
      <c r="AK306" s="65"/>
      <c r="AL306" s="53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 s="62"/>
      <c r="BZ306" s="62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</row>
    <row r="307" spans="1:468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48">
        <v>0</v>
      </c>
      <c r="J307" s="148"/>
      <c r="K307" s="148">
        <v>0</v>
      </c>
      <c r="L307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63"/>
      <c r="AI307" s="64"/>
      <c r="AJ307" s="65"/>
      <c r="AK307" s="65"/>
      <c r="AL307" s="53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 s="62"/>
      <c r="BZ307" s="62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</row>
    <row r="308" spans="1:468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48">
        <v>252</v>
      </c>
      <c r="J308" s="148"/>
      <c r="K308" s="148">
        <v>252</v>
      </c>
      <c r="L308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63"/>
      <c r="AI308" s="64"/>
      <c r="AJ308" s="65"/>
      <c r="AK308" s="65"/>
      <c r="AL308" s="53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 s="62"/>
      <c r="BZ308" s="62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</row>
    <row r="309" spans="1:468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48">
        <v>0</v>
      </c>
      <c r="J309" s="148"/>
      <c r="K309" s="148">
        <v>0</v>
      </c>
      <c r="L309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63"/>
      <c r="AI309" s="64"/>
      <c r="AJ309" s="65"/>
      <c r="AK309" s="65"/>
      <c r="AL309" s="53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 s="62"/>
      <c r="BZ309" s="62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</row>
    <row r="310" spans="1:468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48">
        <v>0</v>
      </c>
      <c r="J310" s="148"/>
      <c r="K310" s="148">
        <v>0</v>
      </c>
      <c r="L310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63"/>
      <c r="AI310" s="64"/>
      <c r="AJ310" s="65"/>
      <c r="AK310" s="65"/>
      <c r="AL310" s="53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 s="62"/>
      <c r="BZ310" s="62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</row>
    <row r="311" spans="1:468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48">
        <v>0</v>
      </c>
      <c r="J311" s="148"/>
      <c r="K311" s="148">
        <v>0</v>
      </c>
      <c r="L311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63"/>
      <c r="AI311" s="64"/>
      <c r="AJ311" s="65"/>
      <c r="AK311" s="65"/>
      <c r="AL311" s="53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 s="62"/>
      <c r="BZ311" s="62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</row>
    <row r="312" spans="1:468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48">
        <v>0</v>
      </c>
      <c r="J312" s="148"/>
      <c r="K312" s="148">
        <v>0</v>
      </c>
      <c r="L312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63"/>
      <c r="AI312" s="64"/>
      <c r="AJ312" s="65"/>
      <c r="AK312" s="65"/>
      <c r="AL312" s="53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 s="62"/>
      <c r="BZ312" s="6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</row>
    <row r="313" spans="1:468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48">
        <v>5</v>
      </c>
      <c r="J313" s="148"/>
      <c r="K313" s="148">
        <v>5</v>
      </c>
      <c r="L31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63"/>
      <c r="AI313" s="64"/>
      <c r="AJ313" s="65"/>
      <c r="AK313" s="65"/>
      <c r="AL313" s="53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 s="62"/>
      <c r="BZ313" s="62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</row>
    <row r="314" spans="1:468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48">
        <v>0</v>
      </c>
      <c r="J314" s="148"/>
      <c r="K314" s="148">
        <v>0</v>
      </c>
      <c r="L314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63"/>
      <c r="AI314" s="64"/>
      <c r="AJ314" s="65"/>
      <c r="AK314" s="65"/>
      <c r="AL314" s="53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 s="62"/>
      <c r="BZ314" s="62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</row>
    <row r="315" spans="1:468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48">
        <v>3</v>
      </c>
      <c r="J315" s="148"/>
      <c r="K315" s="148">
        <v>3</v>
      </c>
      <c r="L315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63"/>
      <c r="AI315" s="64"/>
      <c r="AJ315" s="65"/>
      <c r="AK315" s="65"/>
      <c r="AL315" s="53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 s="62"/>
      <c r="BZ315" s="62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</row>
    <row r="316" spans="1:468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48">
        <v>2</v>
      </c>
      <c r="J316" s="148"/>
      <c r="K316" s="148">
        <v>2</v>
      </c>
      <c r="L316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63"/>
      <c r="AI316" s="64"/>
      <c r="AJ316" s="65"/>
      <c r="AK316" s="65"/>
      <c r="AL316" s="53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 s="62"/>
      <c r="BZ316" s="62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</row>
    <row r="317" spans="1:468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48">
        <v>0</v>
      </c>
      <c r="J317" s="148"/>
      <c r="K317" s="148">
        <v>0</v>
      </c>
      <c r="L317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63"/>
      <c r="AI317" s="64"/>
      <c r="AJ317" s="65"/>
      <c r="AK317" s="65"/>
      <c r="AL317" s="53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 s="62"/>
      <c r="BZ317" s="62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</row>
    <row r="318" spans="1:468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48">
        <v>0</v>
      </c>
      <c r="J318" s="148"/>
      <c r="K318" s="148">
        <v>0</v>
      </c>
      <c r="L318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63"/>
      <c r="AI318" s="64"/>
      <c r="AJ318" s="65"/>
      <c r="AK318" s="65"/>
      <c r="AL318" s="53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 s="62"/>
      <c r="BZ318" s="62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</row>
    <row r="319" spans="1:468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48">
        <v>4</v>
      </c>
      <c r="J319" s="148"/>
      <c r="K319" s="148">
        <v>4</v>
      </c>
      <c r="L319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63"/>
      <c r="AI319" s="64"/>
      <c r="AJ319" s="65"/>
      <c r="AK319" s="65"/>
      <c r="AL319" s="53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 s="62"/>
      <c r="BZ319" s="62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</row>
    <row r="320" spans="1:468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48">
        <v>4</v>
      </c>
      <c r="J320" s="148"/>
      <c r="K320" s="148">
        <v>4</v>
      </c>
      <c r="L320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63"/>
      <c r="AI320" s="64"/>
      <c r="AJ320" s="65"/>
      <c r="AK320" s="65"/>
      <c r="AL320" s="53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 s="62"/>
      <c r="BZ320" s="62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</row>
    <row r="321" spans="1:468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48">
        <v>0</v>
      </c>
      <c r="J321" s="148"/>
      <c r="K321" s="148">
        <v>0</v>
      </c>
      <c r="L321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63"/>
      <c r="AI321" s="64"/>
      <c r="AJ321" s="65"/>
      <c r="AK321" s="65"/>
      <c r="AL321" s="53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 s="62"/>
      <c r="BZ321" s="62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</row>
    <row r="322" spans="1:468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48">
        <v>0</v>
      </c>
      <c r="J322" s="148"/>
      <c r="K322" s="148">
        <v>0</v>
      </c>
      <c r="L322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63"/>
      <c r="AI322" s="64"/>
      <c r="AJ322" s="65"/>
      <c r="AK322" s="65"/>
      <c r="AL322" s="53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 s="62"/>
      <c r="BZ322" s="6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</row>
    <row r="323" spans="1:468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48">
        <v>0</v>
      </c>
      <c r="J323" s="148"/>
      <c r="K323" s="148">
        <v>0</v>
      </c>
      <c r="L32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63"/>
      <c r="AI323" s="64"/>
      <c r="AJ323" s="65"/>
      <c r="AK323" s="65"/>
      <c r="AL323" s="53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 s="62"/>
      <c r="BZ323" s="62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</row>
    <row r="324" spans="1:468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48">
        <v>674</v>
      </c>
      <c r="J324" s="148"/>
      <c r="K324" s="148">
        <v>674</v>
      </c>
      <c r="L324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63"/>
      <c r="AI324" s="64"/>
      <c r="AJ324" s="65"/>
      <c r="AK324" s="65"/>
      <c r="AL324" s="53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 s="62"/>
      <c r="BZ324" s="62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</row>
    <row r="325" spans="1:468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48">
        <v>0</v>
      </c>
      <c r="J325" s="148"/>
      <c r="K325" s="148">
        <v>0</v>
      </c>
      <c r="L325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63"/>
      <c r="AI325" s="64"/>
      <c r="AJ325" s="65"/>
      <c r="AK325" s="65"/>
      <c r="AL325" s="53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 s="62"/>
      <c r="BZ325" s="62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</row>
    <row r="326" spans="1:468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48">
        <v>1</v>
      </c>
      <c r="J326" s="148"/>
      <c r="K326" s="148">
        <v>1</v>
      </c>
      <c r="L326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63"/>
      <c r="AI326" s="64"/>
      <c r="AJ326" s="65"/>
      <c r="AK326" s="65"/>
      <c r="AL326" s="53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 s="62"/>
      <c r="BZ326" s="62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</row>
    <row r="327" spans="1:468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48">
        <v>0</v>
      </c>
      <c r="J327" s="148"/>
      <c r="K327" s="148">
        <v>0</v>
      </c>
      <c r="L327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63"/>
      <c r="AI327" s="64"/>
      <c r="AJ327" s="65"/>
      <c r="AK327" s="65"/>
      <c r="AL327" s="53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 s="62"/>
      <c r="BZ327" s="62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</row>
    <row r="328" spans="1:468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48">
        <v>4</v>
      </c>
      <c r="J328" s="148"/>
      <c r="K328" s="148">
        <v>4</v>
      </c>
      <c r="L328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63"/>
      <c r="AI328" s="64"/>
      <c r="AJ328" s="65"/>
      <c r="AK328" s="65"/>
      <c r="AL328" s="53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 s="62"/>
      <c r="BZ328" s="62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</row>
    <row r="329" spans="1:468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48">
        <v>1</v>
      </c>
      <c r="J329" s="148"/>
      <c r="K329" s="148">
        <v>1</v>
      </c>
      <c r="L329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63"/>
      <c r="AI329" s="64"/>
      <c r="AJ329" s="65"/>
      <c r="AK329" s="65"/>
      <c r="AL329" s="53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 s="62"/>
      <c r="BZ329" s="62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</row>
    <row r="330" spans="1:468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48">
        <v>61</v>
      </c>
      <c r="J330" s="148"/>
      <c r="K330" s="148">
        <v>61</v>
      </c>
      <c r="L330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63"/>
      <c r="AI330" s="64"/>
      <c r="AJ330" s="65"/>
      <c r="AK330" s="65"/>
      <c r="AL330" s="53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 s="62"/>
      <c r="BZ330" s="62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</row>
    <row r="331" spans="1:468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48">
        <v>53</v>
      </c>
      <c r="J331" s="148"/>
      <c r="K331" s="148">
        <v>53</v>
      </c>
      <c r="L331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63"/>
      <c r="AI331" s="64"/>
      <c r="AJ331" s="65"/>
      <c r="AK331" s="65"/>
      <c r="AL331" s="53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 s="62"/>
      <c r="BZ331" s="62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</row>
    <row r="332" spans="1:468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48">
        <v>28</v>
      </c>
      <c r="J332" s="148"/>
      <c r="K332" s="148">
        <v>28</v>
      </c>
      <c r="L332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63"/>
      <c r="AI332" s="64"/>
      <c r="AJ332" s="65"/>
      <c r="AK332" s="65"/>
      <c r="AL332" s="53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 s="62"/>
      <c r="BZ332" s="6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</row>
    <row r="333" spans="1:468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48">
        <v>267</v>
      </c>
      <c r="J333" s="148"/>
      <c r="K333" s="148">
        <v>267</v>
      </c>
      <c r="L33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63"/>
      <c r="AI333" s="64"/>
      <c r="AJ333" s="65"/>
      <c r="AK333" s="65"/>
      <c r="AL333" s="53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 s="62"/>
      <c r="BZ333" s="62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</row>
    <row r="334" spans="1:468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48">
        <v>7</v>
      </c>
      <c r="J334" s="148"/>
      <c r="K334" s="148">
        <v>7</v>
      </c>
      <c r="L334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63"/>
      <c r="AI334" s="64"/>
      <c r="AJ334" s="65"/>
      <c r="AK334" s="65"/>
      <c r="AL334" s="53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 s="62"/>
      <c r="BZ334" s="62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</row>
    <row r="335" spans="1:468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48">
        <v>2</v>
      </c>
      <c r="J335" s="148"/>
      <c r="K335" s="148">
        <v>2</v>
      </c>
      <c r="L335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63"/>
      <c r="AI335" s="64"/>
      <c r="AJ335" s="65"/>
      <c r="AK335" s="65"/>
      <c r="AL335" s="53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 s="62"/>
      <c r="BZ335" s="62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</row>
    <row r="336" spans="1:468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48">
        <v>10</v>
      </c>
      <c r="J336" s="148"/>
      <c r="K336" s="148">
        <v>10</v>
      </c>
      <c r="L336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63"/>
      <c r="AI336" s="64"/>
      <c r="AJ336" s="65"/>
      <c r="AK336" s="65"/>
      <c r="AL336" s="53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 s="62"/>
      <c r="BZ336" s="62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</row>
    <row r="337" spans="1:468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48">
        <v>3</v>
      </c>
      <c r="J337" s="148"/>
      <c r="K337" s="148">
        <v>3</v>
      </c>
      <c r="L337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63"/>
      <c r="AI337" s="64"/>
      <c r="AJ337" s="65"/>
      <c r="AK337" s="65"/>
      <c r="AL337" s="53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 s="62"/>
      <c r="BZ337" s="62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</row>
    <row r="338" spans="1:468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48">
        <v>1</v>
      </c>
      <c r="J338" s="148"/>
      <c r="K338" s="148">
        <v>1</v>
      </c>
      <c r="L338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63"/>
      <c r="AI338" s="64"/>
      <c r="AJ338" s="65"/>
      <c r="AK338" s="65"/>
      <c r="AL338" s="53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 s="62"/>
      <c r="BZ338" s="62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</row>
    <row r="339" spans="1:468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48">
        <v>5</v>
      </c>
      <c r="J339" s="148"/>
      <c r="K339" s="148">
        <v>5</v>
      </c>
      <c r="L339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63"/>
      <c r="AI339" s="64"/>
      <c r="AJ339" s="65"/>
      <c r="AK339" s="65"/>
      <c r="AL339" s="53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 s="62"/>
      <c r="BZ339" s="62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</row>
    <row r="340" spans="1:468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48">
        <v>7</v>
      </c>
      <c r="J340" s="148"/>
      <c r="K340" s="148">
        <v>7</v>
      </c>
      <c r="L340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63"/>
      <c r="AI340" s="64"/>
      <c r="AJ340" s="65"/>
      <c r="AK340" s="65"/>
      <c r="AL340" s="53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 s="62"/>
      <c r="BZ340" s="62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</row>
    <row r="341" spans="1:468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48">
        <v>0</v>
      </c>
      <c r="J341" s="148"/>
      <c r="K341" s="148">
        <v>0</v>
      </c>
      <c r="L341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63"/>
      <c r="AI341" s="64"/>
      <c r="AJ341" s="65"/>
      <c r="AK341" s="65"/>
      <c r="AL341" s="53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 s="62"/>
      <c r="BZ341" s="62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</row>
    <row r="342" spans="1:468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48">
        <v>223</v>
      </c>
      <c r="J342" s="148"/>
      <c r="K342" s="148">
        <v>223</v>
      </c>
      <c r="L342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63"/>
      <c r="AI342" s="64"/>
      <c r="AJ342" s="65"/>
      <c r="AK342" s="65"/>
      <c r="AL342" s="53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 s="62"/>
      <c r="BZ342" s="6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</row>
    <row r="343" spans="1:468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48">
        <v>0</v>
      </c>
      <c r="J343" s="148"/>
      <c r="K343" s="148">
        <v>0</v>
      </c>
      <c r="L34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63"/>
      <c r="AI343" s="64"/>
      <c r="AJ343" s="65"/>
      <c r="AK343" s="65"/>
      <c r="AL343" s="53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 s="62"/>
      <c r="BZ343" s="62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</row>
    <row r="344" spans="1:468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48">
        <v>1</v>
      </c>
      <c r="J344" s="148"/>
      <c r="K344" s="148">
        <v>1</v>
      </c>
      <c r="L344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63"/>
      <c r="AI344" s="64"/>
      <c r="AJ344" s="65"/>
      <c r="AK344" s="65"/>
      <c r="AL344" s="53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 s="62"/>
      <c r="BZ344" s="62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</row>
    <row r="345" spans="1:468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48">
        <v>4</v>
      </c>
      <c r="J345" s="148"/>
      <c r="K345" s="148">
        <v>4</v>
      </c>
      <c r="L345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63"/>
      <c r="AI345" s="64"/>
      <c r="AJ345" s="65"/>
      <c r="AK345" s="65"/>
      <c r="AL345" s="53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 s="62"/>
      <c r="BZ345" s="62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</row>
    <row r="346" spans="1:468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48">
        <v>4</v>
      </c>
      <c r="J346" s="148"/>
      <c r="K346" s="148">
        <v>4</v>
      </c>
      <c r="L346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63"/>
      <c r="AI346" s="64"/>
      <c r="AJ346" s="65"/>
      <c r="AK346" s="65"/>
      <c r="AL346" s="53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 s="62"/>
      <c r="BZ346" s="62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</row>
    <row r="347" spans="1:468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48">
        <v>2893</v>
      </c>
      <c r="J347" s="148"/>
      <c r="K347" s="148">
        <v>2893</v>
      </c>
      <c r="L347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63"/>
      <c r="AI347" s="64"/>
      <c r="AJ347" s="65"/>
      <c r="AK347" s="65"/>
      <c r="AL347" s="53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 s="62"/>
      <c r="BZ347" s="62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</row>
    <row r="348" spans="1:468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48">
        <v>2893</v>
      </c>
      <c r="J348" s="148"/>
      <c r="K348" s="148">
        <v>2893</v>
      </c>
      <c r="L348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63"/>
      <c r="AI348" s="64"/>
      <c r="AJ348" s="65"/>
      <c r="AK348" s="65"/>
      <c r="AL348" s="53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 s="62"/>
      <c r="BZ348" s="62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</row>
    <row r="349" spans="1:468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48">
        <v>630</v>
      </c>
      <c r="J349" s="148">
        <v>157</v>
      </c>
      <c r="K349" s="148">
        <v>473</v>
      </c>
      <c r="L349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63"/>
      <c r="AI349" s="64"/>
      <c r="AJ349" s="65"/>
      <c r="AK349" s="65"/>
      <c r="AL349" s="53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 s="62"/>
      <c r="BZ349" s="62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</row>
    <row r="350" spans="1:468" x14ac:dyDescent="0.35">
      <c r="A350" s="53"/>
      <c r="B350" s="53"/>
      <c r="C350" s="55"/>
      <c r="D350" s="53"/>
      <c r="E350" s="53"/>
      <c r="F350" s="149" t="s">
        <v>592</v>
      </c>
      <c r="G350" s="125"/>
      <c r="H350" s="125">
        <v>0</v>
      </c>
      <c r="I350" s="148">
        <v>2</v>
      </c>
      <c r="J350" s="148"/>
      <c r="K350" s="148">
        <v>2</v>
      </c>
      <c r="L350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63"/>
      <c r="AI350" s="64"/>
      <c r="AJ350" s="65"/>
      <c r="AK350" s="65"/>
      <c r="AL350" s="53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 s="62"/>
      <c r="BZ350" s="62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</row>
    <row r="351" spans="1:468" x14ac:dyDescent="0.35">
      <c r="A351" s="53"/>
      <c r="B351" s="53"/>
      <c r="C351" s="55"/>
      <c r="D351" s="53"/>
      <c r="E351" s="53"/>
      <c r="F351" s="149" t="s">
        <v>595</v>
      </c>
      <c r="G351" s="125">
        <v>25.89</v>
      </c>
      <c r="H351" s="125">
        <v>517.79999999999995</v>
      </c>
      <c r="I351" s="148">
        <v>20</v>
      </c>
      <c r="J351" s="148"/>
      <c r="K351" s="148">
        <v>20</v>
      </c>
      <c r="L351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63"/>
      <c r="AI351" s="64"/>
      <c r="AJ351" s="65"/>
      <c r="AK351" s="65"/>
      <c r="AL351" s="53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 s="62"/>
      <c r="BZ351" s="62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</row>
    <row r="352" spans="1:468" x14ac:dyDescent="0.35">
      <c r="A352" s="53"/>
      <c r="B352" s="53"/>
      <c r="C352" s="55"/>
      <c r="D352" s="53"/>
      <c r="E352" s="53"/>
      <c r="F352" s="149" t="s">
        <v>596</v>
      </c>
      <c r="G352" s="125">
        <v>39.15</v>
      </c>
      <c r="H352" s="125">
        <v>0</v>
      </c>
      <c r="I352" s="148">
        <v>0</v>
      </c>
      <c r="J352" s="148"/>
      <c r="K352" s="148">
        <v>0</v>
      </c>
      <c r="L352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63"/>
      <c r="AI352" s="64"/>
      <c r="AJ352" s="65"/>
      <c r="AK352" s="65"/>
      <c r="AL352" s="53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 s="62"/>
      <c r="BZ352" s="6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</row>
    <row r="353" spans="1:468" x14ac:dyDescent="0.35">
      <c r="A353" s="53"/>
      <c r="B353" s="53"/>
      <c r="C353" s="55"/>
      <c r="D353" s="53"/>
      <c r="E353" s="53"/>
      <c r="F353" s="149" t="s">
        <v>597</v>
      </c>
      <c r="G353" s="125">
        <v>205</v>
      </c>
      <c r="H353" s="125">
        <v>1230</v>
      </c>
      <c r="I353" s="148">
        <v>6</v>
      </c>
      <c r="J353" s="148"/>
      <c r="K353" s="148">
        <v>6</v>
      </c>
      <c r="L3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63"/>
      <c r="AI353" s="64"/>
      <c r="AJ353" s="65"/>
      <c r="AK353" s="65"/>
      <c r="AL353" s="53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 s="62"/>
      <c r="BZ353" s="62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</row>
    <row r="354" spans="1:468" x14ac:dyDescent="0.35">
      <c r="A354" s="53"/>
      <c r="B354" s="53"/>
      <c r="C354" s="55"/>
      <c r="D354" s="53"/>
      <c r="E354" s="53"/>
      <c r="F354" s="149" t="s">
        <v>599</v>
      </c>
      <c r="G354" s="125"/>
      <c r="H354" s="125">
        <v>0</v>
      </c>
      <c r="I354" s="148">
        <v>2</v>
      </c>
      <c r="J354" s="148"/>
      <c r="K354" s="148">
        <v>2</v>
      </c>
      <c r="L354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63"/>
      <c r="AI354" s="64"/>
      <c r="AJ354" s="65"/>
      <c r="AK354" s="65"/>
      <c r="AL354" s="53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 s="62"/>
      <c r="BZ354" s="62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</row>
    <row r="355" spans="1:468" x14ac:dyDescent="0.35">
      <c r="A355" s="53"/>
      <c r="B355" s="53"/>
      <c r="C355" s="55"/>
      <c r="D355" s="53"/>
      <c r="E355" s="53"/>
      <c r="F355" s="149" t="s">
        <v>1267</v>
      </c>
      <c r="G355" s="125">
        <v>190.36</v>
      </c>
      <c r="H355" s="125">
        <v>17893.84</v>
      </c>
      <c r="I355" s="148">
        <v>94</v>
      </c>
      <c r="J355" s="148"/>
      <c r="K355" s="148">
        <v>94</v>
      </c>
      <c r="L355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63"/>
      <c r="AI355" s="64"/>
      <c r="AJ355" s="65"/>
      <c r="AK355" s="65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  <c r="BY355" s="53"/>
      <c r="BZ355" s="53"/>
    </row>
    <row r="356" spans="1:468" x14ac:dyDescent="0.35">
      <c r="A356" s="53"/>
      <c r="B356" s="53"/>
      <c r="C356" s="55"/>
      <c r="D356" s="53"/>
      <c r="E356" s="53"/>
      <c r="F356" s="149" t="s">
        <v>605</v>
      </c>
      <c r="G356" s="125">
        <v>324.52999999999997</v>
      </c>
      <c r="H356" s="125">
        <v>324.52999999999997</v>
      </c>
      <c r="I356" s="148">
        <v>1</v>
      </c>
      <c r="J356" s="148"/>
      <c r="K356" s="148">
        <v>1</v>
      </c>
      <c r="L356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63"/>
      <c r="AI356" s="64"/>
      <c r="AJ356" s="65"/>
      <c r="AK356" s="65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</row>
    <row r="357" spans="1:468" x14ac:dyDescent="0.35">
      <c r="A357" s="53"/>
      <c r="B357" s="53"/>
      <c r="C357" s="55"/>
      <c r="D357" s="53"/>
      <c r="E357" s="53"/>
      <c r="F357" s="149" t="s">
        <v>1243</v>
      </c>
      <c r="G357" s="125"/>
      <c r="H357" s="125">
        <v>0</v>
      </c>
      <c r="I357" s="148">
        <v>0</v>
      </c>
      <c r="J357" s="148"/>
      <c r="K357" s="148">
        <v>0</v>
      </c>
      <c r="L357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63"/>
      <c r="AI357" s="64"/>
      <c r="AJ357" s="65"/>
      <c r="AK357" s="65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</row>
    <row r="358" spans="1:468" x14ac:dyDescent="0.35">
      <c r="A358" s="53"/>
      <c r="B358" s="53"/>
      <c r="C358" s="55"/>
      <c r="D358" s="53"/>
      <c r="E358" s="53"/>
      <c r="F358" s="149" t="s">
        <v>607</v>
      </c>
      <c r="G358" s="125">
        <v>559.26</v>
      </c>
      <c r="H358" s="125">
        <v>559.26</v>
      </c>
      <c r="I358" s="148">
        <v>1</v>
      </c>
      <c r="J358" s="148"/>
      <c r="K358" s="148">
        <v>1</v>
      </c>
      <c r="L358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63"/>
      <c r="AI358" s="64"/>
      <c r="AJ358" s="65"/>
      <c r="AK358" s="65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</row>
    <row r="359" spans="1:468" x14ac:dyDescent="0.35">
      <c r="A359" s="53"/>
      <c r="B359" s="53"/>
      <c r="C359" s="55"/>
      <c r="D359" s="53"/>
      <c r="E359" s="53"/>
      <c r="F359" s="149" t="s">
        <v>609</v>
      </c>
      <c r="G359" s="125"/>
      <c r="H359" s="125">
        <v>0</v>
      </c>
      <c r="I359" s="148">
        <v>1</v>
      </c>
      <c r="J359" s="148"/>
      <c r="K359" s="148">
        <v>1</v>
      </c>
      <c r="L359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63"/>
      <c r="AI359" s="64"/>
      <c r="AJ359" s="65"/>
      <c r="AK359" s="65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</row>
    <row r="360" spans="1:468" x14ac:dyDescent="0.35">
      <c r="A360" s="53"/>
      <c r="B360" s="53"/>
      <c r="C360" s="55"/>
      <c r="D360" s="53"/>
      <c r="E360" s="53"/>
      <c r="F360" s="149" t="s">
        <v>611</v>
      </c>
      <c r="G360" s="125">
        <v>249</v>
      </c>
      <c r="H360" s="125">
        <v>0</v>
      </c>
      <c r="I360" s="148">
        <v>0</v>
      </c>
      <c r="J360" s="148"/>
      <c r="K360" s="148">
        <v>0</v>
      </c>
      <c r="L360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63"/>
      <c r="AI360" s="64"/>
      <c r="AJ360" s="65"/>
      <c r="AK360" s="65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</row>
    <row r="361" spans="1:468" x14ac:dyDescent="0.35">
      <c r="A361" s="53"/>
      <c r="B361" s="53"/>
      <c r="C361" s="55"/>
      <c r="D361" s="53"/>
      <c r="E361" s="53"/>
      <c r="F361" s="149" t="s">
        <v>613</v>
      </c>
      <c r="G361" s="125">
        <v>264.27</v>
      </c>
      <c r="H361" s="125">
        <v>2114.16</v>
      </c>
      <c r="I361" s="148">
        <v>8</v>
      </c>
      <c r="J361" s="148"/>
      <c r="K361" s="148">
        <v>8</v>
      </c>
      <c r="L361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63"/>
      <c r="AI361" s="64"/>
      <c r="AJ361" s="65"/>
      <c r="AK361" s="65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</row>
    <row r="362" spans="1:468" x14ac:dyDescent="0.35">
      <c r="A362" s="53"/>
      <c r="B362" s="53"/>
      <c r="C362" s="55"/>
      <c r="D362" s="53"/>
      <c r="E362" s="53"/>
      <c r="F362" s="149" t="s">
        <v>615</v>
      </c>
      <c r="G362" s="125">
        <v>392.16</v>
      </c>
      <c r="H362" s="125">
        <v>28235.52</v>
      </c>
      <c r="I362" s="148">
        <v>72</v>
      </c>
      <c r="J362" s="148">
        <v>72</v>
      </c>
      <c r="K362" s="148">
        <v>0</v>
      </c>
      <c r="L362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63"/>
      <c r="AI362" s="64"/>
      <c r="AJ362" s="65"/>
      <c r="AK362" s="65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</row>
    <row r="363" spans="1:468" x14ac:dyDescent="0.35">
      <c r="A363" s="53"/>
      <c r="B363" s="53"/>
      <c r="C363" s="55"/>
      <c r="D363" s="53"/>
      <c r="E363" s="53"/>
      <c r="F363" s="149" t="s">
        <v>1268</v>
      </c>
      <c r="G363" s="125"/>
      <c r="H363" s="125">
        <v>0</v>
      </c>
      <c r="I363" s="148">
        <v>0</v>
      </c>
      <c r="J363" s="148"/>
      <c r="K363" s="148">
        <v>0</v>
      </c>
      <c r="L36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63"/>
      <c r="AI363" s="64"/>
      <c r="AJ363" s="65"/>
      <c r="AK363" s="65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</row>
    <row r="364" spans="1:468" x14ac:dyDescent="0.35">
      <c r="A364" s="53"/>
      <c r="B364" s="53"/>
      <c r="C364" s="55"/>
      <c r="D364" s="53"/>
      <c r="E364" s="53"/>
      <c r="F364" s="149" t="s">
        <v>618</v>
      </c>
      <c r="G364" s="125">
        <v>350</v>
      </c>
      <c r="H364" s="125">
        <v>0</v>
      </c>
      <c r="I364" s="148">
        <v>0</v>
      </c>
      <c r="J364" s="148"/>
      <c r="K364" s="148">
        <v>0</v>
      </c>
      <c r="L364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63"/>
      <c r="AI364" s="64"/>
      <c r="AJ364" s="65"/>
      <c r="AK364" s="65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</row>
    <row r="365" spans="1:468" x14ac:dyDescent="0.35">
      <c r="A365" s="53"/>
      <c r="B365" s="53"/>
      <c r="C365" s="55"/>
      <c r="D365" s="53"/>
      <c r="E365" s="53"/>
      <c r="F365" s="149" t="s">
        <v>621</v>
      </c>
      <c r="G365" s="125"/>
      <c r="H365" s="125">
        <v>0</v>
      </c>
      <c r="I365" s="148">
        <v>1</v>
      </c>
      <c r="J365" s="148"/>
      <c r="K365" s="148">
        <v>1</v>
      </c>
      <c r="L365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63"/>
      <c r="AI365" s="64"/>
      <c r="AJ365" s="65"/>
      <c r="AK365" s="65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</row>
    <row r="366" spans="1:468" x14ac:dyDescent="0.35">
      <c r="A366" s="53"/>
      <c r="B366" s="53"/>
      <c r="C366" s="55"/>
      <c r="D366" s="53"/>
      <c r="E366" s="53"/>
      <c r="F366" s="149" t="s">
        <v>623</v>
      </c>
      <c r="G366" s="125">
        <v>724.8</v>
      </c>
      <c r="H366" s="125">
        <v>0</v>
      </c>
      <c r="I366" s="148">
        <v>0</v>
      </c>
      <c r="J366" s="148"/>
      <c r="K366" s="148">
        <v>0</v>
      </c>
      <c r="L366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63"/>
      <c r="AI366" s="64"/>
      <c r="AJ366" s="65"/>
      <c r="AK366" s="65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</row>
    <row r="367" spans="1:468" x14ac:dyDescent="0.35">
      <c r="A367" s="53"/>
      <c r="B367" s="53"/>
      <c r="C367" s="55"/>
      <c r="D367" s="53"/>
      <c r="E367" s="53"/>
      <c r="F367" s="149" t="s">
        <v>625</v>
      </c>
      <c r="G367" s="125">
        <v>525</v>
      </c>
      <c r="H367" s="125">
        <v>525</v>
      </c>
      <c r="I367" s="148">
        <v>1</v>
      </c>
      <c r="J367" s="148"/>
      <c r="K367" s="148">
        <v>1</v>
      </c>
      <c r="L367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63"/>
      <c r="AI367" s="64"/>
      <c r="AJ367" s="65"/>
      <c r="AK367" s="65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</row>
    <row r="368" spans="1:468" x14ac:dyDescent="0.35">
      <c r="A368" s="53"/>
      <c r="B368" s="53"/>
      <c r="C368" s="55"/>
      <c r="D368" s="53"/>
      <c r="E368" s="53"/>
      <c r="F368" s="149" t="s">
        <v>627</v>
      </c>
      <c r="G368" s="125">
        <v>433.49</v>
      </c>
      <c r="H368" s="125">
        <v>26876.38</v>
      </c>
      <c r="I368" s="148">
        <v>62</v>
      </c>
      <c r="J368" s="148">
        <v>33</v>
      </c>
      <c r="K368" s="148">
        <v>29</v>
      </c>
      <c r="L368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63"/>
      <c r="AI368" s="64"/>
      <c r="AJ368" s="65"/>
      <c r="AK368" s="65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</row>
    <row r="369" spans="1:78" x14ac:dyDescent="0.35">
      <c r="A369" s="53"/>
      <c r="B369" s="53"/>
      <c r="C369" s="55"/>
      <c r="D369" s="53"/>
      <c r="E369" s="53"/>
      <c r="F369" s="149" t="s">
        <v>630</v>
      </c>
      <c r="G369" s="125"/>
      <c r="H369" s="125">
        <v>0</v>
      </c>
      <c r="I369" s="148">
        <v>0</v>
      </c>
      <c r="J369" s="148"/>
      <c r="K369" s="148">
        <v>0</v>
      </c>
      <c r="L369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63"/>
      <c r="AI369" s="64"/>
      <c r="AJ369" s="65"/>
      <c r="AK369" s="65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</row>
    <row r="370" spans="1:78" x14ac:dyDescent="0.35">
      <c r="A370" s="53"/>
      <c r="B370" s="53"/>
      <c r="C370" s="55"/>
      <c r="D370" s="53"/>
      <c r="E370" s="53"/>
      <c r="F370" s="149" t="s">
        <v>633</v>
      </c>
      <c r="G370" s="125">
        <v>813.96</v>
      </c>
      <c r="H370" s="125">
        <v>0</v>
      </c>
      <c r="I370" s="148">
        <v>0</v>
      </c>
      <c r="J370" s="148"/>
      <c r="K370" s="148">
        <v>0</v>
      </c>
      <c r="L370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63"/>
      <c r="AI370" s="64"/>
      <c r="AJ370" s="65"/>
      <c r="AK370" s="65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</row>
    <row r="371" spans="1:78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48">
        <v>52</v>
      </c>
      <c r="J371" s="148">
        <v>52</v>
      </c>
      <c r="K371" s="148">
        <v>0</v>
      </c>
      <c r="L371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63"/>
      <c r="AI371" s="64"/>
      <c r="AJ371" s="65"/>
      <c r="AK371" s="65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  <c r="BY371" s="53"/>
      <c r="BZ371" s="53"/>
    </row>
    <row r="372" spans="1:78" x14ac:dyDescent="0.35">
      <c r="A372" s="53"/>
      <c r="B372" s="53"/>
      <c r="C372" s="55"/>
      <c r="D372" s="53"/>
      <c r="E372" s="53"/>
      <c r="F372" s="149" t="s">
        <v>637</v>
      </c>
      <c r="G372" s="150">
        <v>17</v>
      </c>
      <c r="H372" s="150">
        <v>0</v>
      </c>
      <c r="I372" s="151">
        <v>0</v>
      </c>
      <c r="J372" s="151"/>
      <c r="K372" s="151">
        <v>0</v>
      </c>
      <c r="L372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63"/>
      <c r="AI372" s="64"/>
      <c r="AJ372" s="65"/>
      <c r="AK372" s="65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</row>
    <row r="373" spans="1:78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48">
        <v>7</v>
      </c>
      <c r="J373" s="148"/>
      <c r="K373" s="148">
        <v>7</v>
      </c>
      <c r="L37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63"/>
      <c r="AI373" s="64"/>
      <c r="AJ373" s="65"/>
      <c r="AK373" s="65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</row>
    <row r="374" spans="1:78" x14ac:dyDescent="0.35">
      <c r="A374" s="53"/>
      <c r="B374" s="53"/>
      <c r="C374" s="55"/>
      <c r="D374" s="53"/>
      <c r="E374" s="53"/>
      <c r="F374" s="149" t="s">
        <v>1352</v>
      </c>
      <c r="G374" s="125">
        <v>200</v>
      </c>
      <c r="H374" s="125">
        <v>400</v>
      </c>
      <c r="I374" s="148">
        <v>2</v>
      </c>
      <c r="J374" s="148"/>
      <c r="K374" s="148">
        <v>2</v>
      </c>
      <c r="L374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63"/>
      <c r="AI374" s="64"/>
      <c r="AJ374" s="65"/>
      <c r="AK374" s="65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</row>
    <row r="375" spans="1:78" x14ac:dyDescent="0.35">
      <c r="A375" s="53"/>
      <c r="B375" s="53"/>
      <c r="C375" s="55"/>
      <c r="D375" s="53"/>
      <c r="E375" s="53"/>
      <c r="F375" s="149" t="s">
        <v>1171</v>
      </c>
      <c r="G375" s="125">
        <v>207.53</v>
      </c>
      <c r="H375" s="125">
        <v>0</v>
      </c>
      <c r="I375" s="148">
        <v>0</v>
      </c>
      <c r="J375" s="148"/>
      <c r="K375" s="148">
        <v>0</v>
      </c>
      <c r="L375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63"/>
      <c r="AI375" s="64"/>
      <c r="AJ375" s="65"/>
      <c r="AK375" s="65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</row>
    <row r="376" spans="1:78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48">
        <v>257</v>
      </c>
      <c r="J376" s="148"/>
      <c r="K376" s="148">
        <v>257</v>
      </c>
      <c r="L376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63"/>
      <c r="AI376" s="64"/>
      <c r="AJ376" s="65"/>
      <c r="AK376" s="65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</row>
    <row r="377" spans="1:78" x14ac:dyDescent="0.35">
      <c r="A377" s="53"/>
      <c r="B377" s="53"/>
      <c r="C377" s="55"/>
      <c r="D377" s="53"/>
      <c r="E377" s="53"/>
      <c r="F377" s="149" t="s">
        <v>639</v>
      </c>
      <c r="G377" s="125">
        <v>460</v>
      </c>
      <c r="H377" s="125">
        <v>0</v>
      </c>
      <c r="I377" s="148">
        <v>0</v>
      </c>
      <c r="J377" s="148"/>
      <c r="K377" s="148">
        <v>0</v>
      </c>
      <c r="L377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63"/>
      <c r="AI377" s="64"/>
      <c r="AJ377" s="65"/>
      <c r="AK377" s="65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</row>
    <row r="378" spans="1:78" x14ac:dyDescent="0.35">
      <c r="A378" s="53"/>
      <c r="B378" s="53"/>
      <c r="C378" s="55"/>
      <c r="D378" s="53"/>
      <c r="E378" s="53"/>
      <c r="F378" s="149" t="s">
        <v>1172</v>
      </c>
      <c r="G378" s="125">
        <v>395</v>
      </c>
      <c r="H378" s="125">
        <v>395</v>
      </c>
      <c r="I378" s="148">
        <v>1</v>
      </c>
      <c r="J378" s="148"/>
      <c r="K378" s="148">
        <v>1</v>
      </c>
      <c r="L378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63"/>
      <c r="AI378" s="64"/>
      <c r="AJ378" s="65"/>
      <c r="AK378" s="65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</row>
    <row r="379" spans="1:78" x14ac:dyDescent="0.35">
      <c r="A379" s="53"/>
      <c r="B379" s="53"/>
      <c r="C379" s="55"/>
      <c r="D379" s="53"/>
      <c r="E379" s="53"/>
      <c r="F379" s="149" t="s">
        <v>641</v>
      </c>
      <c r="G379" s="125"/>
      <c r="H379" s="125">
        <v>0</v>
      </c>
      <c r="I379" s="148">
        <v>0</v>
      </c>
      <c r="J379" s="148"/>
      <c r="K379" s="148">
        <v>0</v>
      </c>
      <c r="L379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63"/>
      <c r="AI379" s="64"/>
      <c r="AJ379" s="65"/>
      <c r="AK379" s="65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</row>
    <row r="380" spans="1:78" x14ac:dyDescent="0.35">
      <c r="A380" s="53"/>
      <c r="B380" s="53"/>
      <c r="C380" s="55"/>
      <c r="D380" s="53"/>
      <c r="E380" s="53"/>
      <c r="F380" s="149" t="s">
        <v>1266</v>
      </c>
      <c r="G380" s="125">
        <v>80.739999999999995</v>
      </c>
      <c r="H380" s="125">
        <v>161.47999999999999</v>
      </c>
      <c r="I380" s="148">
        <v>2</v>
      </c>
      <c r="J380" s="148"/>
      <c r="K380" s="148">
        <v>2</v>
      </c>
      <c r="L380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63"/>
      <c r="AI380" s="64"/>
      <c r="AJ380" s="65"/>
      <c r="AK380" s="65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</row>
    <row r="381" spans="1:78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48">
        <v>2</v>
      </c>
      <c r="J381" s="148"/>
      <c r="K381" s="148">
        <v>2</v>
      </c>
      <c r="L381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63"/>
      <c r="AI381" s="64"/>
      <c r="AJ381" s="65"/>
      <c r="AK381" s="65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</row>
    <row r="382" spans="1:78" x14ac:dyDescent="0.35">
      <c r="A382" s="53"/>
      <c r="B382" s="53"/>
      <c r="C382" s="55"/>
      <c r="D382" s="53"/>
      <c r="E382" s="53"/>
      <c r="F382" s="149" t="s">
        <v>643</v>
      </c>
      <c r="G382" s="125"/>
      <c r="H382" s="125">
        <v>0</v>
      </c>
      <c r="I382" s="148">
        <v>1</v>
      </c>
      <c r="J382" s="148"/>
      <c r="K382" s="148">
        <v>1</v>
      </c>
      <c r="L382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63"/>
      <c r="AI382" s="64"/>
      <c r="AJ382" s="65"/>
      <c r="AK382" s="65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</row>
    <row r="383" spans="1:78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48">
        <v>0</v>
      </c>
      <c r="J383" s="148"/>
      <c r="K383" s="148">
        <v>0</v>
      </c>
      <c r="L38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63"/>
      <c r="AI383" s="64"/>
      <c r="AJ383" s="65"/>
      <c r="AK383" s="65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</row>
    <row r="384" spans="1:78" x14ac:dyDescent="0.35">
      <c r="A384" s="53"/>
      <c r="B384" s="53"/>
      <c r="C384" s="55"/>
      <c r="D384" s="53"/>
      <c r="E384" s="53"/>
      <c r="F384" s="149" t="s">
        <v>648</v>
      </c>
      <c r="G384" s="125">
        <v>530</v>
      </c>
      <c r="H384" s="125">
        <v>0</v>
      </c>
      <c r="I384" s="148">
        <v>0</v>
      </c>
      <c r="J384" s="148"/>
      <c r="K384" s="148">
        <v>0</v>
      </c>
      <c r="L384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63"/>
      <c r="AI384" s="64"/>
      <c r="AJ384" s="65"/>
      <c r="AK384" s="65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</row>
    <row r="385" spans="1:78" x14ac:dyDescent="0.35">
      <c r="A385" s="53"/>
      <c r="B385" s="53"/>
      <c r="C385" s="55"/>
      <c r="D385" s="53"/>
      <c r="E385" s="53"/>
      <c r="F385" s="149" t="s">
        <v>645</v>
      </c>
      <c r="G385" s="125">
        <v>1775</v>
      </c>
      <c r="H385" s="125">
        <v>1775</v>
      </c>
      <c r="I385" s="148">
        <v>1</v>
      </c>
      <c r="J385" s="148"/>
      <c r="K385" s="148">
        <v>1</v>
      </c>
      <c r="L385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63"/>
      <c r="AI385" s="64"/>
      <c r="AJ385" s="65"/>
      <c r="AK385" s="65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</row>
    <row r="386" spans="1:78" x14ac:dyDescent="0.35">
      <c r="A386" s="53"/>
      <c r="B386" s="53"/>
      <c r="C386" s="55"/>
      <c r="D386" s="53"/>
      <c r="E386" s="53"/>
      <c r="F386" s="149" t="s">
        <v>650</v>
      </c>
      <c r="G386" s="125">
        <v>875.72</v>
      </c>
      <c r="H386" s="125">
        <v>0</v>
      </c>
      <c r="I386" s="148">
        <v>0</v>
      </c>
      <c r="J386" s="148"/>
      <c r="K386" s="148">
        <v>0</v>
      </c>
      <c r="L386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63"/>
      <c r="AI386" s="64"/>
      <c r="AJ386" s="65"/>
      <c r="AK386" s="65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</row>
    <row r="387" spans="1:78" x14ac:dyDescent="0.35">
      <c r="A387" s="53"/>
      <c r="B387" s="53"/>
      <c r="C387" s="55"/>
      <c r="D387" s="53"/>
      <c r="E387" s="53"/>
      <c r="F387" s="149" t="s">
        <v>1269</v>
      </c>
      <c r="G387" s="125"/>
      <c r="H387" s="125">
        <v>0</v>
      </c>
      <c r="I387" s="148">
        <v>0</v>
      </c>
      <c r="J387" s="148"/>
      <c r="K387" s="148">
        <v>0</v>
      </c>
      <c r="L387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63"/>
      <c r="AI387" s="64"/>
      <c r="AJ387" s="65"/>
      <c r="AK387" s="65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  <c r="BY387" s="53"/>
      <c r="BZ387" s="53"/>
    </row>
    <row r="388" spans="1:78" x14ac:dyDescent="0.35">
      <c r="A388" s="53"/>
      <c r="B388" s="53"/>
      <c r="C388" s="55"/>
      <c r="D388" s="53"/>
      <c r="E388" s="53"/>
      <c r="F388" s="149" t="s">
        <v>653</v>
      </c>
      <c r="G388" s="125">
        <v>975</v>
      </c>
      <c r="H388" s="125">
        <v>0</v>
      </c>
      <c r="I388" s="148">
        <v>0</v>
      </c>
      <c r="J388" s="148"/>
      <c r="K388" s="148">
        <v>0</v>
      </c>
      <c r="L388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63"/>
      <c r="AI388" s="64"/>
      <c r="AJ388" s="65"/>
      <c r="AK388" s="65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</row>
    <row r="389" spans="1:78" x14ac:dyDescent="0.35">
      <c r="A389" s="53"/>
      <c r="B389" s="53"/>
      <c r="C389" s="55"/>
      <c r="D389" s="53"/>
      <c r="E389" s="53"/>
      <c r="F389" s="149" t="s">
        <v>656</v>
      </c>
      <c r="G389" s="125"/>
      <c r="H389" s="125">
        <v>0</v>
      </c>
      <c r="I389" s="148">
        <v>0</v>
      </c>
      <c r="J389" s="148"/>
      <c r="K389" s="148">
        <v>0</v>
      </c>
      <c r="L389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63"/>
      <c r="AI389" s="64"/>
      <c r="AJ389" s="65"/>
      <c r="AK389" s="65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</row>
    <row r="390" spans="1:78" x14ac:dyDescent="0.35">
      <c r="A390" s="53"/>
      <c r="B390" s="53"/>
      <c r="C390" s="55"/>
      <c r="D390" s="53"/>
      <c r="E390" s="53"/>
      <c r="F390" s="149" t="s">
        <v>660</v>
      </c>
      <c r="G390" s="125">
        <v>1323</v>
      </c>
      <c r="H390" s="125">
        <v>0</v>
      </c>
      <c r="I390" s="148">
        <v>0</v>
      </c>
      <c r="J390" s="148"/>
      <c r="K390" s="148">
        <v>0</v>
      </c>
      <c r="L390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63"/>
      <c r="AI390" s="64"/>
      <c r="AJ390" s="65"/>
      <c r="AK390" s="65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</row>
    <row r="391" spans="1:78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48">
        <v>0</v>
      </c>
      <c r="J391" s="148"/>
      <c r="K391" s="148">
        <v>0</v>
      </c>
      <c r="L391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63"/>
      <c r="AI391" s="64"/>
      <c r="AJ391" s="65"/>
      <c r="AK391" s="65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</row>
    <row r="392" spans="1:78" x14ac:dyDescent="0.35">
      <c r="A392" s="53"/>
      <c r="B392" s="53"/>
      <c r="C392" s="55"/>
      <c r="D392" s="53"/>
      <c r="E392" s="53"/>
      <c r="F392" s="149" t="s">
        <v>666</v>
      </c>
      <c r="G392" s="125"/>
      <c r="H392" s="125">
        <v>0</v>
      </c>
      <c r="I392" s="148">
        <v>0</v>
      </c>
      <c r="J392" s="148"/>
      <c r="K392" s="148">
        <v>0</v>
      </c>
      <c r="L392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63"/>
      <c r="AI392" s="64"/>
      <c r="AJ392" s="65"/>
      <c r="AK392" s="65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</row>
    <row r="393" spans="1:78" x14ac:dyDescent="0.35">
      <c r="A393" s="53"/>
      <c r="B393" s="53"/>
      <c r="C393" s="55"/>
      <c r="D393" s="53"/>
      <c r="E393" s="53"/>
      <c r="F393" s="149" t="s">
        <v>663</v>
      </c>
      <c r="G393" s="125">
        <v>1348</v>
      </c>
      <c r="H393" s="125">
        <v>0</v>
      </c>
      <c r="I393" s="148">
        <v>0</v>
      </c>
      <c r="J393" s="148"/>
      <c r="K393" s="148">
        <v>0</v>
      </c>
      <c r="L39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63"/>
      <c r="AI393" s="64"/>
      <c r="AJ393" s="65"/>
      <c r="AK393" s="65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</row>
    <row r="394" spans="1:78" x14ac:dyDescent="0.35">
      <c r="A394" s="53"/>
      <c r="B394" s="53"/>
      <c r="C394" s="55"/>
      <c r="D394" s="53"/>
      <c r="E394" s="53"/>
      <c r="F394" s="149" t="s">
        <v>668</v>
      </c>
      <c r="G394" s="125">
        <v>3000</v>
      </c>
      <c r="H394" s="125">
        <v>12000</v>
      </c>
      <c r="I394" s="148">
        <v>4</v>
      </c>
      <c r="J394" s="148"/>
      <c r="K394" s="148">
        <v>4</v>
      </c>
      <c r="L394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63"/>
      <c r="AI394" s="64"/>
      <c r="AJ394" s="65"/>
      <c r="AK394" s="65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</row>
    <row r="395" spans="1:78" x14ac:dyDescent="0.35">
      <c r="A395" s="53"/>
      <c r="B395" s="53"/>
      <c r="C395" s="55"/>
      <c r="D395" s="53"/>
      <c r="E395" s="53"/>
      <c r="F395" s="149" t="s">
        <v>1173</v>
      </c>
      <c r="G395" s="125">
        <v>1094.81</v>
      </c>
      <c r="H395" s="125">
        <v>0</v>
      </c>
      <c r="I395" s="148">
        <v>0</v>
      </c>
      <c r="J395" s="148"/>
      <c r="K395" s="148">
        <v>0</v>
      </c>
      <c r="L395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63"/>
      <c r="AI395" s="64"/>
      <c r="AJ395" s="65"/>
      <c r="AK395" s="65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</row>
    <row r="396" spans="1:78" x14ac:dyDescent="0.35">
      <c r="A396" s="53"/>
      <c r="B396" s="53"/>
      <c r="C396" s="55"/>
      <c r="D396" s="53"/>
      <c r="E396" s="53"/>
      <c r="F396" s="149" t="s">
        <v>1174</v>
      </c>
      <c r="G396" s="125"/>
      <c r="H396" s="125">
        <v>0</v>
      </c>
      <c r="I396" s="148">
        <v>0</v>
      </c>
      <c r="J396" s="148"/>
      <c r="K396" s="148">
        <v>0</v>
      </c>
      <c r="L396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63"/>
      <c r="AI396" s="64"/>
      <c r="AJ396" s="65"/>
      <c r="AK396" s="65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</row>
    <row r="397" spans="1:78" x14ac:dyDescent="0.35">
      <c r="A397" s="53"/>
      <c r="B397" s="53"/>
      <c r="C397" s="55"/>
      <c r="D397" s="53"/>
      <c r="E397" s="53"/>
      <c r="F397" s="149" t="s">
        <v>670</v>
      </c>
      <c r="G397" s="125">
        <v>5138.74</v>
      </c>
      <c r="H397" s="125">
        <v>0</v>
      </c>
      <c r="I397" s="148">
        <v>0</v>
      </c>
      <c r="J397" s="148"/>
      <c r="K397" s="148">
        <v>0</v>
      </c>
      <c r="L397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63"/>
      <c r="AI397" s="64"/>
      <c r="AJ397" s="65"/>
      <c r="AK397" s="65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</row>
    <row r="398" spans="1:78" x14ac:dyDescent="0.35">
      <c r="A398" s="53"/>
      <c r="B398" s="53"/>
      <c r="C398" s="55"/>
      <c r="D398" s="53"/>
      <c r="E398" s="53"/>
      <c r="F398" s="149" t="s">
        <v>1175</v>
      </c>
      <c r="G398" s="125">
        <v>3961.71</v>
      </c>
      <c r="H398" s="125">
        <v>7923.42</v>
      </c>
      <c r="I398" s="148">
        <v>2</v>
      </c>
      <c r="J398" s="148"/>
      <c r="K398" s="148">
        <v>2</v>
      </c>
      <c r="L398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63"/>
      <c r="AI398" s="64"/>
      <c r="AJ398" s="65"/>
      <c r="AK398" s="65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</row>
    <row r="399" spans="1:78" x14ac:dyDescent="0.35">
      <c r="A399" s="53"/>
      <c r="B399" s="53"/>
      <c r="C399" s="55"/>
      <c r="D399" s="53"/>
      <c r="E399" s="53"/>
      <c r="F399" s="149" t="s">
        <v>672</v>
      </c>
      <c r="G399" s="125"/>
      <c r="H399" s="125">
        <v>0</v>
      </c>
      <c r="I399" s="148">
        <v>0</v>
      </c>
      <c r="J399" s="148"/>
      <c r="K399" s="148">
        <v>0</v>
      </c>
      <c r="L399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63"/>
      <c r="AI399" s="64"/>
      <c r="AJ399" s="65"/>
      <c r="AK399" s="65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</row>
    <row r="400" spans="1:78" x14ac:dyDescent="0.35">
      <c r="A400" s="53"/>
      <c r="B400" s="53"/>
      <c r="C400" s="55"/>
      <c r="D400" s="53"/>
      <c r="E400" s="53"/>
      <c r="F400" s="149" t="s">
        <v>675</v>
      </c>
      <c r="G400" s="125"/>
      <c r="H400" s="125">
        <v>0</v>
      </c>
      <c r="I400" s="148">
        <v>0</v>
      </c>
      <c r="J400" s="148"/>
      <c r="K400" s="148">
        <v>0</v>
      </c>
      <c r="L400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63"/>
      <c r="AI400" s="64"/>
      <c r="AJ400" s="65"/>
      <c r="AK400" s="65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</row>
    <row r="401" spans="1:78" x14ac:dyDescent="0.35">
      <c r="A401" s="53"/>
      <c r="B401" s="53"/>
      <c r="C401" s="55"/>
      <c r="D401" s="53"/>
      <c r="E401" s="53"/>
      <c r="F401" s="149" t="s">
        <v>1176</v>
      </c>
      <c r="G401" s="125">
        <v>711.31</v>
      </c>
      <c r="H401" s="125">
        <v>711.31</v>
      </c>
      <c r="I401" s="148">
        <v>1</v>
      </c>
      <c r="J401" s="148"/>
      <c r="K401" s="148">
        <v>1</v>
      </c>
      <c r="L401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63"/>
      <c r="AI401" s="64"/>
      <c r="AJ401" s="65"/>
      <c r="AK401" s="65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</row>
    <row r="402" spans="1:78" x14ac:dyDescent="0.35">
      <c r="A402" s="53"/>
      <c r="B402" s="53"/>
      <c r="C402" s="55"/>
      <c r="D402" s="53"/>
      <c r="E402" s="53"/>
      <c r="F402" s="149" t="s">
        <v>1270</v>
      </c>
      <c r="G402" s="125">
        <v>1692.44</v>
      </c>
      <c r="H402" s="125">
        <v>5077.32</v>
      </c>
      <c r="I402" s="148">
        <v>3</v>
      </c>
      <c r="J402" s="148"/>
      <c r="K402" s="148">
        <v>3</v>
      </c>
      <c r="L402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63"/>
      <c r="AI402" s="64"/>
      <c r="AJ402" s="65"/>
      <c r="AK402" s="65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</row>
    <row r="403" spans="1:78" x14ac:dyDescent="0.35">
      <c r="A403" s="53"/>
      <c r="B403" s="53"/>
      <c r="C403" s="55"/>
      <c r="D403" s="53"/>
      <c r="E403" s="53"/>
      <c r="F403" s="149" t="s">
        <v>677</v>
      </c>
      <c r="G403" s="125"/>
      <c r="H403" s="125">
        <v>0</v>
      </c>
      <c r="I403" s="148">
        <v>0</v>
      </c>
      <c r="J403" s="148"/>
      <c r="K403" s="148">
        <v>0</v>
      </c>
      <c r="L40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63"/>
      <c r="AI403" s="64"/>
      <c r="AJ403" s="65"/>
      <c r="AK403" s="65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  <c r="BY403" s="53"/>
      <c r="BZ403" s="53"/>
    </row>
    <row r="404" spans="1:78" x14ac:dyDescent="0.35">
      <c r="A404" s="53"/>
      <c r="B404" s="53"/>
      <c r="C404" s="55"/>
      <c r="D404" s="53"/>
      <c r="E404" s="53"/>
      <c r="F404" s="149" t="s">
        <v>1177</v>
      </c>
      <c r="G404" s="125">
        <v>1030.18</v>
      </c>
      <c r="H404" s="125">
        <v>0</v>
      </c>
      <c r="I404" s="148">
        <v>0</v>
      </c>
      <c r="J404" s="148"/>
      <c r="K404" s="148">
        <v>0</v>
      </c>
      <c r="L404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63"/>
      <c r="AI404" s="64"/>
      <c r="AJ404" s="65"/>
      <c r="AK404" s="65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</row>
    <row r="405" spans="1:78" x14ac:dyDescent="0.35">
      <c r="A405" s="53"/>
      <c r="B405" s="53"/>
      <c r="C405" s="55"/>
      <c r="D405" s="53"/>
      <c r="E405" s="53"/>
      <c r="F405" s="149" t="s">
        <v>1271</v>
      </c>
      <c r="G405" s="125"/>
      <c r="H405" s="125">
        <v>0</v>
      </c>
      <c r="I405" s="148">
        <v>0</v>
      </c>
      <c r="J405" s="148"/>
      <c r="K405" s="148">
        <v>0</v>
      </c>
      <c r="L405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63"/>
      <c r="AI405" s="64"/>
      <c r="AJ405" s="65"/>
      <c r="AK405" s="65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</row>
    <row r="406" spans="1:78" x14ac:dyDescent="0.35">
      <c r="A406" s="53"/>
      <c r="B406" s="53"/>
      <c r="C406" s="55"/>
      <c r="D406" s="53"/>
      <c r="E406" s="53"/>
      <c r="F406" s="149" t="s">
        <v>679</v>
      </c>
      <c r="G406" s="125">
        <v>1843.48</v>
      </c>
      <c r="H406" s="125">
        <v>0</v>
      </c>
      <c r="I406" s="148">
        <v>0</v>
      </c>
      <c r="J406" s="148"/>
      <c r="K406" s="148">
        <v>0</v>
      </c>
      <c r="L406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63"/>
      <c r="AI406" s="64"/>
      <c r="AJ406" s="65"/>
      <c r="AK406" s="65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</row>
    <row r="407" spans="1:78" x14ac:dyDescent="0.35">
      <c r="A407" s="53"/>
      <c r="B407" s="53"/>
      <c r="C407" s="55"/>
      <c r="D407" s="53"/>
      <c r="E407" s="53"/>
      <c r="F407" s="149" t="s">
        <v>681</v>
      </c>
      <c r="G407" s="125">
        <v>1833</v>
      </c>
      <c r="H407" s="125">
        <v>10998</v>
      </c>
      <c r="I407" s="148">
        <v>6</v>
      </c>
      <c r="J407" s="148"/>
      <c r="K407" s="148">
        <v>6</v>
      </c>
      <c r="L407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63"/>
      <c r="AI407" s="64"/>
      <c r="AJ407" s="65"/>
      <c r="AK407" s="65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</row>
    <row r="408" spans="1:78" x14ac:dyDescent="0.35">
      <c r="A408" s="53"/>
      <c r="B408" s="53"/>
      <c r="C408" s="55"/>
      <c r="D408" s="53"/>
      <c r="E408" s="53"/>
      <c r="F408" s="149" t="s">
        <v>684</v>
      </c>
      <c r="G408" s="125">
        <v>2782.61</v>
      </c>
      <c r="H408" s="125">
        <v>19478.27</v>
      </c>
      <c r="I408" s="148">
        <v>7</v>
      </c>
      <c r="J408" s="148"/>
      <c r="K408" s="148">
        <v>7</v>
      </c>
      <c r="L408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63"/>
      <c r="AI408" s="64"/>
      <c r="AJ408" s="65"/>
      <c r="AK408" s="65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</row>
    <row r="409" spans="1:78" x14ac:dyDescent="0.35">
      <c r="A409" s="53"/>
      <c r="B409" s="53"/>
      <c r="C409" s="55"/>
      <c r="D409" s="53"/>
      <c r="E409" s="53"/>
      <c r="F409" s="149" t="s">
        <v>686</v>
      </c>
      <c r="G409" s="125"/>
      <c r="H409" s="125">
        <v>0</v>
      </c>
      <c r="I409" s="148">
        <v>0</v>
      </c>
      <c r="J409" s="148"/>
      <c r="K409" s="148">
        <v>0</v>
      </c>
      <c r="L409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63"/>
      <c r="AI409" s="64"/>
      <c r="AJ409" s="65"/>
      <c r="AK409" s="65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</row>
    <row r="410" spans="1:78" x14ac:dyDescent="0.35">
      <c r="A410" s="53"/>
      <c r="B410" s="53"/>
      <c r="C410" s="55"/>
      <c r="D410" s="53"/>
      <c r="E410" s="53"/>
      <c r="F410" s="149" t="s">
        <v>1170</v>
      </c>
      <c r="G410" s="125">
        <v>122.16</v>
      </c>
      <c r="H410" s="125">
        <v>244.32</v>
      </c>
      <c r="I410" s="148">
        <v>2</v>
      </c>
      <c r="J410" s="148"/>
      <c r="K410" s="148">
        <v>2</v>
      </c>
      <c r="L410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63"/>
      <c r="AI410" s="64"/>
      <c r="AJ410" s="65"/>
      <c r="AK410" s="65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</row>
    <row r="411" spans="1:78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48">
        <v>0</v>
      </c>
      <c r="J411" s="148"/>
      <c r="K411" s="148">
        <v>0</v>
      </c>
      <c r="L411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63"/>
      <c r="AI411" s="64"/>
      <c r="AJ411" s="65"/>
      <c r="AK411" s="65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</row>
    <row r="412" spans="1:78" x14ac:dyDescent="0.35">
      <c r="A412" s="53"/>
      <c r="B412" s="53"/>
      <c r="C412" s="55"/>
      <c r="D412" s="53"/>
      <c r="E412" s="53"/>
      <c r="F412" s="149" t="s">
        <v>603</v>
      </c>
      <c r="G412" s="125"/>
      <c r="H412" s="125">
        <v>0</v>
      </c>
      <c r="I412" s="148">
        <v>0</v>
      </c>
      <c r="J412" s="148"/>
      <c r="K412" s="148">
        <v>0</v>
      </c>
      <c r="L412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63"/>
      <c r="AI412" s="64"/>
      <c r="AJ412" s="65"/>
      <c r="AK412" s="65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</row>
    <row r="413" spans="1:78" x14ac:dyDescent="0.35">
      <c r="A413" s="53"/>
      <c r="B413" s="53"/>
      <c r="C413" s="55"/>
      <c r="D413" s="53"/>
      <c r="E413" s="53"/>
      <c r="F413" s="149" t="s">
        <v>690</v>
      </c>
      <c r="G413" s="125">
        <v>12.78</v>
      </c>
      <c r="H413" s="125">
        <v>63.9</v>
      </c>
      <c r="I413" s="148">
        <v>5</v>
      </c>
      <c r="J413" s="148"/>
      <c r="K413" s="148">
        <v>5</v>
      </c>
      <c r="L41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63"/>
      <c r="AI413" s="64"/>
      <c r="AJ413" s="65"/>
      <c r="AK413" s="65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</row>
    <row r="414" spans="1:78" x14ac:dyDescent="0.35">
      <c r="A414" s="53"/>
      <c r="B414" s="53"/>
      <c r="C414" s="55"/>
      <c r="D414" s="53"/>
      <c r="E414" s="53"/>
      <c r="F414" s="149" t="s">
        <v>1353</v>
      </c>
      <c r="G414" s="125"/>
      <c r="H414" s="125">
        <v>0</v>
      </c>
      <c r="I414" s="148">
        <v>0</v>
      </c>
      <c r="J414" s="148"/>
      <c r="K414" s="148">
        <v>0</v>
      </c>
      <c r="L414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63"/>
      <c r="AI414" s="64"/>
      <c r="AJ414" s="65"/>
      <c r="AK414" s="65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</row>
    <row r="415" spans="1:78" x14ac:dyDescent="0.35">
      <c r="A415" s="53"/>
      <c r="B415" s="53"/>
      <c r="C415" s="55"/>
      <c r="D415" s="53"/>
      <c r="E415" s="53"/>
      <c r="F415" s="149" t="s">
        <v>1337</v>
      </c>
      <c r="G415" s="125"/>
      <c r="H415" s="125">
        <v>0</v>
      </c>
      <c r="I415" s="148">
        <v>0</v>
      </c>
      <c r="J415" s="148"/>
      <c r="K415" s="148">
        <v>0</v>
      </c>
      <c r="L415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63"/>
      <c r="AI415" s="64"/>
      <c r="AJ415" s="65"/>
      <c r="AK415" s="65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</row>
    <row r="416" spans="1:78" x14ac:dyDescent="0.35">
      <c r="A416" s="53"/>
      <c r="B416" s="53"/>
      <c r="C416" s="55"/>
      <c r="D416" s="53"/>
      <c r="E416" s="53"/>
      <c r="F416" s="149" t="s">
        <v>1338</v>
      </c>
      <c r="G416" s="125">
        <v>5125.82</v>
      </c>
      <c r="H416" s="125">
        <v>10251.64</v>
      </c>
      <c r="I416" s="148">
        <v>2</v>
      </c>
      <c r="J416" s="148"/>
      <c r="K416" s="148">
        <v>2</v>
      </c>
      <c r="L416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63"/>
      <c r="AI416" s="64"/>
      <c r="AJ416" s="65"/>
      <c r="AK416" s="65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</row>
    <row r="417" spans="1:78" x14ac:dyDescent="0.35">
      <c r="A417" s="53"/>
      <c r="B417" s="53"/>
      <c r="C417" s="55"/>
      <c r="D417" s="53"/>
      <c r="E417" s="53"/>
      <c r="F417" s="149" t="s">
        <v>1169</v>
      </c>
      <c r="G417" s="125"/>
      <c r="H417" s="125">
        <v>0</v>
      </c>
      <c r="I417" s="148">
        <v>0</v>
      </c>
      <c r="J417" s="148"/>
      <c r="K417" s="148">
        <v>0</v>
      </c>
      <c r="L417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63"/>
      <c r="AI417" s="64"/>
      <c r="AJ417" s="65"/>
      <c r="AK417" s="65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</row>
    <row r="418" spans="1:78" x14ac:dyDescent="0.35">
      <c r="A418" s="53"/>
      <c r="B418" s="53"/>
      <c r="C418" s="55"/>
      <c r="D418" s="53"/>
      <c r="E418" s="53"/>
      <c r="F418" s="149" t="s">
        <v>693</v>
      </c>
      <c r="G418" s="125">
        <v>458.22</v>
      </c>
      <c r="H418" s="125">
        <v>916.44</v>
      </c>
      <c r="I418" s="148">
        <v>2</v>
      </c>
      <c r="J418" s="148"/>
      <c r="K418" s="148">
        <v>2</v>
      </c>
      <c r="L418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63"/>
      <c r="AI418" s="64"/>
      <c r="AJ418" s="65"/>
      <c r="AK418" s="65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</row>
    <row r="419" spans="1:78" x14ac:dyDescent="0.35">
      <c r="A419" s="53"/>
      <c r="B419" s="53"/>
      <c r="C419" s="55"/>
      <c r="D419" s="53"/>
      <c r="E419" s="53"/>
      <c r="F419" s="149" t="s">
        <v>600</v>
      </c>
      <c r="G419" s="125">
        <v>205</v>
      </c>
      <c r="H419" s="125">
        <v>0</v>
      </c>
      <c r="I419" s="148">
        <v>0</v>
      </c>
      <c r="J419" s="148"/>
      <c r="K419" s="148">
        <v>0</v>
      </c>
      <c r="L419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63"/>
      <c r="AI419" s="64"/>
      <c r="AJ419" s="65"/>
      <c r="AK419" s="65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  <c r="BY419" s="53"/>
      <c r="BZ419" s="53"/>
    </row>
    <row r="420" spans="1:78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48">
        <v>150</v>
      </c>
      <c r="J420" s="148"/>
      <c r="K420" s="148">
        <v>150</v>
      </c>
      <c r="L420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63"/>
      <c r="AI420" s="64"/>
      <c r="AJ420" s="65"/>
      <c r="AK420" s="65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</row>
    <row r="421" spans="1:78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48">
        <v>1</v>
      </c>
      <c r="J421" s="148"/>
      <c r="K421" s="148">
        <v>1</v>
      </c>
      <c r="L421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63"/>
      <c r="AI421" s="64"/>
      <c r="AJ421" s="65"/>
      <c r="AK421" s="65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</row>
    <row r="422" spans="1:78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48">
        <v>1</v>
      </c>
      <c r="J422" s="148"/>
      <c r="K422" s="148">
        <v>1</v>
      </c>
      <c r="L422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63"/>
      <c r="AI422" s="64"/>
      <c r="AJ422" s="65"/>
      <c r="AK422" s="65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</row>
    <row r="423" spans="1:78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48">
        <v>0</v>
      </c>
      <c r="J423" s="148"/>
      <c r="K423" s="148">
        <v>0</v>
      </c>
      <c r="L42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63"/>
      <c r="AI423" s="64"/>
      <c r="AJ423" s="65"/>
      <c r="AK423" s="65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</row>
    <row r="424" spans="1:78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48">
        <v>0</v>
      </c>
      <c r="J424" s="148"/>
      <c r="K424" s="148">
        <v>0</v>
      </c>
      <c r="L424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63"/>
      <c r="AI424" s="64"/>
      <c r="AJ424" s="65"/>
      <c r="AK424" s="65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</row>
    <row r="425" spans="1:78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48">
        <v>0</v>
      </c>
      <c r="J425" s="148"/>
      <c r="K425" s="148">
        <v>0</v>
      </c>
      <c r="L425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63"/>
      <c r="AI425" s="64"/>
      <c r="AJ425" s="65"/>
      <c r="AK425" s="65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</row>
    <row r="426" spans="1:78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48">
        <v>5</v>
      </c>
      <c r="J426" s="148"/>
      <c r="K426" s="148">
        <v>5</v>
      </c>
      <c r="L426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63"/>
      <c r="AI426" s="64"/>
      <c r="AJ426" s="65"/>
      <c r="AK426" s="65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</row>
    <row r="427" spans="1:78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48">
        <v>3</v>
      </c>
      <c r="J427" s="148"/>
      <c r="K427" s="148">
        <v>3</v>
      </c>
      <c r="L427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63"/>
      <c r="AI427" s="64"/>
      <c r="AJ427" s="65"/>
      <c r="AK427" s="65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</row>
    <row r="428" spans="1:78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48">
        <v>0</v>
      </c>
      <c r="J428" s="148"/>
      <c r="K428" s="148">
        <v>0</v>
      </c>
      <c r="L428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63"/>
      <c r="AI428" s="64"/>
      <c r="AJ428" s="65"/>
      <c r="AK428" s="65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</row>
    <row r="429" spans="1:78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48">
        <v>1</v>
      </c>
      <c r="J429" s="148"/>
      <c r="K429" s="148">
        <v>1</v>
      </c>
      <c r="L429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63"/>
      <c r="AI429" s="64"/>
      <c r="AJ429" s="65"/>
      <c r="AK429" s="65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</row>
    <row r="430" spans="1:78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48">
        <v>1</v>
      </c>
      <c r="J430" s="148"/>
      <c r="K430" s="148">
        <v>1</v>
      </c>
      <c r="L430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63"/>
      <c r="AI430" s="64"/>
      <c r="AJ430" s="65"/>
      <c r="AK430" s="65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</row>
    <row r="431" spans="1:78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48">
        <v>4</v>
      </c>
      <c r="J431" s="148"/>
      <c r="K431" s="148">
        <v>4</v>
      </c>
      <c r="L431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63"/>
      <c r="AI431" s="64"/>
      <c r="AJ431" s="65"/>
      <c r="AK431" s="65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</row>
    <row r="432" spans="1:78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48">
        <v>0</v>
      </c>
      <c r="J432" s="148"/>
      <c r="K432" s="148">
        <v>0</v>
      </c>
      <c r="L432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63"/>
      <c r="AI432" s="64"/>
      <c r="AJ432" s="65"/>
      <c r="AK432" s="65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</row>
    <row r="433" spans="1:78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48">
        <v>0</v>
      </c>
      <c r="J433" s="148"/>
      <c r="K433" s="148">
        <v>0</v>
      </c>
      <c r="L43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63"/>
      <c r="AI433" s="64"/>
      <c r="AJ433" s="65"/>
      <c r="AK433" s="65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</row>
    <row r="434" spans="1:78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48">
        <v>0</v>
      </c>
      <c r="J434" s="148"/>
      <c r="K434" s="148">
        <v>0</v>
      </c>
      <c r="L434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63"/>
      <c r="AI434" s="64"/>
      <c r="AJ434" s="65"/>
      <c r="AK434" s="65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</row>
    <row r="435" spans="1:78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48">
        <v>0</v>
      </c>
      <c r="J435" s="148"/>
      <c r="K435" s="148">
        <v>0</v>
      </c>
      <c r="L435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63"/>
      <c r="AI435" s="64"/>
      <c r="AJ435" s="65"/>
      <c r="AK435" s="65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  <c r="BY435" s="53"/>
      <c r="BZ435" s="53"/>
    </row>
    <row r="436" spans="1:78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48">
        <v>20</v>
      </c>
      <c r="J436" s="148"/>
      <c r="K436" s="148">
        <v>20</v>
      </c>
      <c r="L436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63"/>
      <c r="AI436" s="64"/>
      <c r="AJ436" s="65"/>
      <c r="AK436" s="65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</row>
    <row r="437" spans="1:78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48">
        <v>0</v>
      </c>
      <c r="J437" s="148"/>
      <c r="K437" s="148">
        <v>0</v>
      </c>
      <c r="L437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63"/>
      <c r="AI437" s="64"/>
      <c r="AJ437" s="65"/>
      <c r="AK437" s="65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</row>
    <row r="438" spans="1:78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48">
        <v>5</v>
      </c>
      <c r="J438" s="148"/>
      <c r="K438" s="148">
        <v>5</v>
      </c>
      <c r="L438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63"/>
      <c r="AI438" s="64"/>
      <c r="AJ438" s="65"/>
      <c r="AK438" s="65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</row>
    <row r="439" spans="1:78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48">
        <v>3</v>
      </c>
      <c r="J439" s="148"/>
      <c r="K439" s="148">
        <v>3</v>
      </c>
      <c r="L439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63"/>
      <c r="AI439" s="64"/>
      <c r="AJ439" s="65"/>
      <c r="AK439" s="65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</row>
    <row r="440" spans="1:78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48">
        <v>4</v>
      </c>
      <c r="J440" s="148"/>
      <c r="K440" s="148">
        <v>4</v>
      </c>
      <c r="L440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63"/>
      <c r="AI440" s="64"/>
      <c r="AJ440" s="65"/>
      <c r="AK440" s="65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</row>
    <row r="441" spans="1:78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48">
        <v>9</v>
      </c>
      <c r="J441" s="148"/>
      <c r="K441" s="148">
        <v>9</v>
      </c>
      <c r="L441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63"/>
      <c r="AI441" s="64"/>
      <c r="AJ441" s="65"/>
      <c r="AK441" s="65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</row>
    <row r="442" spans="1:78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48">
        <v>11</v>
      </c>
      <c r="J442" s="148"/>
      <c r="K442" s="148">
        <v>11</v>
      </c>
      <c r="L442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63"/>
      <c r="AI442" s="64"/>
      <c r="AJ442" s="65"/>
      <c r="AK442" s="65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</row>
    <row r="443" spans="1:78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48">
        <v>1</v>
      </c>
      <c r="J443" s="148"/>
      <c r="K443" s="148">
        <v>1</v>
      </c>
      <c r="L44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63"/>
      <c r="AI443" s="64"/>
      <c r="AJ443" s="65"/>
      <c r="AK443" s="65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</row>
    <row r="444" spans="1:78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48">
        <v>16</v>
      </c>
      <c r="J444" s="148"/>
      <c r="K444" s="148">
        <v>16</v>
      </c>
      <c r="L444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63"/>
      <c r="AI444" s="64"/>
      <c r="AJ444" s="65"/>
      <c r="AK444" s="65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</row>
    <row r="445" spans="1:78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48">
        <v>54</v>
      </c>
      <c r="J445" s="148"/>
      <c r="K445" s="148">
        <v>54</v>
      </c>
      <c r="L445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63"/>
      <c r="AI445" s="64"/>
      <c r="AJ445" s="65"/>
      <c r="AK445" s="65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</row>
    <row r="446" spans="1:78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48">
        <v>10</v>
      </c>
      <c r="J446" s="148"/>
      <c r="K446" s="148">
        <v>10</v>
      </c>
      <c r="L446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63"/>
      <c r="AI446" s="64"/>
      <c r="AJ446" s="65"/>
      <c r="AK446" s="65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</row>
    <row r="447" spans="1:78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48">
        <v>1</v>
      </c>
      <c r="J447" s="148"/>
      <c r="K447" s="148">
        <v>1</v>
      </c>
      <c r="L447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63"/>
      <c r="AI447" s="64"/>
      <c r="AJ447" s="65"/>
      <c r="AK447" s="65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</row>
    <row r="448" spans="1:78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48">
        <v>2</v>
      </c>
      <c r="J448" s="148"/>
      <c r="K448" s="148">
        <v>2</v>
      </c>
      <c r="L448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63"/>
      <c r="AI448" s="64"/>
      <c r="AJ448" s="65"/>
      <c r="AK448" s="65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</row>
    <row r="449" spans="1:78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48">
        <v>2</v>
      </c>
      <c r="J449" s="148"/>
      <c r="K449" s="148">
        <v>2</v>
      </c>
      <c r="L449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63"/>
      <c r="AI449" s="64"/>
      <c r="AJ449" s="65"/>
      <c r="AK449" s="65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</row>
    <row r="450" spans="1:78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48">
        <v>0</v>
      </c>
      <c r="J450" s="148"/>
      <c r="K450" s="148">
        <v>0</v>
      </c>
      <c r="L450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63"/>
      <c r="AI450" s="64"/>
      <c r="AJ450" s="65"/>
      <c r="AK450" s="65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</row>
    <row r="451" spans="1:78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48">
        <v>0</v>
      </c>
      <c r="J451" s="148"/>
      <c r="K451" s="148">
        <v>0</v>
      </c>
      <c r="L451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63"/>
      <c r="AI451" s="64"/>
      <c r="AJ451" s="65"/>
      <c r="AK451" s="65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  <c r="BW451" s="53"/>
      <c r="BX451" s="53"/>
    </row>
    <row r="452" spans="1:78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48">
        <v>0</v>
      </c>
      <c r="J452" s="148"/>
      <c r="K452" s="148">
        <v>0</v>
      </c>
      <c r="L452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63"/>
      <c r="AI452" s="64"/>
      <c r="AJ452" s="65"/>
      <c r="AK452" s="65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</row>
    <row r="453" spans="1:78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48">
        <v>0</v>
      </c>
      <c r="J453" s="148"/>
      <c r="K453" s="148">
        <v>0</v>
      </c>
      <c r="L4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63"/>
      <c r="AI453" s="64"/>
      <c r="AJ453" s="65"/>
      <c r="AK453" s="65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</row>
    <row r="454" spans="1:78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48">
        <v>0</v>
      </c>
      <c r="J454" s="148"/>
      <c r="K454" s="148">
        <v>0</v>
      </c>
      <c r="L454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63"/>
      <c r="AI454" s="64"/>
      <c r="AJ454" s="65"/>
      <c r="AK454" s="65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</row>
    <row r="455" spans="1:78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48">
        <v>0</v>
      </c>
      <c r="J455" s="148"/>
      <c r="K455" s="148">
        <v>0</v>
      </c>
      <c r="L455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63"/>
      <c r="AI455" s="64"/>
      <c r="AJ455" s="65"/>
      <c r="AK455" s="65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</row>
    <row r="456" spans="1:78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48">
        <v>0</v>
      </c>
      <c r="J456" s="148"/>
      <c r="K456" s="148">
        <v>0</v>
      </c>
      <c r="L456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63"/>
      <c r="AI456" s="64"/>
      <c r="AJ456" s="65"/>
      <c r="AK456" s="65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</row>
    <row r="457" spans="1:78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48">
        <v>0</v>
      </c>
      <c r="J457" s="148"/>
      <c r="K457" s="148">
        <v>0</v>
      </c>
      <c r="L457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63"/>
      <c r="AI457" s="64"/>
      <c r="AJ457" s="65"/>
      <c r="AK457" s="65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</row>
    <row r="458" spans="1:78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48">
        <v>0</v>
      </c>
      <c r="J458" s="148"/>
      <c r="K458" s="148">
        <v>0</v>
      </c>
      <c r="L458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63"/>
      <c r="AI458" s="64"/>
      <c r="AJ458" s="65"/>
      <c r="AK458" s="65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</row>
    <row r="459" spans="1:78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48">
        <v>0</v>
      </c>
      <c r="J459" s="148"/>
      <c r="K459" s="148">
        <v>0</v>
      </c>
      <c r="L459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63"/>
      <c r="AI459" s="64"/>
      <c r="AJ459" s="65"/>
      <c r="AK459" s="65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</row>
    <row r="460" spans="1:78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48">
        <v>0</v>
      </c>
      <c r="J460" s="148"/>
      <c r="K460" s="148">
        <v>0</v>
      </c>
      <c r="L460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63"/>
      <c r="AI460" s="64"/>
      <c r="AJ460" s="65"/>
      <c r="AK460" s="65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</row>
    <row r="461" spans="1:78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48">
        <v>0</v>
      </c>
      <c r="J461" s="148"/>
      <c r="K461" s="148">
        <v>0</v>
      </c>
      <c r="L461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63"/>
      <c r="AI461" s="64"/>
      <c r="AJ461" s="65"/>
      <c r="AK461" s="65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</row>
    <row r="462" spans="1:78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48">
        <v>0</v>
      </c>
      <c r="J462" s="148"/>
      <c r="K462" s="148">
        <v>0</v>
      </c>
      <c r="L462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63"/>
      <c r="AI462" s="64"/>
      <c r="AJ462" s="65"/>
      <c r="AK462" s="65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</row>
    <row r="463" spans="1:78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48">
        <v>0</v>
      </c>
      <c r="J463" s="148"/>
      <c r="K463" s="148">
        <v>0</v>
      </c>
      <c r="L46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63"/>
      <c r="AI463" s="64"/>
      <c r="AJ463" s="65"/>
      <c r="AK463" s="65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</row>
    <row r="464" spans="1:78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48">
        <v>0</v>
      </c>
      <c r="J464" s="148"/>
      <c r="K464" s="148">
        <v>0</v>
      </c>
      <c r="L464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63"/>
      <c r="AI464" s="64"/>
      <c r="AJ464" s="65"/>
      <c r="AK464" s="65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</row>
    <row r="465" spans="1:76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48">
        <v>0</v>
      </c>
      <c r="J465" s="148"/>
      <c r="K465" s="148">
        <v>0</v>
      </c>
      <c r="L465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63"/>
      <c r="AI465" s="64"/>
      <c r="AJ465" s="65"/>
      <c r="AK465" s="65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</row>
    <row r="466" spans="1:76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48">
        <v>0</v>
      </c>
      <c r="J466" s="148"/>
      <c r="K466" s="148">
        <v>0</v>
      </c>
      <c r="L466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63"/>
      <c r="AI466" s="64"/>
      <c r="AJ466" s="65"/>
      <c r="AK466" s="65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</row>
    <row r="467" spans="1:76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48">
        <v>0</v>
      </c>
      <c r="J467" s="148"/>
      <c r="K467" s="148">
        <v>0</v>
      </c>
      <c r="L467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63"/>
      <c r="AI467" s="64"/>
      <c r="AJ467" s="65"/>
      <c r="AK467" s="65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  <c r="BW467" s="53"/>
      <c r="BX467" s="53"/>
    </row>
    <row r="468" spans="1:76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48"/>
      <c r="J468" s="148"/>
      <c r="K468" s="148">
        <v>0</v>
      </c>
      <c r="L468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63"/>
      <c r="AI468" s="64"/>
      <c r="AJ468" s="65"/>
      <c r="AK468" s="65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</row>
    <row r="469" spans="1:76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48"/>
      <c r="J469" s="148"/>
      <c r="K469" s="148">
        <v>0</v>
      </c>
      <c r="L469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63"/>
      <c r="AI469" s="64"/>
      <c r="AJ469" s="65"/>
      <c r="AK469" s="65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</row>
    <row r="470" spans="1:76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48">
        <v>2</v>
      </c>
      <c r="J470" s="148"/>
      <c r="K470" s="148">
        <v>2</v>
      </c>
      <c r="L470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63"/>
      <c r="AI470" s="64"/>
      <c r="AJ470" s="65"/>
      <c r="AK470" s="65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</row>
    <row r="471" spans="1:76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48">
        <v>1</v>
      </c>
      <c r="J471" s="148"/>
      <c r="K471" s="148">
        <v>1</v>
      </c>
      <c r="L471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63"/>
      <c r="AI471" s="64"/>
      <c r="AJ471" s="65"/>
      <c r="AK471" s="65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</row>
    <row r="472" spans="1:76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48">
        <v>1</v>
      </c>
      <c r="J472" s="148"/>
      <c r="K472" s="148">
        <v>1</v>
      </c>
      <c r="L472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63"/>
      <c r="AI472" s="64"/>
      <c r="AJ472" s="65"/>
      <c r="AK472" s="65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</row>
    <row r="473" spans="1:76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48">
        <v>60</v>
      </c>
      <c r="J473" s="148"/>
      <c r="K473" s="148">
        <v>60</v>
      </c>
      <c r="L47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63"/>
      <c r="AI473" s="64"/>
      <c r="AJ473" s="65"/>
      <c r="AK473" s="65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</row>
    <row r="474" spans="1:76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48">
        <v>60</v>
      </c>
      <c r="J474" s="148"/>
      <c r="K474" s="148">
        <v>60</v>
      </c>
      <c r="L474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63"/>
      <c r="AI474" s="64"/>
      <c r="AJ474" s="65"/>
      <c r="AK474" s="65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</row>
    <row r="475" spans="1:76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48">
        <v>1223</v>
      </c>
      <c r="J475" s="148"/>
      <c r="K475" s="148">
        <v>1223</v>
      </c>
      <c r="L475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63"/>
      <c r="AI475" s="64"/>
      <c r="AJ475" s="65"/>
      <c r="AK475" s="65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</row>
    <row r="476" spans="1:76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48">
        <v>266</v>
      </c>
      <c r="J476" s="148"/>
      <c r="K476" s="148">
        <v>266</v>
      </c>
      <c r="L476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63"/>
      <c r="AI476" s="64"/>
      <c r="AJ476" s="65"/>
      <c r="AK476" s="65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</row>
    <row r="477" spans="1:76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48">
        <v>192</v>
      </c>
      <c r="J477" s="148"/>
      <c r="K477" s="148">
        <v>192</v>
      </c>
      <c r="L477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63"/>
      <c r="AI477" s="64"/>
      <c r="AJ477" s="65"/>
      <c r="AK477" s="65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</row>
    <row r="478" spans="1:76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48">
        <v>619</v>
      </c>
      <c r="J478" s="148"/>
      <c r="K478" s="148">
        <v>619</v>
      </c>
      <c r="L478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63"/>
      <c r="AI478" s="64"/>
      <c r="AJ478" s="65"/>
      <c r="AK478" s="65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</row>
    <row r="479" spans="1:76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52">
        <v>97</v>
      </c>
      <c r="J479" s="152"/>
      <c r="K479" s="152">
        <v>97</v>
      </c>
      <c r="L479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63"/>
      <c r="AI479" s="64"/>
      <c r="AJ479" s="65"/>
      <c r="AK479" s="65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</row>
    <row r="480" spans="1:76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52">
        <v>49</v>
      </c>
      <c r="J480" s="152"/>
      <c r="K480" s="152">
        <v>49</v>
      </c>
      <c r="L480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63"/>
      <c r="AI480" s="64"/>
      <c r="AJ480" s="65"/>
      <c r="AK480" s="65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</row>
    <row r="481" spans="1:76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48">
        <v>6</v>
      </c>
      <c r="J481" s="148"/>
      <c r="K481" s="148">
        <v>6</v>
      </c>
      <c r="L481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63"/>
      <c r="AI481" s="64"/>
      <c r="AJ481" s="65"/>
      <c r="AK481" s="65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</row>
    <row r="482" spans="1:76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48">
        <v>0</v>
      </c>
      <c r="J482" s="148"/>
      <c r="K482" s="148">
        <v>0</v>
      </c>
      <c r="L482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63"/>
      <c r="AI482" s="64"/>
      <c r="AJ482" s="65"/>
      <c r="AK482" s="65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</row>
    <row r="483" spans="1:76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48">
        <v>0</v>
      </c>
      <c r="J483" s="148"/>
      <c r="K483" s="148">
        <v>0</v>
      </c>
      <c r="L48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63"/>
      <c r="AI483" s="64"/>
      <c r="AJ483" s="65"/>
      <c r="AK483" s="65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  <c r="BW483" s="53"/>
      <c r="BX483" s="53"/>
    </row>
    <row r="484" spans="1:76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48">
        <v>1</v>
      </c>
      <c r="J484" s="148"/>
      <c r="K484" s="148">
        <v>1</v>
      </c>
      <c r="L484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63"/>
      <c r="AI484" s="64"/>
      <c r="AJ484" s="65"/>
      <c r="AK484" s="65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  <c r="BW484" s="53"/>
      <c r="BX484" s="53"/>
    </row>
    <row r="485" spans="1:76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48">
        <v>5</v>
      </c>
      <c r="J485" s="148"/>
      <c r="K485" s="148">
        <v>5</v>
      </c>
      <c r="L485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63"/>
      <c r="AI485" s="64"/>
      <c r="AJ485" s="65"/>
      <c r="AK485" s="65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  <c r="BW485" s="53"/>
      <c r="BX485" s="53"/>
    </row>
    <row r="486" spans="1:76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48">
        <v>0</v>
      </c>
      <c r="J486" s="148"/>
      <c r="K486" s="148">
        <v>0</v>
      </c>
      <c r="L486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63"/>
      <c r="AI486" s="64"/>
      <c r="AJ486" s="65"/>
      <c r="AK486" s="65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  <c r="BW486" s="53"/>
      <c r="BX486" s="53"/>
    </row>
    <row r="487" spans="1:76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48">
        <v>16</v>
      </c>
      <c r="J487" s="148">
        <v>16</v>
      </c>
      <c r="K487" s="148">
        <v>0</v>
      </c>
      <c r="L487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63"/>
      <c r="AI487" s="64"/>
      <c r="AJ487" s="65"/>
      <c r="AK487" s="65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  <c r="BW487" s="53"/>
      <c r="BX487" s="53"/>
    </row>
    <row r="488" spans="1:76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48">
        <v>8</v>
      </c>
      <c r="J488" s="148">
        <v>8</v>
      </c>
      <c r="K488" s="148">
        <v>0</v>
      </c>
      <c r="L488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63"/>
      <c r="AI488" s="64"/>
      <c r="AJ488" s="65"/>
      <c r="AK488" s="65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  <c r="BW488" s="53"/>
      <c r="BX488" s="53"/>
    </row>
    <row r="489" spans="1:76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48">
        <v>8</v>
      </c>
      <c r="J489" s="148">
        <v>8</v>
      </c>
      <c r="K489" s="148">
        <v>0</v>
      </c>
      <c r="L489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63"/>
      <c r="AI489" s="64"/>
      <c r="AJ489" s="65"/>
      <c r="AK489" s="65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  <c r="BW489" s="53"/>
      <c r="BX489" s="53"/>
    </row>
    <row r="490" spans="1:76" x14ac:dyDescent="0.35">
      <c r="F490" s="124" t="s">
        <v>1583</v>
      </c>
      <c r="G490" s="125">
        <v>22</v>
      </c>
      <c r="H490" s="125">
        <v>88</v>
      </c>
      <c r="I490" s="148">
        <v>4</v>
      </c>
      <c r="J490" s="148">
        <v>4</v>
      </c>
      <c r="K490" s="148">
        <v>0</v>
      </c>
      <c r="L490"/>
      <c r="M490" s="53"/>
      <c r="N490" s="53"/>
    </row>
    <row r="491" spans="1:76" x14ac:dyDescent="0.35">
      <c r="F491" s="126" t="s">
        <v>1580</v>
      </c>
      <c r="G491" s="125">
        <v>22</v>
      </c>
      <c r="H491" s="125">
        <v>88</v>
      </c>
      <c r="I491" s="148">
        <v>4</v>
      </c>
      <c r="J491" s="148">
        <v>4</v>
      </c>
      <c r="K491" s="148">
        <v>0</v>
      </c>
      <c r="L491"/>
      <c r="M491" s="53"/>
      <c r="N491" s="53"/>
    </row>
    <row r="492" spans="1:76" x14ac:dyDescent="0.35">
      <c r="F492" s="128" t="s">
        <v>1155</v>
      </c>
      <c r="G492" s="127">
        <v>90001.503917621361</v>
      </c>
      <c r="H492" s="127">
        <v>585146.39075738145</v>
      </c>
      <c r="I492" s="152">
        <v>63351</v>
      </c>
      <c r="J492" s="152">
        <v>207</v>
      </c>
      <c r="K492" s="152">
        <v>63144</v>
      </c>
      <c r="L492"/>
      <c r="M492" s="53"/>
      <c r="N492" s="53"/>
    </row>
    <row r="493" spans="1:76" x14ac:dyDescent="0.35">
      <c r="M493" s="53"/>
      <c r="N493" s="53"/>
    </row>
    <row r="494" spans="1:76" x14ac:dyDescent="0.35">
      <c r="M494" s="53"/>
      <c r="N494" s="53"/>
    </row>
    <row r="495" spans="1:76" x14ac:dyDescent="0.35">
      <c r="M495" s="53"/>
      <c r="N495" s="53"/>
    </row>
    <row r="496" spans="1:76" x14ac:dyDescent="0.35">
      <c r="M496" s="53"/>
      <c r="N496" s="53"/>
    </row>
    <row r="497" spans="13:14" x14ac:dyDescent="0.35">
      <c r="M497" s="53"/>
      <c r="N497" s="53"/>
    </row>
  </sheetData>
  <mergeCells count="2">
    <mergeCell ref="AA1:AG1"/>
    <mergeCell ref="Z2:AD2"/>
  </mergeCells>
  <pageMargins left="0.7" right="0.7" top="0.75" bottom="0.75" header="0.3" footer="0.3"/>
  <ignoredErrors>
    <ignoredError sqref="N6:N112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19</xdr:col>
                <xdr:colOff>38911</xdr:colOff>
                <xdr:row>20</xdr:row>
                <xdr:rowOff>116732</xdr:rowOff>
              </from>
              <to>
                <xdr:col>29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19</xdr:col>
                <xdr:colOff>38911</xdr:colOff>
                <xdr:row>18</xdr:row>
                <xdr:rowOff>123217</xdr:rowOff>
              </from>
              <to>
                <xdr:col>29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20</xdr:col>
                <xdr:colOff>116732</xdr:colOff>
                <xdr:row>22</xdr:row>
                <xdr:rowOff>77821</xdr:rowOff>
              </from>
              <to>
                <xdr:col>27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S836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22" width="14" style="76" bestFit="1" customWidth="1"/>
    <col min="123" max="123" width="55.54296875" style="144" customWidth="1"/>
    <col min="124" max="16384" width="8.90625" style="13"/>
  </cols>
  <sheetData>
    <row r="1" spans="1:12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1586</v>
      </c>
      <c r="DR1" s="71" t="s">
        <v>1587</v>
      </c>
      <c r="DS1" s="133" t="s">
        <v>1588</v>
      </c>
    </row>
    <row r="2" spans="1:12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/>
      <c r="DR2" s="72">
        <f>DP2-DQ2</f>
        <v>0</v>
      </c>
      <c r="DS2" s="77"/>
    </row>
    <row r="3" spans="1:12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/>
      <c r="DR3" s="72">
        <f t="shared" ref="DR3:DR66" si="1">DP3-DQ3</f>
        <v>1</v>
      </c>
      <c r="DS3" s="77"/>
    </row>
    <row r="4" spans="1:12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/>
      <c r="DR4" s="72">
        <f t="shared" si="1"/>
        <v>1</v>
      </c>
      <c r="DS4" s="134"/>
    </row>
    <row r="5" spans="1:12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/>
      <c r="DR5" s="72">
        <f t="shared" si="1"/>
        <v>0</v>
      </c>
      <c r="DS5" s="77"/>
    </row>
    <row r="6" spans="1:12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/>
      <c r="DR6" s="72">
        <f t="shared" si="1"/>
        <v>14</v>
      </c>
      <c r="DS6" s="77"/>
    </row>
    <row r="7" spans="1:12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/>
      <c r="DR7" s="72">
        <f t="shared" si="1"/>
        <v>56</v>
      </c>
      <c r="DS7" s="77"/>
    </row>
    <row r="8" spans="1:12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/>
      <c r="DR8" s="72">
        <f t="shared" si="1"/>
        <v>43</v>
      </c>
      <c r="DS8" s="90"/>
    </row>
    <row r="9" spans="1:12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/>
      <c r="DR9" s="72">
        <f t="shared" si="1"/>
        <v>0</v>
      </c>
      <c r="DS9" s="77"/>
    </row>
    <row r="10" spans="1:12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/>
      <c r="DR10" s="72">
        <f t="shared" si="1"/>
        <v>0</v>
      </c>
      <c r="DS10" s="77"/>
    </row>
    <row r="11" spans="1:12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/>
      <c r="DR11" s="72">
        <f t="shared" si="1"/>
        <v>0</v>
      </c>
      <c r="DS11" s="77"/>
    </row>
    <row r="12" spans="1:12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/>
      <c r="DR12" s="72">
        <f t="shared" si="1"/>
        <v>0</v>
      </c>
      <c r="DS12" s="77"/>
    </row>
    <row r="13" spans="1:12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/>
      <c r="DR13" s="72">
        <f t="shared" si="1"/>
        <v>0</v>
      </c>
      <c r="DS13" s="77"/>
    </row>
    <row r="14" spans="1:12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/>
      <c r="DR14" s="72">
        <f t="shared" si="1"/>
        <v>0</v>
      </c>
      <c r="DS14" s="77"/>
    </row>
    <row r="15" spans="1:12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/>
      <c r="DR15" s="72">
        <f t="shared" si="1"/>
        <v>1</v>
      </c>
      <c r="DS15" s="135"/>
    </row>
    <row r="16" spans="1:12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/>
      <c r="DR16" s="72">
        <f t="shared" si="1"/>
        <v>1</v>
      </c>
      <c r="DS16" s="135"/>
    </row>
    <row r="17" spans="1:12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/>
      <c r="DR17" s="72">
        <f t="shared" si="1"/>
        <v>1</v>
      </c>
      <c r="DS17" s="135"/>
    </row>
    <row r="18" spans="1:12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/>
      <c r="DR18" s="72">
        <f t="shared" si="1"/>
        <v>1</v>
      </c>
      <c r="DS18" s="135"/>
    </row>
    <row r="19" spans="1:12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/>
      <c r="DR19" s="72">
        <f t="shared" si="1"/>
        <v>9</v>
      </c>
      <c r="DS19" s="136"/>
    </row>
    <row r="20" spans="1:12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/>
      <c r="DR20" s="72">
        <f t="shared" si="1"/>
        <v>0</v>
      </c>
      <c r="DS20" s="77"/>
    </row>
    <row r="21" spans="1:12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/>
      <c r="DR21" s="72">
        <f t="shared" si="1"/>
        <v>0</v>
      </c>
      <c r="DS21" s="77"/>
    </row>
    <row r="22" spans="1:12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/>
      <c r="DR22" s="72">
        <f t="shared" si="1"/>
        <v>0</v>
      </c>
      <c r="DS22" s="77"/>
    </row>
    <row r="23" spans="1:12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/>
      <c r="DR23" s="72">
        <f t="shared" si="1"/>
        <v>0</v>
      </c>
      <c r="DS23" s="77"/>
    </row>
    <row r="24" spans="1:12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/>
      <c r="DR24" s="72">
        <f t="shared" si="1"/>
        <v>0</v>
      </c>
      <c r="DS24" s="77"/>
    </row>
    <row r="25" spans="1:12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/>
      <c r="DR25" s="72">
        <f t="shared" si="1"/>
        <v>2</v>
      </c>
      <c r="DS25" s="77"/>
    </row>
    <row r="26" spans="1:12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/>
      <c r="DR26" s="72">
        <f t="shared" si="1"/>
        <v>1</v>
      </c>
      <c r="DS26" s="137"/>
    </row>
    <row r="27" spans="1:12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/>
      <c r="DR27" s="72">
        <f t="shared" si="1"/>
        <v>28</v>
      </c>
      <c r="DS27" s="77"/>
    </row>
    <row r="28" spans="1:123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/>
      <c r="DR28" s="72">
        <f t="shared" si="1"/>
        <v>30</v>
      </c>
      <c r="DS28" s="77"/>
    </row>
    <row r="29" spans="1:123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/>
      <c r="DR29" s="72">
        <f t="shared" si="1"/>
        <v>28</v>
      </c>
      <c r="DS29" s="77"/>
    </row>
    <row r="30" spans="1:123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/>
      <c r="DR30" s="72">
        <f t="shared" si="1"/>
        <v>10</v>
      </c>
      <c r="DS30" s="77"/>
    </row>
    <row r="31" spans="1:123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/>
      <c r="DR31" s="72">
        <f t="shared" si="1"/>
        <v>0</v>
      </c>
      <c r="DS31" s="77"/>
    </row>
    <row r="32" spans="1:123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/>
      <c r="DR32" s="72">
        <f t="shared" si="1"/>
        <v>500</v>
      </c>
      <c r="DS32" s="137"/>
    </row>
    <row r="33" spans="1:123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/>
      <c r="DR33" s="72">
        <f t="shared" si="1"/>
        <v>207</v>
      </c>
      <c r="DS33" s="90"/>
    </row>
    <row r="34" spans="1:123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/>
      <c r="DR34" s="72">
        <f t="shared" si="1"/>
        <v>13</v>
      </c>
      <c r="DS34" s="90"/>
    </row>
    <row r="35" spans="1:123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/>
      <c r="DR35" s="72">
        <f t="shared" si="1"/>
        <v>2</v>
      </c>
      <c r="DS35" s="90"/>
    </row>
    <row r="36" spans="1:123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/>
      <c r="DR36" s="72">
        <f t="shared" si="1"/>
        <v>24</v>
      </c>
      <c r="DS36" s="90"/>
    </row>
    <row r="37" spans="1:123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/>
      <c r="DR37" s="72">
        <f t="shared" si="1"/>
        <v>2</v>
      </c>
      <c r="DS37" s="77"/>
    </row>
    <row r="38" spans="1:123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/>
      <c r="DR38" s="72">
        <f t="shared" si="1"/>
        <v>1</v>
      </c>
      <c r="DS38" s="90"/>
    </row>
    <row r="39" spans="1:123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/>
      <c r="DR39" s="72">
        <f t="shared" si="1"/>
        <v>0</v>
      </c>
      <c r="DS39" s="90"/>
    </row>
    <row r="40" spans="1:123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/>
      <c r="DR40" s="72">
        <f t="shared" si="1"/>
        <v>1</v>
      </c>
      <c r="DS40" s="77"/>
    </row>
    <row r="41" spans="1:123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/>
      <c r="DR41" s="72">
        <f t="shared" si="1"/>
        <v>1</v>
      </c>
      <c r="DS41" s="137"/>
    </row>
    <row r="42" spans="1:123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/>
      <c r="DR42" s="72">
        <f t="shared" si="1"/>
        <v>0</v>
      </c>
      <c r="DS42" s="77"/>
    </row>
    <row r="43" spans="1:123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/>
      <c r="DR43" s="72">
        <f t="shared" si="1"/>
        <v>7</v>
      </c>
      <c r="DS43" s="137"/>
    </row>
    <row r="44" spans="1:123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/>
      <c r="DR44" s="72">
        <f t="shared" si="1"/>
        <v>0</v>
      </c>
      <c r="DS44" s="137"/>
    </row>
    <row r="45" spans="1:123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/>
      <c r="DR45" s="72">
        <f t="shared" si="1"/>
        <v>0</v>
      </c>
      <c r="DS45" s="90"/>
    </row>
    <row r="46" spans="1:123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f t="shared" si="1"/>
        <v>0</v>
      </c>
      <c r="DS46" s="90" t="s">
        <v>1589</v>
      </c>
    </row>
    <row r="47" spans="1:123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f t="shared" si="1"/>
        <v>0</v>
      </c>
      <c r="DS47" s="90" t="s">
        <v>1590</v>
      </c>
    </row>
    <row r="48" spans="1:123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16</v>
      </c>
      <c r="DR48" s="72">
        <f t="shared" si="1"/>
        <v>2</v>
      </c>
      <c r="DS48" s="90" t="s">
        <v>1591</v>
      </c>
    </row>
    <row r="49" spans="1:123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f t="shared" si="1"/>
        <v>0</v>
      </c>
      <c r="DS49" s="90" t="s">
        <v>1592</v>
      </c>
    </row>
    <row r="50" spans="1:123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/>
      <c r="DR50" s="72">
        <f t="shared" si="1"/>
        <v>0</v>
      </c>
      <c r="DS50" s="77"/>
    </row>
    <row r="51" spans="1:123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/>
      <c r="DR51" s="72">
        <f t="shared" si="1"/>
        <v>0</v>
      </c>
      <c r="DS51" s="137"/>
    </row>
    <row r="52" spans="1:123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/>
      <c r="DR52" s="72">
        <f t="shared" si="1"/>
        <v>0</v>
      </c>
      <c r="DS52" s="77"/>
    </row>
    <row r="53" spans="1:123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/>
      <c r="DR53" s="72">
        <f t="shared" si="1"/>
        <v>0</v>
      </c>
      <c r="DS53" s="77"/>
    </row>
    <row r="54" spans="1:123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/>
      <c r="DR54" s="72">
        <f t="shared" si="1"/>
        <v>24</v>
      </c>
      <c r="DS54" s="137"/>
    </row>
    <row r="55" spans="1:123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/>
      <c r="DR55" s="72">
        <f t="shared" si="1"/>
        <v>161</v>
      </c>
      <c r="DS55" s="77"/>
    </row>
    <row r="56" spans="1:123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/>
      <c r="DR56" s="72">
        <f t="shared" si="1"/>
        <v>0</v>
      </c>
      <c r="DS56" s="77"/>
    </row>
    <row r="57" spans="1:123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/>
      <c r="DR57" s="72">
        <f t="shared" si="1"/>
        <v>0</v>
      </c>
      <c r="DS57" s="77"/>
    </row>
    <row r="58" spans="1:123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/>
      <c r="DR58" s="72">
        <f t="shared" si="1"/>
        <v>6</v>
      </c>
      <c r="DS58" s="77"/>
    </row>
    <row r="59" spans="1:123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/>
      <c r="DR59" s="72">
        <f t="shared" si="1"/>
        <v>27</v>
      </c>
      <c r="DS59" s="77"/>
    </row>
    <row r="60" spans="1:123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/>
      <c r="DR60" s="72">
        <f t="shared" si="1"/>
        <v>0</v>
      </c>
      <c r="DS60" s="77"/>
    </row>
    <row r="61" spans="1:123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/>
      <c r="DR61" s="72">
        <f t="shared" si="1"/>
        <v>1</v>
      </c>
      <c r="DS61" s="77"/>
    </row>
    <row r="62" spans="1:123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/>
      <c r="DR62" s="72">
        <f t="shared" si="1"/>
        <v>141</v>
      </c>
      <c r="DS62" s="77"/>
    </row>
    <row r="63" spans="1:123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/>
      <c r="DR63" s="72">
        <f t="shared" si="1"/>
        <v>29</v>
      </c>
      <c r="DS63" s="77"/>
    </row>
    <row r="64" spans="1:123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/>
      <c r="DR64" s="72">
        <f t="shared" si="1"/>
        <v>0</v>
      </c>
      <c r="DS64" s="77"/>
    </row>
    <row r="65" spans="1:123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/>
      <c r="DR65" s="72">
        <f t="shared" si="1"/>
        <v>0</v>
      </c>
      <c r="DS65" s="77"/>
    </row>
    <row r="66" spans="1:123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/>
      <c r="DR66" s="72">
        <f t="shared" si="1"/>
        <v>0</v>
      </c>
      <c r="DS66" s="77"/>
    </row>
    <row r="67" spans="1:123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2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/>
      <c r="DR67" s="72">
        <f t="shared" ref="DR67:DR130" si="3">DP67-DQ67</f>
        <v>0</v>
      </c>
      <c r="DS67" s="77"/>
    </row>
    <row r="68" spans="1:123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2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/>
      <c r="DR68" s="72">
        <f t="shared" si="3"/>
        <v>0</v>
      </c>
      <c r="DS68" s="77"/>
    </row>
    <row r="69" spans="1:123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2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/>
      <c r="DR69" s="72">
        <f t="shared" si="3"/>
        <v>38</v>
      </c>
      <c r="DS69" s="77"/>
    </row>
    <row r="70" spans="1:123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2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/>
      <c r="DR70" s="72">
        <f t="shared" si="3"/>
        <v>0</v>
      </c>
      <c r="DS70" s="77"/>
    </row>
    <row r="71" spans="1:123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2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/>
      <c r="DR71" s="72">
        <f t="shared" si="3"/>
        <v>128</v>
      </c>
      <c r="DS71" s="77"/>
    </row>
    <row r="72" spans="1:123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2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/>
      <c r="DR72" s="72">
        <f t="shared" si="3"/>
        <v>0</v>
      </c>
      <c r="DS72" s="77"/>
    </row>
    <row r="73" spans="1:123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2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/>
      <c r="DR73" s="72">
        <f t="shared" si="3"/>
        <v>0</v>
      </c>
      <c r="DS73" s="77"/>
    </row>
    <row r="74" spans="1:123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2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/>
      <c r="DR74" s="72">
        <f t="shared" si="3"/>
        <v>0</v>
      </c>
      <c r="DS74" s="77"/>
    </row>
    <row r="75" spans="1:123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2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/>
      <c r="DR75" s="72">
        <f t="shared" si="3"/>
        <v>73</v>
      </c>
      <c r="DS75" s="77"/>
    </row>
    <row r="76" spans="1:123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2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/>
      <c r="DR76" s="72">
        <f t="shared" si="3"/>
        <v>8</v>
      </c>
      <c r="DS76" s="77"/>
    </row>
    <row r="77" spans="1:123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2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/>
      <c r="DR77" s="72">
        <f t="shared" si="3"/>
        <v>0</v>
      </c>
      <c r="DS77" s="77"/>
    </row>
    <row r="78" spans="1:123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2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/>
      <c r="DR78" s="72">
        <f t="shared" si="3"/>
        <v>0</v>
      </c>
      <c r="DS78" s="77"/>
    </row>
    <row r="79" spans="1:123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2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/>
      <c r="DR79" s="72">
        <f t="shared" si="3"/>
        <v>0</v>
      </c>
      <c r="DS79" s="77"/>
    </row>
    <row r="80" spans="1:123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2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/>
      <c r="DR80" s="72">
        <f t="shared" si="3"/>
        <v>0</v>
      </c>
      <c r="DS80" s="77"/>
    </row>
    <row r="81" spans="1:123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2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/>
      <c r="DR81" s="72">
        <f t="shared" si="3"/>
        <v>0</v>
      </c>
      <c r="DS81" s="77"/>
    </row>
    <row r="82" spans="1:123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2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/>
      <c r="DR82" s="72">
        <f t="shared" si="3"/>
        <v>0</v>
      </c>
      <c r="DS82" s="77"/>
    </row>
    <row r="83" spans="1:123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2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/>
      <c r="DR83" s="72">
        <f t="shared" si="3"/>
        <v>0</v>
      </c>
      <c r="DS83" s="77"/>
    </row>
    <row r="84" spans="1:123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2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/>
      <c r="DR84" s="72">
        <f t="shared" si="3"/>
        <v>0</v>
      </c>
      <c r="DS84" s="77"/>
    </row>
    <row r="85" spans="1:123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2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/>
      <c r="DR85" s="72">
        <f t="shared" si="3"/>
        <v>0</v>
      </c>
      <c r="DS85" s="77"/>
    </row>
    <row r="86" spans="1:123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2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/>
      <c r="DR86" s="72">
        <f t="shared" si="3"/>
        <v>0</v>
      </c>
      <c r="DS86" s="77"/>
    </row>
    <row r="87" spans="1:123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2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/>
      <c r="DR87" s="72">
        <f t="shared" si="3"/>
        <v>0</v>
      </c>
      <c r="DS87" s="77"/>
    </row>
    <row r="88" spans="1:123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2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/>
      <c r="DR88" s="72">
        <f t="shared" si="3"/>
        <v>10</v>
      </c>
      <c r="DS88" s="77"/>
    </row>
    <row r="89" spans="1:123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2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/>
      <c r="DR89" s="72">
        <f t="shared" si="3"/>
        <v>2</v>
      </c>
      <c r="DS89" s="77"/>
    </row>
    <row r="90" spans="1:123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2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/>
      <c r="DR90" s="72">
        <f t="shared" si="3"/>
        <v>0</v>
      </c>
      <c r="DS90" s="77"/>
    </row>
    <row r="91" spans="1:123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2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/>
      <c r="DR91" s="72">
        <f t="shared" si="3"/>
        <v>0</v>
      </c>
      <c r="DS91" s="77"/>
    </row>
    <row r="92" spans="1:123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2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/>
      <c r="DR92" s="72">
        <f t="shared" si="3"/>
        <v>0</v>
      </c>
      <c r="DS92" s="77"/>
    </row>
    <row r="93" spans="1:123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2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/>
      <c r="DR93" s="72">
        <f t="shared" si="3"/>
        <v>6</v>
      </c>
      <c r="DS93" s="77"/>
    </row>
    <row r="94" spans="1:123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2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/>
      <c r="DR94" s="72">
        <f t="shared" si="3"/>
        <v>0</v>
      </c>
      <c r="DS94" s="137"/>
    </row>
    <row r="95" spans="1:123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2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/>
      <c r="DR95" s="72">
        <f t="shared" si="3"/>
        <v>0</v>
      </c>
      <c r="DS95" s="77"/>
    </row>
    <row r="96" spans="1:123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2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/>
      <c r="DR96" s="72">
        <f t="shared" si="3"/>
        <v>0</v>
      </c>
      <c r="DS96" s="77"/>
    </row>
    <row r="97" spans="1:123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2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/>
      <c r="DR97" s="72">
        <f t="shared" si="3"/>
        <v>0</v>
      </c>
      <c r="DS97" s="77"/>
    </row>
    <row r="98" spans="1:123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2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/>
      <c r="DR98" s="72">
        <f t="shared" si="3"/>
        <v>0</v>
      </c>
      <c r="DS98" s="77"/>
    </row>
    <row r="99" spans="1:123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2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/>
      <c r="DR99" s="72">
        <f t="shared" si="3"/>
        <v>0</v>
      </c>
      <c r="DS99" s="77"/>
    </row>
    <row r="100" spans="1:123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2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/>
      <c r="DR100" s="72">
        <f t="shared" si="3"/>
        <v>0</v>
      </c>
      <c r="DS100" s="77"/>
    </row>
    <row r="101" spans="1:123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2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/>
      <c r="DR101" s="72">
        <f t="shared" si="3"/>
        <v>26</v>
      </c>
      <c r="DS101" s="77"/>
    </row>
    <row r="102" spans="1:123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2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/>
      <c r="DR102" s="72">
        <f t="shared" si="3"/>
        <v>5</v>
      </c>
      <c r="DS102" s="137"/>
    </row>
    <row r="103" spans="1:123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2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/>
      <c r="DR103" s="72">
        <f t="shared" si="3"/>
        <v>18</v>
      </c>
      <c r="DS103" s="77"/>
    </row>
    <row r="104" spans="1:123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2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/>
      <c r="DR104" s="72">
        <f t="shared" si="3"/>
        <v>116</v>
      </c>
      <c r="DS104" s="77"/>
    </row>
    <row r="105" spans="1:123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2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/>
      <c r="DR105" s="72">
        <f t="shared" si="3"/>
        <v>28</v>
      </c>
      <c r="DS105" s="77"/>
    </row>
    <row r="106" spans="1:123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2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/>
      <c r="DR106" s="72">
        <f t="shared" si="3"/>
        <v>16</v>
      </c>
      <c r="DS106" s="77"/>
    </row>
    <row r="107" spans="1:123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2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/>
      <c r="DR107" s="72">
        <f t="shared" si="3"/>
        <v>64</v>
      </c>
      <c r="DS107" s="77"/>
    </row>
    <row r="108" spans="1:123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2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/>
      <c r="DR108" s="72">
        <f t="shared" si="3"/>
        <v>97</v>
      </c>
      <c r="DS108" s="77"/>
    </row>
    <row r="109" spans="1:123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2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/>
      <c r="DR109" s="72">
        <f t="shared" si="3"/>
        <v>78</v>
      </c>
      <c r="DS109" s="77"/>
    </row>
    <row r="110" spans="1:123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2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/>
      <c r="DR110" s="72">
        <f t="shared" si="3"/>
        <v>500</v>
      </c>
      <c r="DS110" s="77"/>
    </row>
    <row r="111" spans="1:123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2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/>
      <c r="DR111" s="72">
        <f t="shared" si="3"/>
        <v>400</v>
      </c>
      <c r="DS111" s="77"/>
    </row>
    <row r="112" spans="1:123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2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/>
      <c r="DR112" s="72">
        <f t="shared" si="3"/>
        <v>0</v>
      </c>
      <c r="DS112" s="134"/>
    </row>
    <row r="113" spans="1:123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2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/>
      <c r="DR113" s="72">
        <f t="shared" si="3"/>
        <v>0</v>
      </c>
      <c r="DS113" s="90"/>
    </row>
    <row r="114" spans="1:123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2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/>
      <c r="DR114" s="72">
        <f t="shared" si="3"/>
        <v>0</v>
      </c>
      <c r="DS114" s="90"/>
    </row>
    <row r="115" spans="1:123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2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/>
      <c r="DR115" s="72">
        <f t="shared" si="3"/>
        <v>2</v>
      </c>
      <c r="DS115" s="90"/>
    </row>
    <row r="116" spans="1:123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2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/>
      <c r="DR116" s="72">
        <f t="shared" si="3"/>
        <v>0</v>
      </c>
      <c r="DS116" s="77"/>
    </row>
    <row r="117" spans="1:123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2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/>
      <c r="DR117" s="72">
        <f t="shared" si="3"/>
        <v>288</v>
      </c>
      <c r="DS117" s="77"/>
    </row>
    <row r="118" spans="1:123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2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/>
      <c r="DR118" s="72">
        <f t="shared" si="3"/>
        <v>65</v>
      </c>
      <c r="DS118" s="77"/>
    </row>
    <row r="119" spans="1:123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2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/>
      <c r="DR119" s="72">
        <f t="shared" si="3"/>
        <v>80</v>
      </c>
      <c r="DS119" s="77"/>
    </row>
    <row r="120" spans="1:123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2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/>
      <c r="DR120" s="72">
        <f t="shared" si="3"/>
        <v>0</v>
      </c>
      <c r="DS120" s="90"/>
    </row>
    <row r="121" spans="1:123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2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/>
      <c r="DR121" s="72">
        <f t="shared" si="3"/>
        <v>0</v>
      </c>
      <c r="DS121" s="77"/>
    </row>
    <row r="122" spans="1:123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2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/>
      <c r="DR122" s="72">
        <f t="shared" si="3"/>
        <v>204</v>
      </c>
      <c r="DS122" s="77"/>
    </row>
    <row r="123" spans="1:123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2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/>
      <c r="DR123" s="72">
        <f t="shared" si="3"/>
        <v>548</v>
      </c>
      <c r="DS123" s="77"/>
    </row>
    <row r="124" spans="1:123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2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/>
      <c r="DR124" s="72">
        <f t="shared" si="3"/>
        <v>402</v>
      </c>
      <c r="DS124" s="77"/>
    </row>
    <row r="125" spans="1:123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2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/>
      <c r="DR125" s="72">
        <f t="shared" si="3"/>
        <v>0</v>
      </c>
      <c r="DS125" s="77"/>
    </row>
    <row r="126" spans="1:123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2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/>
      <c r="DR126" s="72">
        <f t="shared" si="3"/>
        <v>0</v>
      </c>
      <c r="DS126" s="77"/>
    </row>
    <row r="127" spans="1:123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2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/>
      <c r="DR127" s="72">
        <f t="shared" si="3"/>
        <v>0</v>
      </c>
      <c r="DS127" s="90"/>
    </row>
    <row r="128" spans="1:123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2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/>
      <c r="DR128" s="72">
        <f t="shared" si="3"/>
        <v>18</v>
      </c>
      <c r="DS128" s="77"/>
    </row>
    <row r="129" spans="1:123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2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/>
      <c r="DR129" s="72">
        <f t="shared" si="3"/>
        <v>48</v>
      </c>
      <c r="DS129" s="77"/>
    </row>
    <row r="130" spans="1:123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2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/>
      <c r="DR130" s="72">
        <f t="shared" si="3"/>
        <v>29</v>
      </c>
      <c r="DS130" s="90"/>
    </row>
    <row r="131" spans="1:123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4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/>
      <c r="DR131" s="72">
        <f t="shared" ref="DR131:DR194" si="5">DP131-DQ131</f>
        <v>16</v>
      </c>
      <c r="DS131" s="77"/>
    </row>
    <row r="132" spans="1:123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4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/>
      <c r="DR132" s="72">
        <f t="shared" si="5"/>
        <v>1216</v>
      </c>
      <c r="DS132" s="77"/>
    </row>
    <row r="133" spans="1:123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4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/>
      <c r="DR133" s="72">
        <f t="shared" si="5"/>
        <v>0</v>
      </c>
      <c r="DS133" s="77"/>
    </row>
    <row r="134" spans="1:123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4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/>
      <c r="DR134" s="72">
        <f t="shared" si="5"/>
        <v>914</v>
      </c>
      <c r="DS134" s="77"/>
    </row>
    <row r="135" spans="1:123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4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/>
      <c r="DR135" s="72">
        <f t="shared" si="5"/>
        <v>3</v>
      </c>
      <c r="DS135" s="77"/>
    </row>
    <row r="136" spans="1:123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4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/>
      <c r="DR136" s="72">
        <f t="shared" si="5"/>
        <v>0</v>
      </c>
      <c r="DS136" s="77"/>
    </row>
    <row r="137" spans="1:123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4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/>
      <c r="DR137" s="72">
        <f t="shared" si="5"/>
        <v>0</v>
      </c>
      <c r="DS137" s="77"/>
    </row>
    <row r="138" spans="1:123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4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/>
      <c r="DR138" s="72">
        <f t="shared" si="5"/>
        <v>0</v>
      </c>
      <c r="DS138" s="77"/>
    </row>
    <row r="139" spans="1:123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4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/>
      <c r="DR139" s="72">
        <f t="shared" si="5"/>
        <v>54</v>
      </c>
      <c r="DS139" s="77"/>
    </row>
    <row r="140" spans="1:123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4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/>
      <c r="DR140" s="72">
        <f t="shared" si="5"/>
        <v>22</v>
      </c>
      <c r="DS140" s="77"/>
    </row>
    <row r="141" spans="1:123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4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/>
      <c r="DR141" s="72">
        <f t="shared" si="5"/>
        <v>20</v>
      </c>
      <c r="DS141" s="77"/>
    </row>
    <row r="142" spans="1:123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4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6">1007-250</f>
        <v>757</v>
      </c>
      <c r="DA142" s="72">
        <f t="shared" si="6"/>
        <v>757</v>
      </c>
      <c r="DB142" s="72">
        <f t="shared" si="6"/>
        <v>757</v>
      </c>
      <c r="DC142" s="72">
        <f t="shared" si="6"/>
        <v>757</v>
      </c>
      <c r="DD142" s="72">
        <f t="shared" si="6"/>
        <v>757</v>
      </c>
      <c r="DE142" s="72">
        <f t="shared" si="6"/>
        <v>757</v>
      </c>
      <c r="DF142" s="72">
        <f t="shared" ref="DF142:DK142" si="7">1007-250</f>
        <v>757</v>
      </c>
      <c r="DG142" s="72">
        <f t="shared" si="7"/>
        <v>757</v>
      </c>
      <c r="DH142" s="72">
        <f t="shared" si="7"/>
        <v>757</v>
      </c>
      <c r="DI142" s="72">
        <f t="shared" si="7"/>
        <v>757</v>
      </c>
      <c r="DJ142" s="72">
        <f t="shared" si="7"/>
        <v>757</v>
      </c>
      <c r="DK142" s="72">
        <f t="shared" si="7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/>
      <c r="DR142" s="72">
        <f t="shared" si="5"/>
        <v>757</v>
      </c>
      <c r="DS142" s="77"/>
    </row>
    <row r="143" spans="1:123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4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/>
      <c r="DR143" s="72">
        <f t="shared" si="5"/>
        <v>1140</v>
      </c>
      <c r="DS143" s="77"/>
    </row>
    <row r="144" spans="1:123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4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/>
      <c r="DR144" s="72">
        <f t="shared" si="5"/>
        <v>786</v>
      </c>
      <c r="DS144" s="77"/>
    </row>
    <row r="145" spans="1:123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4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/>
      <c r="DR145" s="72">
        <f t="shared" si="5"/>
        <v>0</v>
      </c>
      <c r="DS145" s="77"/>
    </row>
    <row r="146" spans="1:123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4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/>
      <c r="DR146" s="72">
        <f t="shared" si="5"/>
        <v>0</v>
      </c>
      <c r="DS146" s="77"/>
    </row>
    <row r="147" spans="1:123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4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/>
      <c r="DR147" s="72">
        <f t="shared" si="5"/>
        <v>0</v>
      </c>
      <c r="DS147" s="77"/>
    </row>
    <row r="148" spans="1:123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4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/>
      <c r="DR148" s="72">
        <f t="shared" si="5"/>
        <v>30</v>
      </c>
      <c r="DS148" s="77"/>
    </row>
    <row r="149" spans="1:123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4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/>
      <c r="DR149" s="72">
        <f t="shared" si="5"/>
        <v>50</v>
      </c>
      <c r="DS149" s="77"/>
    </row>
    <row r="150" spans="1:123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4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/>
      <c r="DR150" s="72">
        <f t="shared" si="5"/>
        <v>30</v>
      </c>
      <c r="DS150" s="77"/>
    </row>
    <row r="151" spans="1:123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4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/>
      <c r="DR151" s="72">
        <f t="shared" si="5"/>
        <v>20</v>
      </c>
      <c r="DS151" s="77"/>
    </row>
    <row r="152" spans="1:123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4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/>
      <c r="DR152" s="72">
        <f t="shared" si="5"/>
        <v>0</v>
      </c>
      <c r="DS152" s="77"/>
    </row>
    <row r="153" spans="1:123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4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/>
      <c r="DR153" s="72">
        <f t="shared" si="5"/>
        <v>0</v>
      </c>
      <c r="DS153" s="77"/>
    </row>
    <row r="154" spans="1:123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4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/>
      <c r="DR154" s="72">
        <f t="shared" si="5"/>
        <v>0</v>
      </c>
      <c r="DS154" s="77"/>
    </row>
    <row r="155" spans="1:123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4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/>
      <c r="DR155" s="72">
        <f t="shared" si="5"/>
        <v>0</v>
      </c>
      <c r="DS155" s="77"/>
    </row>
    <row r="156" spans="1:123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4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/>
      <c r="DR156" s="72">
        <f t="shared" si="5"/>
        <v>0</v>
      </c>
      <c r="DS156" s="77"/>
    </row>
    <row r="157" spans="1:123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4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/>
      <c r="DR157" s="72">
        <f t="shared" si="5"/>
        <v>54</v>
      </c>
      <c r="DS157" s="77"/>
    </row>
    <row r="158" spans="1:123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4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/>
      <c r="DR158" s="72">
        <f t="shared" si="5"/>
        <v>1163</v>
      </c>
      <c r="DS158" s="77"/>
    </row>
    <row r="159" spans="1:123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4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/>
      <c r="DR159" s="72">
        <f t="shared" si="5"/>
        <v>662</v>
      </c>
      <c r="DS159" s="77"/>
    </row>
    <row r="160" spans="1:123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4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/>
      <c r="DR160" s="72">
        <f t="shared" si="5"/>
        <v>0</v>
      </c>
      <c r="DS160" s="77"/>
    </row>
    <row r="161" spans="1:123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4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/>
      <c r="DR161" s="72">
        <f t="shared" si="5"/>
        <v>0</v>
      </c>
      <c r="DS161" s="77"/>
    </row>
    <row r="162" spans="1:123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4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/>
      <c r="DR162" s="72">
        <f t="shared" si="5"/>
        <v>0</v>
      </c>
      <c r="DS162" s="77"/>
    </row>
    <row r="163" spans="1:123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4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/>
      <c r="DR163" s="72">
        <f t="shared" si="5"/>
        <v>30</v>
      </c>
      <c r="DS163" s="77"/>
    </row>
    <row r="164" spans="1:123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4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/>
      <c r="DR164" s="72">
        <f t="shared" si="5"/>
        <v>30</v>
      </c>
      <c r="DS164" s="77"/>
    </row>
    <row r="165" spans="1:123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4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/>
      <c r="DR165" s="72">
        <f t="shared" si="5"/>
        <v>10</v>
      </c>
      <c r="DS165" s="77"/>
    </row>
    <row r="166" spans="1:123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4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/>
      <c r="DR166" s="72">
        <f t="shared" si="5"/>
        <v>10</v>
      </c>
      <c r="DS166" s="77"/>
    </row>
    <row r="167" spans="1:123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4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/>
      <c r="DR167" s="72">
        <f t="shared" si="5"/>
        <v>4</v>
      </c>
      <c r="DS167" s="77"/>
    </row>
    <row r="168" spans="1:123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4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/>
      <c r="DR168" s="72">
        <f t="shared" si="5"/>
        <v>14</v>
      </c>
      <c r="DS168" s="77"/>
    </row>
    <row r="169" spans="1:123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4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/>
      <c r="DR169" s="72">
        <f t="shared" si="5"/>
        <v>491</v>
      </c>
      <c r="DS169" s="77"/>
    </row>
    <row r="170" spans="1:123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4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/>
      <c r="DR170" s="72">
        <f t="shared" si="5"/>
        <v>0</v>
      </c>
      <c r="DS170" s="77"/>
    </row>
    <row r="171" spans="1:123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4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/>
      <c r="DR171" s="72">
        <f t="shared" si="5"/>
        <v>139</v>
      </c>
      <c r="DS171" s="77"/>
    </row>
    <row r="172" spans="1:123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4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/>
      <c r="DR172" s="72">
        <f t="shared" si="5"/>
        <v>3112</v>
      </c>
      <c r="DS172" s="90"/>
    </row>
    <row r="173" spans="1:123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4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/>
      <c r="DR173" s="72">
        <f t="shared" si="5"/>
        <v>3538</v>
      </c>
      <c r="DS173" s="90"/>
    </row>
    <row r="174" spans="1:123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4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/>
      <c r="DR174" s="72">
        <f t="shared" si="5"/>
        <v>1000</v>
      </c>
      <c r="DS174" s="90"/>
    </row>
    <row r="175" spans="1:123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4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/>
      <c r="DR175" s="72">
        <f t="shared" si="5"/>
        <v>8</v>
      </c>
      <c r="DS175" s="90"/>
    </row>
    <row r="176" spans="1:123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4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/>
      <c r="DR176" s="72">
        <f t="shared" si="5"/>
        <v>12</v>
      </c>
      <c r="DS176" s="138"/>
    </row>
    <row r="177" spans="1:123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4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/>
      <c r="DR177" s="72">
        <f t="shared" si="5"/>
        <v>427</v>
      </c>
      <c r="DS177" s="139"/>
    </row>
    <row r="178" spans="1:123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4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/>
      <c r="DR178" s="72">
        <f t="shared" si="5"/>
        <v>0</v>
      </c>
      <c r="DS178" s="77"/>
    </row>
    <row r="179" spans="1:123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4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/>
      <c r="DR179" s="72">
        <f t="shared" si="5"/>
        <v>0</v>
      </c>
      <c r="DS179" s="77"/>
    </row>
    <row r="180" spans="1:123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4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/>
      <c r="DR180" s="72">
        <f t="shared" si="5"/>
        <v>407</v>
      </c>
      <c r="DS180" s="137"/>
    </row>
    <row r="181" spans="1:123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4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/>
      <c r="DR181" s="72">
        <f t="shared" si="5"/>
        <v>0</v>
      </c>
      <c r="DS181" s="77"/>
    </row>
    <row r="182" spans="1:123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4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/>
      <c r="DR182" s="72">
        <f t="shared" si="5"/>
        <v>30</v>
      </c>
      <c r="DS182" s="77"/>
    </row>
    <row r="183" spans="1:123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4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/>
      <c r="DR183" s="72">
        <f t="shared" si="5"/>
        <v>0</v>
      </c>
      <c r="DS183" s="77"/>
    </row>
    <row r="184" spans="1:123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4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/>
      <c r="DR184" s="72">
        <f t="shared" si="5"/>
        <v>0</v>
      </c>
      <c r="DS184" s="137"/>
    </row>
    <row r="185" spans="1:123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4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/>
      <c r="DR185" s="72">
        <f t="shared" si="5"/>
        <v>1918</v>
      </c>
      <c r="DS185" s="77"/>
    </row>
    <row r="186" spans="1:123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4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/>
      <c r="DR186" s="72">
        <f t="shared" si="5"/>
        <v>6486</v>
      </c>
      <c r="DS186" s="77"/>
    </row>
    <row r="187" spans="1:123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4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/>
      <c r="DR187" s="72">
        <f t="shared" si="5"/>
        <v>87</v>
      </c>
      <c r="DS187" s="139"/>
    </row>
    <row r="188" spans="1:123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4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/>
      <c r="DR188" s="72">
        <f t="shared" si="5"/>
        <v>10</v>
      </c>
      <c r="DS188" s="77"/>
    </row>
    <row r="189" spans="1:123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4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/>
      <c r="DR189" s="72">
        <f t="shared" si="5"/>
        <v>0</v>
      </c>
      <c r="DS189" s="90"/>
    </row>
    <row r="190" spans="1:123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4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/>
      <c r="DR190" s="72">
        <f t="shared" si="5"/>
        <v>0</v>
      </c>
      <c r="DS190" s="77"/>
    </row>
    <row r="191" spans="1:123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4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/>
      <c r="DR191" s="72">
        <f t="shared" si="5"/>
        <v>1</v>
      </c>
      <c r="DS191" s="77"/>
    </row>
    <row r="192" spans="1:123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4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/>
      <c r="DR192" s="72">
        <f t="shared" si="5"/>
        <v>3</v>
      </c>
      <c r="DS192" s="77"/>
    </row>
    <row r="193" spans="1:123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4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/>
      <c r="DR193" s="72">
        <f t="shared" si="5"/>
        <v>264</v>
      </c>
      <c r="DS193" s="77"/>
    </row>
    <row r="194" spans="1:123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4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/>
      <c r="DR194" s="72">
        <f t="shared" si="5"/>
        <v>83</v>
      </c>
      <c r="DS194" s="77"/>
    </row>
    <row r="195" spans="1:123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8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/>
      <c r="DR195" s="72">
        <f t="shared" ref="DR195:DR258" si="9">DP195-DQ195</f>
        <v>763</v>
      </c>
      <c r="DS195" s="77"/>
    </row>
    <row r="196" spans="1:123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8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/>
      <c r="DR196" s="72">
        <f t="shared" si="9"/>
        <v>476</v>
      </c>
      <c r="DS196" s="77"/>
    </row>
    <row r="197" spans="1:123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8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/>
      <c r="DR197" s="72">
        <f t="shared" si="9"/>
        <v>492</v>
      </c>
      <c r="DS197" s="77"/>
    </row>
    <row r="198" spans="1:123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8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/>
      <c r="DR198" s="72">
        <f t="shared" si="9"/>
        <v>100</v>
      </c>
      <c r="DS198" s="77"/>
    </row>
    <row r="199" spans="1:123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8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/>
      <c r="DR199" s="72">
        <f t="shared" si="9"/>
        <v>488</v>
      </c>
      <c r="DS199" s="77"/>
    </row>
    <row r="200" spans="1:123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8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/>
      <c r="DR200" s="72">
        <f t="shared" si="9"/>
        <v>302</v>
      </c>
      <c r="DS200" s="77"/>
    </row>
    <row r="201" spans="1:123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8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/>
      <c r="DR201" s="72">
        <f t="shared" si="9"/>
        <v>102</v>
      </c>
      <c r="DS201" s="77"/>
    </row>
    <row r="202" spans="1:123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8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/>
      <c r="DR202" s="72">
        <f t="shared" si="9"/>
        <v>76</v>
      </c>
      <c r="DS202" s="77"/>
    </row>
    <row r="203" spans="1:123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8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/>
      <c r="DR203" s="72">
        <f t="shared" si="9"/>
        <v>0</v>
      </c>
      <c r="DS203" s="77"/>
    </row>
    <row r="204" spans="1:123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8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/>
      <c r="DR204" s="72">
        <f t="shared" si="9"/>
        <v>0</v>
      </c>
      <c r="DS204" s="77"/>
    </row>
    <row r="205" spans="1:123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8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/>
      <c r="DR205" s="72">
        <f t="shared" si="9"/>
        <v>57</v>
      </c>
      <c r="DS205" s="77"/>
    </row>
    <row r="206" spans="1:123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8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/>
      <c r="DR206" s="72">
        <f t="shared" si="9"/>
        <v>14</v>
      </c>
      <c r="DS206" s="77"/>
    </row>
    <row r="207" spans="1:123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8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/>
      <c r="DR207" s="72">
        <f t="shared" si="9"/>
        <v>295</v>
      </c>
      <c r="DS207" s="77"/>
    </row>
    <row r="208" spans="1:123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8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/>
      <c r="DR208" s="72">
        <f t="shared" si="9"/>
        <v>325</v>
      </c>
      <c r="DS208" s="77"/>
    </row>
    <row r="209" spans="1:123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8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/>
      <c r="DR209" s="72">
        <f t="shared" si="9"/>
        <v>332</v>
      </c>
      <c r="DS209" s="77"/>
    </row>
    <row r="210" spans="1:123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8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/>
      <c r="DR210" s="72">
        <f t="shared" si="9"/>
        <v>1275</v>
      </c>
      <c r="DS210" s="77"/>
    </row>
    <row r="211" spans="1:123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8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/>
      <c r="DR211" s="72">
        <f t="shared" si="9"/>
        <v>884</v>
      </c>
      <c r="DS211" s="77"/>
    </row>
    <row r="212" spans="1:123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8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/>
      <c r="DR212" s="72">
        <f t="shared" si="9"/>
        <v>135</v>
      </c>
      <c r="DS212" s="77"/>
    </row>
    <row r="213" spans="1:123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8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/>
      <c r="DR213" s="72">
        <f t="shared" si="9"/>
        <v>804</v>
      </c>
      <c r="DS213" s="77"/>
    </row>
    <row r="214" spans="1:123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8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/>
      <c r="DR214" s="72">
        <f t="shared" si="9"/>
        <v>969</v>
      </c>
      <c r="DS214" s="77"/>
    </row>
    <row r="215" spans="1:123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8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/>
      <c r="DR215" s="72">
        <f t="shared" si="9"/>
        <v>16</v>
      </c>
      <c r="DS215" s="77"/>
    </row>
    <row r="216" spans="1:123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8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/>
      <c r="DR216" s="72">
        <f t="shared" si="9"/>
        <v>1490</v>
      </c>
      <c r="DS216" s="77"/>
    </row>
    <row r="217" spans="1:123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8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/>
      <c r="DR217" s="72">
        <f t="shared" si="9"/>
        <v>1223</v>
      </c>
      <c r="DS217" s="77"/>
    </row>
    <row r="218" spans="1:123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8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/>
      <c r="DR218" s="72">
        <f t="shared" si="9"/>
        <v>0</v>
      </c>
      <c r="DS218" s="77"/>
    </row>
    <row r="219" spans="1:123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8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/>
      <c r="DR219" s="72">
        <f t="shared" si="9"/>
        <v>1154</v>
      </c>
      <c r="DS219" s="77"/>
    </row>
    <row r="220" spans="1:123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8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/>
      <c r="DR220" s="72">
        <f t="shared" si="9"/>
        <v>1322</v>
      </c>
      <c r="DS220" s="77"/>
    </row>
    <row r="221" spans="1:123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8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/>
      <c r="DR221" s="72">
        <f t="shared" si="9"/>
        <v>11439</v>
      </c>
      <c r="DS221" s="139"/>
    </row>
    <row r="222" spans="1:123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8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/>
      <c r="DR222" s="72">
        <f t="shared" si="9"/>
        <v>945</v>
      </c>
      <c r="DS222" s="139"/>
    </row>
    <row r="223" spans="1:123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8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/>
      <c r="DR223" s="72">
        <f t="shared" si="9"/>
        <v>687</v>
      </c>
      <c r="DS223" s="77"/>
    </row>
    <row r="224" spans="1:123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8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/>
      <c r="DR224" s="72">
        <f t="shared" si="9"/>
        <v>101</v>
      </c>
      <c r="DS224" s="77"/>
    </row>
    <row r="225" spans="1:123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8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/>
      <c r="DR225" s="72">
        <f t="shared" si="9"/>
        <v>312</v>
      </c>
      <c r="DS225" s="77"/>
    </row>
    <row r="226" spans="1:123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8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/>
      <c r="DR226" s="72">
        <f t="shared" si="9"/>
        <v>88</v>
      </c>
      <c r="DS226" s="77"/>
    </row>
    <row r="227" spans="1:123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8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/>
      <c r="DR227" s="72">
        <f t="shared" si="9"/>
        <v>114</v>
      </c>
      <c r="DS227" s="77"/>
    </row>
    <row r="228" spans="1:123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8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/>
      <c r="DR228" s="72">
        <f t="shared" si="9"/>
        <v>0</v>
      </c>
      <c r="DS228" s="77"/>
    </row>
    <row r="229" spans="1:123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8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/>
      <c r="DR229" s="72">
        <f t="shared" si="9"/>
        <v>10</v>
      </c>
      <c r="DS229" s="77"/>
    </row>
    <row r="230" spans="1:123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8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/>
      <c r="DR230" s="72">
        <f t="shared" si="9"/>
        <v>0</v>
      </c>
      <c r="DS230" s="77"/>
    </row>
    <row r="231" spans="1:123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8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/>
      <c r="DR231" s="72">
        <f t="shared" si="9"/>
        <v>0</v>
      </c>
      <c r="DS231" s="77"/>
    </row>
    <row r="232" spans="1:123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8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/>
      <c r="DR232" s="72">
        <f t="shared" si="9"/>
        <v>26</v>
      </c>
      <c r="DS232" s="134"/>
    </row>
    <row r="233" spans="1:123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8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/>
      <c r="DR233" s="72">
        <f t="shared" si="9"/>
        <v>10</v>
      </c>
      <c r="DS233" s="77"/>
    </row>
    <row r="234" spans="1:123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8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/>
      <c r="DR234" s="72">
        <f t="shared" si="9"/>
        <v>21</v>
      </c>
      <c r="DS234" s="77"/>
    </row>
    <row r="235" spans="1:123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8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/>
      <c r="DR235" s="72">
        <f t="shared" si="9"/>
        <v>0</v>
      </c>
      <c r="DS235" s="77"/>
    </row>
    <row r="236" spans="1:123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8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/>
      <c r="DR236" s="72">
        <f t="shared" si="9"/>
        <v>49</v>
      </c>
      <c r="DS236" s="137"/>
    </row>
    <row r="237" spans="1:123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8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/>
      <c r="DR237" s="72">
        <f t="shared" si="9"/>
        <v>21</v>
      </c>
      <c r="DS237" s="77"/>
    </row>
    <row r="238" spans="1:123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8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/>
      <c r="DR238" s="72">
        <f t="shared" si="9"/>
        <v>4</v>
      </c>
      <c r="DS238" s="77"/>
    </row>
    <row r="239" spans="1:123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8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/>
      <c r="DR239" s="72">
        <f t="shared" si="9"/>
        <v>30</v>
      </c>
      <c r="DS239" s="77"/>
    </row>
    <row r="240" spans="1:123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8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/>
      <c r="DR240" s="72">
        <f t="shared" si="9"/>
        <v>4</v>
      </c>
      <c r="DS240" s="77"/>
    </row>
    <row r="241" spans="1:123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8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/>
      <c r="DR241" s="72">
        <f t="shared" si="9"/>
        <v>20</v>
      </c>
      <c r="DS241" s="77"/>
    </row>
    <row r="242" spans="1:123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8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/>
      <c r="DR242" s="72">
        <f t="shared" si="9"/>
        <v>39</v>
      </c>
      <c r="DS242" s="77"/>
    </row>
    <row r="243" spans="1:123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8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/>
      <c r="DR243" s="72">
        <f t="shared" si="9"/>
        <v>8</v>
      </c>
      <c r="DS243" s="77"/>
    </row>
    <row r="244" spans="1:123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8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/>
      <c r="DR244" s="72">
        <f t="shared" si="9"/>
        <v>4</v>
      </c>
      <c r="DS244" s="77"/>
    </row>
    <row r="245" spans="1:123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8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/>
      <c r="DR245" s="72">
        <f t="shared" si="9"/>
        <v>12</v>
      </c>
      <c r="DS245" s="77"/>
    </row>
    <row r="246" spans="1:123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8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/>
      <c r="DR246" s="72">
        <f t="shared" si="9"/>
        <v>0</v>
      </c>
      <c r="DS246" s="77"/>
    </row>
    <row r="247" spans="1:123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8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/>
      <c r="DR247" s="72">
        <f t="shared" si="9"/>
        <v>8</v>
      </c>
      <c r="DS247" s="77"/>
    </row>
    <row r="248" spans="1:123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8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/>
      <c r="DR248" s="72">
        <f t="shared" si="9"/>
        <v>7</v>
      </c>
      <c r="DS248" s="77"/>
    </row>
    <row r="249" spans="1:123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8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/>
      <c r="DR249" s="72">
        <f t="shared" si="9"/>
        <v>1</v>
      </c>
      <c r="DS249" s="77"/>
    </row>
    <row r="250" spans="1:123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8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/>
      <c r="DR250" s="72">
        <f t="shared" si="9"/>
        <v>8</v>
      </c>
      <c r="DS250" s="77"/>
    </row>
    <row r="251" spans="1:123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8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/>
      <c r="DR251" s="72">
        <f t="shared" si="9"/>
        <v>3</v>
      </c>
      <c r="DS251" s="77"/>
    </row>
    <row r="252" spans="1:123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8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/>
      <c r="DR252" s="72">
        <f t="shared" si="9"/>
        <v>5</v>
      </c>
      <c r="DS252" s="77"/>
    </row>
    <row r="253" spans="1:123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8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/>
      <c r="DR253" s="72">
        <f t="shared" si="9"/>
        <v>0</v>
      </c>
      <c r="DS253" s="77"/>
    </row>
    <row r="254" spans="1:123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8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/>
      <c r="DR254" s="72">
        <f t="shared" si="9"/>
        <v>5</v>
      </c>
      <c r="DS254" s="77"/>
    </row>
    <row r="255" spans="1:123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8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/>
      <c r="DR255" s="72">
        <f t="shared" si="9"/>
        <v>0</v>
      </c>
      <c r="DS255" s="77"/>
    </row>
    <row r="256" spans="1:123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8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/>
      <c r="DR256" s="72">
        <f t="shared" si="9"/>
        <v>0</v>
      </c>
      <c r="DS256" s="77"/>
    </row>
    <row r="257" spans="1:123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8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/>
      <c r="DR257" s="72">
        <f t="shared" si="9"/>
        <v>0</v>
      </c>
      <c r="DS257" s="77"/>
    </row>
    <row r="258" spans="1:123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8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/>
      <c r="DR258" s="72">
        <f t="shared" si="9"/>
        <v>0</v>
      </c>
      <c r="DS258" s="77"/>
    </row>
    <row r="259" spans="1:123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10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/>
      <c r="DR259" s="72">
        <f t="shared" ref="DR259:DR322" si="11">DP259-DQ259</f>
        <v>0</v>
      </c>
      <c r="DS259" s="77"/>
    </row>
    <row r="260" spans="1:123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10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/>
      <c r="DR260" s="72">
        <f t="shared" si="11"/>
        <v>3</v>
      </c>
      <c r="DS260" s="137"/>
    </row>
    <row r="261" spans="1:123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10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/>
      <c r="DR261" s="72">
        <f t="shared" si="11"/>
        <v>0</v>
      </c>
      <c r="DS261" s="90"/>
    </row>
    <row r="262" spans="1:123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10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/>
      <c r="DR262" s="72">
        <f t="shared" si="11"/>
        <v>23</v>
      </c>
      <c r="DS262" s="77"/>
    </row>
    <row r="263" spans="1:123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10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/>
      <c r="DR263" s="72">
        <f t="shared" si="11"/>
        <v>1</v>
      </c>
      <c r="DS263" s="77"/>
    </row>
    <row r="264" spans="1:123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10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/>
      <c r="DR264" s="72">
        <f t="shared" si="11"/>
        <v>40</v>
      </c>
      <c r="DS264" s="77"/>
    </row>
    <row r="265" spans="1:123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10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/>
      <c r="DR265" s="72">
        <f t="shared" si="11"/>
        <v>1</v>
      </c>
      <c r="DS265" s="77"/>
    </row>
    <row r="266" spans="1:123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10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/>
      <c r="DR266" s="72">
        <f t="shared" si="11"/>
        <v>42</v>
      </c>
      <c r="DS266" s="77"/>
    </row>
    <row r="267" spans="1:123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10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/>
      <c r="DR267" s="72">
        <f t="shared" si="11"/>
        <v>0</v>
      </c>
      <c r="DS267" s="77"/>
    </row>
    <row r="268" spans="1:123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10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/>
      <c r="DR268" s="72">
        <f t="shared" si="11"/>
        <v>3</v>
      </c>
      <c r="DS268" s="77"/>
    </row>
    <row r="269" spans="1:123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10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/>
      <c r="DR269" s="72">
        <f t="shared" si="11"/>
        <v>4</v>
      </c>
      <c r="DS269" s="77"/>
    </row>
    <row r="270" spans="1:123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10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/>
      <c r="DR270" s="72">
        <f t="shared" si="11"/>
        <v>472</v>
      </c>
      <c r="DS270" s="137"/>
    </row>
    <row r="271" spans="1:123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10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/>
      <c r="DR271" s="72">
        <f t="shared" si="11"/>
        <v>1</v>
      </c>
      <c r="DS271" s="77"/>
    </row>
    <row r="272" spans="1:123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10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/>
      <c r="DR272" s="72">
        <f t="shared" si="11"/>
        <v>1</v>
      </c>
      <c r="DS272" s="77"/>
    </row>
    <row r="273" spans="1:123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10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/>
      <c r="DR273" s="72">
        <f t="shared" si="11"/>
        <v>1</v>
      </c>
      <c r="DS273" s="77"/>
    </row>
    <row r="274" spans="1:123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10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/>
      <c r="DR274" s="72">
        <f t="shared" si="11"/>
        <v>1</v>
      </c>
      <c r="DS274" s="90"/>
    </row>
    <row r="275" spans="1:123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10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/>
      <c r="DR275" s="72">
        <f t="shared" si="11"/>
        <v>0</v>
      </c>
      <c r="DS275" s="134"/>
    </row>
    <row r="276" spans="1:123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10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/>
      <c r="DR276" s="72">
        <f t="shared" si="11"/>
        <v>0</v>
      </c>
      <c r="DS276" s="77"/>
    </row>
    <row r="277" spans="1:123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10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/>
      <c r="DR277" s="72">
        <f t="shared" si="11"/>
        <v>0</v>
      </c>
      <c r="DS277" s="137"/>
    </row>
    <row r="278" spans="1:123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10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/>
      <c r="DR278" s="72">
        <f t="shared" si="11"/>
        <v>0</v>
      </c>
      <c r="DS278" s="77"/>
    </row>
    <row r="279" spans="1:123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10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/>
      <c r="DR279" s="72">
        <f t="shared" si="11"/>
        <v>0</v>
      </c>
      <c r="DS279" s="77"/>
    </row>
    <row r="280" spans="1:123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10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/>
      <c r="DR280" s="72">
        <f t="shared" si="11"/>
        <v>1</v>
      </c>
      <c r="DS280" s="77"/>
    </row>
    <row r="281" spans="1:123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10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  <c r="DQ281" s="72"/>
      <c r="DR281" s="72">
        <f t="shared" si="11"/>
        <v>0</v>
      </c>
      <c r="DS281" s="77"/>
    </row>
    <row r="282" spans="1:123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10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  <c r="DQ282" s="72"/>
      <c r="DR282" s="72">
        <f t="shared" si="11"/>
        <v>5</v>
      </c>
      <c r="DS282" s="77"/>
    </row>
    <row r="283" spans="1:123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10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  <c r="DQ283" s="72"/>
      <c r="DR283" s="72">
        <f t="shared" si="11"/>
        <v>0</v>
      </c>
      <c r="DS283" s="77"/>
    </row>
    <row r="284" spans="1:123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10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  <c r="DQ284" s="72"/>
      <c r="DR284" s="72">
        <f t="shared" si="11"/>
        <v>1</v>
      </c>
      <c r="DS284" s="77"/>
    </row>
    <row r="285" spans="1:123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10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/>
      <c r="DR285" s="72">
        <f t="shared" si="11"/>
        <v>0</v>
      </c>
      <c r="DS285" s="77"/>
    </row>
    <row r="286" spans="1:123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10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/>
      <c r="DR286" s="72">
        <f t="shared" si="11"/>
        <v>0</v>
      </c>
      <c r="DS286" s="77"/>
    </row>
    <row r="287" spans="1:123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10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  <c r="DQ287" s="72"/>
      <c r="DR287" s="72">
        <f t="shared" si="11"/>
        <v>2</v>
      </c>
      <c r="DS287" s="137"/>
    </row>
    <row r="288" spans="1:123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10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/>
      <c r="DR288" s="72">
        <f t="shared" si="11"/>
        <v>0</v>
      </c>
      <c r="DS288" s="77"/>
    </row>
    <row r="289" spans="1:123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10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/>
      <c r="DR289" s="72">
        <f t="shared" si="11"/>
        <v>0</v>
      </c>
      <c r="DS289" s="77"/>
    </row>
    <row r="290" spans="1:123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10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/>
      <c r="DR290" s="72">
        <f t="shared" si="11"/>
        <v>0</v>
      </c>
      <c r="DS290" s="77"/>
    </row>
    <row r="291" spans="1:123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10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/>
      <c r="DR291" s="72">
        <f t="shared" si="11"/>
        <v>0</v>
      </c>
      <c r="DS291" s="77"/>
    </row>
    <row r="292" spans="1:123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10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/>
      <c r="DR292" s="72">
        <f t="shared" si="11"/>
        <v>0</v>
      </c>
      <c r="DS292" s="77"/>
    </row>
    <row r="293" spans="1:123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10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/>
      <c r="DR293" s="72">
        <f t="shared" si="11"/>
        <v>0</v>
      </c>
      <c r="DS293" s="77"/>
    </row>
    <row r="294" spans="1:123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10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  <c r="DQ294" s="72"/>
      <c r="DR294" s="72">
        <f t="shared" si="11"/>
        <v>1</v>
      </c>
      <c r="DS294" s="137"/>
    </row>
    <row r="295" spans="1:123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10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72">
        <f t="shared" si="11"/>
        <v>0</v>
      </c>
      <c r="DS295" s="77"/>
    </row>
    <row r="296" spans="1:123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10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/>
      <c r="DR296" s="72">
        <f t="shared" si="11"/>
        <v>0</v>
      </c>
      <c r="DS296" s="77"/>
    </row>
    <row r="297" spans="1:123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10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/>
      <c r="DR297" s="72">
        <f t="shared" si="11"/>
        <v>0</v>
      </c>
      <c r="DS297" s="77"/>
    </row>
    <row r="298" spans="1:123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10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/>
      <c r="DR298" s="72">
        <f t="shared" si="11"/>
        <v>0</v>
      </c>
      <c r="DS298" s="77"/>
    </row>
    <row r="299" spans="1:123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10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/>
      <c r="DR299" s="72">
        <f t="shared" si="11"/>
        <v>0</v>
      </c>
      <c r="DS299" s="77"/>
    </row>
    <row r="300" spans="1:123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10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  <c r="DQ300" s="72"/>
      <c r="DR300" s="72">
        <f t="shared" si="11"/>
        <v>252</v>
      </c>
      <c r="DS300" s="137"/>
    </row>
    <row r="301" spans="1:123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10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/>
      <c r="DR301" s="72">
        <f t="shared" si="11"/>
        <v>0</v>
      </c>
      <c r="DS301" s="137"/>
    </row>
    <row r="302" spans="1:123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10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/>
      <c r="DR302" s="72">
        <f t="shared" si="11"/>
        <v>0</v>
      </c>
      <c r="DS302" s="77"/>
    </row>
    <row r="303" spans="1:123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10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/>
      <c r="DR303" s="72">
        <f t="shared" si="11"/>
        <v>0</v>
      </c>
      <c r="DS303" s="77"/>
    </row>
    <row r="304" spans="1:123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10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/>
      <c r="DR304" s="72">
        <f t="shared" si="11"/>
        <v>0</v>
      </c>
      <c r="DS304" s="77"/>
    </row>
    <row r="305" spans="1:123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10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  <c r="DQ305" s="72"/>
      <c r="DR305" s="72">
        <f t="shared" si="11"/>
        <v>2</v>
      </c>
      <c r="DS305" s="77"/>
    </row>
    <row r="306" spans="1:123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10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  <c r="DQ306" s="72"/>
      <c r="DR306" s="72">
        <f t="shared" si="11"/>
        <v>3</v>
      </c>
      <c r="DS306" s="137"/>
    </row>
    <row r="307" spans="1:123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10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  <c r="DQ307" s="72"/>
      <c r="DR307" s="72">
        <f t="shared" si="11"/>
        <v>0</v>
      </c>
      <c r="DS307" s="77"/>
    </row>
    <row r="308" spans="1:123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10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/>
      <c r="DR308" s="72">
        <f t="shared" si="11"/>
        <v>0</v>
      </c>
      <c r="DS308" s="134"/>
    </row>
    <row r="309" spans="1:123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10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/>
      <c r="DR309" s="72">
        <f t="shared" si="11"/>
        <v>0</v>
      </c>
      <c r="DS309" s="77"/>
    </row>
    <row r="310" spans="1:123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10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/>
      <c r="DR310" s="72">
        <f t="shared" si="11"/>
        <v>0</v>
      </c>
      <c r="DS310" s="77"/>
    </row>
    <row r="311" spans="1:123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10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/>
      <c r="DR311" s="72">
        <f t="shared" si="11"/>
        <v>0</v>
      </c>
      <c r="DS311" s="77"/>
    </row>
    <row r="312" spans="1:123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10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  <c r="DQ312" s="72"/>
      <c r="DR312" s="72">
        <f t="shared" si="11"/>
        <v>1</v>
      </c>
      <c r="DS312" s="77"/>
    </row>
    <row r="313" spans="1:123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10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  <c r="DQ313" s="72">
        <v>8</v>
      </c>
      <c r="DR313" s="72">
        <f t="shared" si="11"/>
        <v>0</v>
      </c>
      <c r="DS313" s="77" t="s">
        <v>1593</v>
      </c>
    </row>
    <row r="314" spans="1:123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10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  <c r="DQ314" s="72">
        <v>8</v>
      </c>
      <c r="DR314" s="72">
        <f t="shared" si="11"/>
        <v>0</v>
      </c>
      <c r="DS314" s="77" t="s">
        <v>1593</v>
      </c>
    </row>
    <row r="315" spans="1:123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10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  <c r="DQ315" s="72"/>
      <c r="DR315" s="72">
        <f t="shared" si="11"/>
        <v>60</v>
      </c>
      <c r="DS315" s="77"/>
    </row>
    <row r="316" spans="1:123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10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/>
      <c r="DR316" s="72">
        <f t="shared" si="11"/>
        <v>1</v>
      </c>
      <c r="DS316" s="77"/>
    </row>
    <row r="317" spans="1:123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10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  <c r="DQ317" s="72"/>
      <c r="DR317" s="72">
        <f t="shared" si="11"/>
        <v>3</v>
      </c>
      <c r="DS317" s="77"/>
    </row>
    <row r="318" spans="1:123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10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  <c r="DQ318" s="72"/>
      <c r="DR318" s="72">
        <f t="shared" si="11"/>
        <v>61</v>
      </c>
      <c r="DS318" s="77"/>
    </row>
    <row r="319" spans="1:123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10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  <c r="DQ319" s="72"/>
      <c r="DR319" s="72">
        <f t="shared" si="11"/>
        <v>53</v>
      </c>
      <c r="DS319" s="77"/>
    </row>
    <row r="320" spans="1:123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10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  <c r="DQ320" s="72"/>
      <c r="DR320" s="72">
        <f t="shared" si="11"/>
        <v>28</v>
      </c>
      <c r="DS320" s="77"/>
    </row>
    <row r="321" spans="1:123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10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  <c r="DQ321" s="72"/>
      <c r="DR321" s="72">
        <f t="shared" si="11"/>
        <v>267</v>
      </c>
      <c r="DS321" s="77"/>
    </row>
    <row r="322" spans="1:123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10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/>
      <c r="DR322" s="72">
        <f t="shared" si="11"/>
        <v>3</v>
      </c>
      <c r="DS322" s="77"/>
    </row>
    <row r="323" spans="1:123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12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  <c r="DQ323" s="72"/>
      <c r="DR323" s="72">
        <f t="shared" ref="DR323:DR386" si="13">DP323-DQ323</f>
        <v>2</v>
      </c>
      <c r="DS323" s="77"/>
    </row>
    <row r="324" spans="1:123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12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  <c r="DQ324" s="72"/>
      <c r="DR324" s="72">
        <f t="shared" si="13"/>
        <v>7</v>
      </c>
      <c r="DS324" s="77"/>
    </row>
    <row r="325" spans="1:123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12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  <c r="DQ325" s="72"/>
      <c r="DR325" s="72">
        <f t="shared" si="13"/>
        <v>5</v>
      </c>
      <c r="DS325" s="77"/>
    </row>
    <row r="326" spans="1:123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12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  <c r="DQ326" s="72"/>
      <c r="DR326" s="72">
        <f t="shared" si="13"/>
        <v>10</v>
      </c>
      <c r="DS326" s="77"/>
    </row>
    <row r="327" spans="1:123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12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  <c r="DQ327" s="72"/>
      <c r="DR327" s="72">
        <f t="shared" si="13"/>
        <v>223</v>
      </c>
      <c r="DS327" s="77"/>
    </row>
    <row r="328" spans="1:123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12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  <c r="DQ328" s="72"/>
      <c r="DR328" s="72">
        <f t="shared" si="13"/>
        <v>7</v>
      </c>
      <c r="DS328" s="77"/>
    </row>
    <row r="329" spans="1:123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12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  <c r="DQ329" s="72"/>
      <c r="DR329" s="72">
        <f t="shared" si="13"/>
        <v>1</v>
      </c>
      <c r="DS329" s="77"/>
    </row>
    <row r="330" spans="1:123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12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  <c r="DQ330" s="72"/>
      <c r="DR330" s="72">
        <f t="shared" si="13"/>
        <v>1</v>
      </c>
      <c r="DS330" s="77"/>
    </row>
    <row r="331" spans="1:123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12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/>
      <c r="DR331" s="72">
        <f t="shared" si="13"/>
        <v>1</v>
      </c>
      <c r="DS331" s="77"/>
    </row>
    <row r="332" spans="1:123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12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/>
      <c r="DR332" s="72">
        <f t="shared" si="13"/>
        <v>0</v>
      </c>
      <c r="DS332" s="77"/>
    </row>
    <row r="333" spans="1:123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12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/>
      <c r="DR333" s="72">
        <f t="shared" si="13"/>
        <v>0</v>
      </c>
      <c r="DS333" s="90"/>
    </row>
    <row r="334" spans="1:123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12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  <c r="DQ334" s="72"/>
      <c r="DR334" s="72">
        <f t="shared" si="13"/>
        <v>97</v>
      </c>
      <c r="DS334" s="90"/>
    </row>
    <row r="335" spans="1:123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12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  <c r="DQ335" s="72"/>
      <c r="DR335" s="72">
        <f t="shared" si="13"/>
        <v>49</v>
      </c>
      <c r="DS335" s="90"/>
    </row>
    <row r="336" spans="1:123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12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  <c r="DQ336" s="72"/>
      <c r="DR336" s="72">
        <f t="shared" si="13"/>
        <v>266</v>
      </c>
      <c r="DS336" s="90"/>
    </row>
    <row r="337" spans="1:123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12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  <c r="DQ337" s="72"/>
      <c r="DR337" s="72">
        <f t="shared" si="13"/>
        <v>192</v>
      </c>
      <c r="DS337" s="90"/>
    </row>
    <row r="338" spans="1:123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12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  <c r="DQ338" s="72"/>
      <c r="DR338" s="72">
        <f t="shared" si="13"/>
        <v>619</v>
      </c>
      <c r="DS338" s="90"/>
    </row>
    <row r="339" spans="1:123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12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/>
      <c r="DR339" s="72">
        <f t="shared" si="13"/>
        <v>0</v>
      </c>
      <c r="DS339" s="77"/>
    </row>
    <row r="340" spans="1:123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12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  <c r="DQ340" s="72"/>
      <c r="DR340" s="72">
        <f t="shared" si="13"/>
        <v>4</v>
      </c>
      <c r="DS340" s="77"/>
    </row>
    <row r="341" spans="1:123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12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/>
      <c r="DR341" s="72">
        <f t="shared" si="13"/>
        <v>0</v>
      </c>
      <c r="DS341" s="77"/>
    </row>
    <row r="342" spans="1:123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12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/>
      <c r="DR342" s="72">
        <f t="shared" si="13"/>
        <v>0</v>
      </c>
      <c r="DS342" s="77"/>
    </row>
    <row r="343" spans="1:123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12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/>
      <c r="DR343" s="72">
        <f t="shared" si="13"/>
        <v>4</v>
      </c>
      <c r="DS343" s="137"/>
    </row>
    <row r="344" spans="1:123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12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  <c r="DQ344" s="72"/>
      <c r="DR344" s="72">
        <f t="shared" si="13"/>
        <v>1</v>
      </c>
      <c r="DS344" s="137"/>
    </row>
    <row r="345" spans="1:123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12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  <c r="DQ345" s="72"/>
      <c r="DR345" s="72">
        <f t="shared" si="13"/>
        <v>1</v>
      </c>
      <c r="DS345" s="137"/>
    </row>
    <row r="346" spans="1:123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12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14">3000-107</f>
        <v>2893</v>
      </c>
      <c r="DE346" s="72">
        <f t="shared" si="14"/>
        <v>2893</v>
      </c>
      <c r="DF346" s="72">
        <f t="shared" si="14"/>
        <v>2893</v>
      </c>
      <c r="DG346" s="72">
        <f t="shared" si="14"/>
        <v>2893</v>
      </c>
      <c r="DH346" s="72">
        <f t="shared" si="14"/>
        <v>2893</v>
      </c>
      <c r="DI346" s="72">
        <f t="shared" si="14"/>
        <v>2893</v>
      </c>
      <c r="DJ346" s="72">
        <f t="shared" ref="DJ346:DO346" si="15">3000-107</f>
        <v>2893</v>
      </c>
      <c r="DK346" s="72">
        <f t="shared" si="15"/>
        <v>2893</v>
      </c>
      <c r="DL346" s="72">
        <f t="shared" si="15"/>
        <v>2893</v>
      </c>
      <c r="DM346" s="72">
        <f t="shared" si="15"/>
        <v>2893</v>
      </c>
      <c r="DN346" s="72">
        <f t="shared" si="15"/>
        <v>2893</v>
      </c>
      <c r="DO346" s="72">
        <f t="shared" si="15"/>
        <v>2893</v>
      </c>
      <c r="DP346" s="72">
        <f>3000-107</f>
        <v>2893</v>
      </c>
      <c r="DQ346" s="72"/>
      <c r="DR346" s="72">
        <f t="shared" si="13"/>
        <v>2893</v>
      </c>
      <c r="DS346" s="77"/>
    </row>
    <row r="347" spans="1:123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12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/>
      <c r="DR347" s="72">
        <f t="shared" si="13"/>
        <v>0</v>
      </c>
      <c r="DS347" s="137"/>
    </row>
    <row r="348" spans="1:123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12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  <c r="DQ348" s="72"/>
      <c r="DR348" s="72">
        <f t="shared" si="13"/>
        <v>2</v>
      </c>
      <c r="DS348" s="77"/>
    </row>
    <row r="349" spans="1:123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12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  <c r="DQ349" s="72"/>
      <c r="DR349" s="72">
        <f t="shared" si="13"/>
        <v>20</v>
      </c>
      <c r="DS349" s="137"/>
    </row>
    <row r="350" spans="1:123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12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/>
      <c r="DR350" s="72">
        <f t="shared" si="13"/>
        <v>0</v>
      </c>
      <c r="DS350" s="77"/>
    </row>
    <row r="351" spans="1:123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12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  <c r="DQ351" s="72"/>
      <c r="DR351" s="72">
        <f t="shared" si="13"/>
        <v>2</v>
      </c>
      <c r="DS351" s="77"/>
    </row>
    <row r="352" spans="1:123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12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  <c r="DQ352" s="72"/>
      <c r="DR352" s="72">
        <f t="shared" si="13"/>
        <v>2</v>
      </c>
      <c r="DS352" s="77"/>
    </row>
    <row r="353" spans="1:123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12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  <c r="DQ353" s="72"/>
      <c r="DR353" s="72">
        <f t="shared" si="13"/>
        <v>6</v>
      </c>
      <c r="DS353" s="137"/>
    </row>
    <row r="354" spans="1:123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12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  <c r="DQ354" s="72"/>
      <c r="DR354" s="72">
        <f t="shared" si="13"/>
        <v>2</v>
      </c>
      <c r="DS354" s="77"/>
    </row>
    <row r="355" spans="1:123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12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/>
      <c r="DR355" s="72">
        <f t="shared" si="13"/>
        <v>0</v>
      </c>
      <c r="DS355" s="137"/>
    </row>
    <row r="356" spans="1:123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12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/>
      <c r="DR356" s="72">
        <f t="shared" si="13"/>
        <v>0</v>
      </c>
      <c r="DS356" s="77"/>
    </row>
    <row r="357" spans="1:123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12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/>
      <c r="DR357" s="72">
        <f t="shared" si="13"/>
        <v>2</v>
      </c>
      <c r="DS357" s="137"/>
    </row>
    <row r="358" spans="1:123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12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  <c r="DQ358" s="72"/>
      <c r="DR358" s="72">
        <f t="shared" si="13"/>
        <v>7</v>
      </c>
      <c r="DS358" s="77"/>
    </row>
    <row r="359" spans="1:123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12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/>
      <c r="DR359" s="72">
        <f t="shared" si="13"/>
        <v>0</v>
      </c>
      <c r="DS359" s="77"/>
    </row>
    <row r="360" spans="1:123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12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/>
      <c r="DR360" s="72">
        <f t="shared" si="13"/>
        <v>0</v>
      </c>
      <c r="DS360" s="77"/>
    </row>
    <row r="361" spans="1:123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12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  <c r="DQ361" s="72"/>
      <c r="DR361" s="72">
        <f t="shared" si="13"/>
        <v>94</v>
      </c>
      <c r="DS361" s="137"/>
    </row>
    <row r="362" spans="1:123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12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  <c r="DQ362" s="72"/>
      <c r="DR362" s="72">
        <f t="shared" si="13"/>
        <v>1</v>
      </c>
      <c r="DS362" s="77"/>
    </row>
    <row r="363" spans="1:123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12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/>
      <c r="DR363" s="72">
        <f t="shared" si="13"/>
        <v>0</v>
      </c>
      <c r="DS363" s="77"/>
    </row>
    <row r="364" spans="1:123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12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  <c r="DQ364" s="72"/>
      <c r="DR364" s="72">
        <f t="shared" si="13"/>
        <v>1</v>
      </c>
      <c r="DS364" s="137"/>
    </row>
    <row r="365" spans="1:123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12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  <c r="DQ365" s="72"/>
      <c r="DR365" s="72">
        <f t="shared" si="13"/>
        <v>1</v>
      </c>
      <c r="DS365" s="77"/>
    </row>
    <row r="366" spans="1:123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12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/>
      <c r="DR366" s="72">
        <f t="shared" si="13"/>
        <v>0</v>
      </c>
      <c r="DS366" s="137"/>
    </row>
    <row r="367" spans="1:123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12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  <c r="DQ367" s="72"/>
      <c r="DR367" s="72">
        <f t="shared" si="13"/>
        <v>8</v>
      </c>
      <c r="DS367" s="77"/>
    </row>
    <row r="368" spans="1:123" ht="26.55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12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  <c r="DQ368" s="72">
        <v>72</v>
      </c>
      <c r="DR368" s="72">
        <f t="shared" si="13"/>
        <v>0</v>
      </c>
      <c r="DS368" s="90" t="s">
        <v>1594</v>
      </c>
    </row>
    <row r="369" spans="1:123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12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/>
      <c r="DR369" s="72">
        <f t="shared" si="13"/>
        <v>0</v>
      </c>
      <c r="DS369" s="90"/>
    </row>
    <row r="370" spans="1:123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12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/>
      <c r="DR370" s="72">
        <f t="shared" si="13"/>
        <v>0</v>
      </c>
      <c r="DS370" s="134"/>
    </row>
    <row r="371" spans="1:123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12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  <c r="DQ371" s="72"/>
      <c r="DR371" s="72">
        <f t="shared" si="13"/>
        <v>1</v>
      </c>
      <c r="DS371" s="77"/>
    </row>
    <row r="372" spans="1:123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12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/>
      <c r="DR372" s="72">
        <f t="shared" si="13"/>
        <v>0</v>
      </c>
      <c r="DS372" s="137"/>
    </row>
    <row r="373" spans="1:123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12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/>
      <c r="DR373" s="72">
        <f t="shared" si="13"/>
        <v>1</v>
      </c>
      <c r="DS373" s="77"/>
    </row>
    <row r="374" spans="1:123" ht="26.55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12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  <c r="DQ374" s="72">
        <v>33</v>
      </c>
      <c r="DR374" s="72">
        <f t="shared" si="13"/>
        <v>29</v>
      </c>
      <c r="DS374" s="90" t="s">
        <v>1595</v>
      </c>
    </row>
    <row r="375" spans="1:123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12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/>
      <c r="DR375" s="72">
        <f t="shared" si="13"/>
        <v>0</v>
      </c>
      <c r="DS375" s="77"/>
    </row>
    <row r="376" spans="1:123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12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/>
      <c r="DR376" s="72">
        <f t="shared" si="13"/>
        <v>0</v>
      </c>
      <c r="DS376" s="137"/>
    </row>
    <row r="377" spans="1:123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12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  <c r="DQ377" s="72">
        <v>52</v>
      </c>
      <c r="DR377" s="72">
        <f t="shared" si="13"/>
        <v>0</v>
      </c>
      <c r="DS377" s="77" t="s">
        <v>1596</v>
      </c>
    </row>
    <row r="378" spans="1:123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12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/>
      <c r="DR378" s="72">
        <f t="shared" si="13"/>
        <v>0</v>
      </c>
      <c r="DS378" s="137"/>
    </row>
    <row r="379" spans="1:123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12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  <c r="DQ379" s="72"/>
      <c r="DR379" s="72">
        <f t="shared" si="13"/>
        <v>2</v>
      </c>
      <c r="DS379" s="77"/>
    </row>
    <row r="380" spans="1:123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12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/>
      <c r="DR380" s="72">
        <f t="shared" si="13"/>
        <v>0</v>
      </c>
      <c r="DS380" s="77"/>
    </row>
    <row r="381" spans="1:123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12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  <c r="DQ381" s="72"/>
      <c r="DR381" s="72">
        <f t="shared" si="13"/>
        <v>257</v>
      </c>
      <c r="DS381" s="137"/>
    </row>
    <row r="382" spans="1:123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12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  <c r="DQ382" s="72"/>
      <c r="DR382" s="72">
        <f t="shared" si="13"/>
        <v>0</v>
      </c>
      <c r="DS382" s="137"/>
    </row>
    <row r="383" spans="1:123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12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/>
      <c r="DR383" s="72">
        <f t="shared" si="13"/>
        <v>1</v>
      </c>
      <c r="DS383" s="77"/>
    </row>
    <row r="384" spans="1:123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12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/>
      <c r="DR384" s="72">
        <f t="shared" si="13"/>
        <v>0</v>
      </c>
      <c r="DS384" s="77"/>
    </row>
    <row r="385" spans="1:123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12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/>
      <c r="DR385" s="72">
        <f t="shared" si="13"/>
        <v>1</v>
      </c>
      <c r="DS385" s="77"/>
    </row>
    <row r="386" spans="1:123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12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/>
      <c r="DR386" s="72">
        <f t="shared" si="13"/>
        <v>0</v>
      </c>
      <c r="DS386" s="137"/>
    </row>
    <row r="387" spans="1:123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6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  <c r="DQ387" s="72"/>
      <c r="DR387" s="72">
        <f t="shared" ref="DR387:DR449" si="17">DP387-DQ387</f>
        <v>1</v>
      </c>
      <c r="DS387" s="77"/>
    </row>
    <row r="388" spans="1:123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6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/>
      <c r="DR388" s="72">
        <f t="shared" si="17"/>
        <v>0</v>
      </c>
      <c r="DS388" s="77"/>
    </row>
    <row r="389" spans="1:123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6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/>
      <c r="DR389" s="72">
        <f t="shared" si="17"/>
        <v>0</v>
      </c>
      <c r="DS389" s="90"/>
    </row>
    <row r="390" spans="1:123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6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/>
      <c r="DR390" s="72">
        <f t="shared" si="17"/>
        <v>0</v>
      </c>
      <c r="DS390" s="90"/>
    </row>
    <row r="391" spans="1:123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6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/>
      <c r="DR391" s="72">
        <f t="shared" si="17"/>
        <v>0</v>
      </c>
      <c r="DS391" s="140"/>
    </row>
    <row r="392" spans="1:123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6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/>
      <c r="DR392" s="72">
        <f t="shared" si="17"/>
        <v>0</v>
      </c>
      <c r="DS392" s="90"/>
    </row>
    <row r="393" spans="1:123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6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/>
      <c r="DR393" s="72">
        <f t="shared" si="17"/>
        <v>0</v>
      </c>
      <c r="DS393" s="77"/>
    </row>
    <row r="394" spans="1:123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6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/>
      <c r="DR394" s="72">
        <f t="shared" si="17"/>
        <v>0</v>
      </c>
      <c r="DS394" s="137"/>
    </row>
    <row r="395" spans="1:123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6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/>
      <c r="DR395" s="72">
        <f t="shared" si="17"/>
        <v>0</v>
      </c>
      <c r="DS395" s="77"/>
    </row>
    <row r="396" spans="1:123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6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/>
      <c r="DR396" s="72">
        <f t="shared" si="17"/>
        <v>0</v>
      </c>
      <c r="DS396" s="137"/>
    </row>
    <row r="397" spans="1:123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6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/>
      <c r="DR397" s="72">
        <f t="shared" si="17"/>
        <v>0</v>
      </c>
      <c r="DS397" s="77"/>
    </row>
    <row r="398" spans="1:123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6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/>
      <c r="DR398" s="72">
        <f t="shared" si="17"/>
        <v>0</v>
      </c>
      <c r="DS398" s="77"/>
    </row>
    <row r="399" spans="1:123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6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  <c r="DQ399" s="72"/>
      <c r="DR399" s="72">
        <f t="shared" si="17"/>
        <v>4</v>
      </c>
      <c r="DS399" s="137"/>
    </row>
    <row r="400" spans="1:123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6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/>
      <c r="DR400" s="72">
        <f t="shared" si="17"/>
        <v>0</v>
      </c>
      <c r="DS400" s="77"/>
    </row>
    <row r="401" spans="1:123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6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/>
      <c r="DR401" s="72">
        <f t="shared" si="17"/>
        <v>0</v>
      </c>
      <c r="DS401" s="137"/>
    </row>
    <row r="402" spans="1:123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6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  <c r="DQ402" s="72"/>
      <c r="DR402" s="72">
        <f t="shared" si="17"/>
        <v>2</v>
      </c>
      <c r="DS402" s="77"/>
    </row>
    <row r="403" spans="1:123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6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/>
      <c r="DR403" s="72">
        <f t="shared" si="17"/>
        <v>0</v>
      </c>
      <c r="DS403" s="77"/>
    </row>
    <row r="404" spans="1:123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6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  <c r="DQ404" s="72"/>
      <c r="DR404" s="72">
        <f t="shared" si="17"/>
        <v>2</v>
      </c>
      <c r="DS404" s="137"/>
    </row>
    <row r="405" spans="1:123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6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/>
      <c r="DR405" s="72">
        <f t="shared" si="17"/>
        <v>0</v>
      </c>
      <c r="DS405" s="77"/>
    </row>
    <row r="406" spans="1:123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6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  <c r="DQ406" s="72"/>
      <c r="DR406" s="72">
        <f t="shared" si="17"/>
        <v>1</v>
      </c>
      <c r="DS406" s="137"/>
    </row>
    <row r="407" spans="1:123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6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  <c r="DQ407" s="72"/>
      <c r="DR407" s="72">
        <f t="shared" si="17"/>
        <v>3</v>
      </c>
      <c r="DS407" s="77"/>
    </row>
    <row r="408" spans="1:123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6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/>
      <c r="DR408" s="72">
        <f t="shared" si="17"/>
        <v>0</v>
      </c>
      <c r="DS408" s="77"/>
    </row>
    <row r="409" spans="1:123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6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  <c r="DQ409" s="72"/>
      <c r="DR409" s="72">
        <f t="shared" si="17"/>
        <v>0</v>
      </c>
      <c r="DS409" s="137"/>
    </row>
    <row r="410" spans="1:123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6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  <c r="DQ410" s="72"/>
      <c r="DR410" s="72">
        <f t="shared" si="17"/>
        <v>0</v>
      </c>
      <c r="DS410" s="77"/>
    </row>
    <row r="411" spans="1:123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6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/>
      <c r="DR411" s="72">
        <f t="shared" si="17"/>
        <v>0</v>
      </c>
      <c r="DS411" s="77"/>
    </row>
    <row r="412" spans="1:123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6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  <c r="DQ412" s="72"/>
      <c r="DR412" s="72">
        <f t="shared" si="17"/>
        <v>6</v>
      </c>
      <c r="DS412" s="137"/>
    </row>
    <row r="413" spans="1:123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6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  <c r="DQ413" s="72"/>
      <c r="DR413" s="72">
        <f t="shared" si="17"/>
        <v>7</v>
      </c>
      <c r="DS413" s="77"/>
    </row>
    <row r="414" spans="1:123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6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/>
      <c r="DR414" s="72">
        <f t="shared" si="17"/>
        <v>0</v>
      </c>
      <c r="DS414" s="77"/>
    </row>
    <row r="415" spans="1:123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6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/>
      <c r="DR415" s="72">
        <f t="shared" si="17"/>
        <v>0</v>
      </c>
      <c r="DS415" s="77"/>
    </row>
    <row r="416" spans="1:123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6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  <c r="DQ416" s="72"/>
      <c r="DR416" s="72">
        <f t="shared" si="17"/>
        <v>5</v>
      </c>
      <c r="DS416" s="137"/>
    </row>
    <row r="417" spans="1:123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6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  <c r="DQ417" s="72"/>
      <c r="DR417" s="72">
        <f t="shared" si="17"/>
        <v>2</v>
      </c>
      <c r="DS417" s="77"/>
    </row>
    <row r="418" spans="1:123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6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/>
      <c r="DR418" s="72">
        <f t="shared" si="17"/>
        <v>1</v>
      </c>
      <c r="DS418" s="77"/>
    </row>
    <row r="419" spans="1:123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6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/>
      <c r="DR419" s="72">
        <f t="shared" si="17"/>
        <v>0</v>
      </c>
      <c r="DS419" s="77"/>
    </row>
    <row r="420" spans="1:123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6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/>
      <c r="DR420" s="72">
        <f t="shared" si="17"/>
        <v>0</v>
      </c>
      <c r="DS420" s="77"/>
    </row>
    <row r="421" spans="1:123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6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  <c r="DQ421" s="72"/>
      <c r="DR421" s="72">
        <f t="shared" si="17"/>
        <v>5</v>
      </c>
      <c r="DS421" s="137"/>
    </row>
    <row r="422" spans="1:123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6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  <c r="DQ422" s="72"/>
      <c r="DR422" s="72">
        <f t="shared" si="17"/>
        <v>3</v>
      </c>
      <c r="DS422" s="77"/>
    </row>
    <row r="423" spans="1:123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6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/>
      <c r="DR423" s="72">
        <f t="shared" si="17"/>
        <v>1</v>
      </c>
      <c r="DS423" s="77"/>
    </row>
    <row r="424" spans="1:123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6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/>
      <c r="DR424" s="72">
        <f t="shared" si="17"/>
        <v>0</v>
      </c>
      <c r="DS424" s="77"/>
    </row>
    <row r="425" spans="1:123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6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  <c r="DQ425" s="72"/>
      <c r="DR425" s="72">
        <f t="shared" si="17"/>
        <v>1</v>
      </c>
      <c r="DS425" s="77"/>
    </row>
    <row r="426" spans="1:123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6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/>
      <c r="DR426" s="72">
        <f t="shared" si="17"/>
        <v>1</v>
      </c>
      <c r="DS426" s="77"/>
    </row>
    <row r="427" spans="1:123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6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  <c r="DQ427" s="72"/>
      <c r="DR427" s="72">
        <f t="shared" si="17"/>
        <v>4</v>
      </c>
      <c r="DS427" s="90"/>
    </row>
    <row r="428" spans="1:123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6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/>
      <c r="DR428" s="72">
        <f t="shared" si="17"/>
        <v>0</v>
      </c>
      <c r="DS428" s="77"/>
    </row>
    <row r="429" spans="1:123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6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/>
      <c r="DR429" s="72">
        <f t="shared" si="17"/>
        <v>0</v>
      </c>
      <c r="DS429" s="77"/>
    </row>
    <row r="430" spans="1:123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6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/>
      <c r="DR430" s="72">
        <f t="shared" si="17"/>
        <v>0</v>
      </c>
      <c r="DS430" s="134"/>
    </row>
    <row r="431" spans="1:123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6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/>
      <c r="DR431" s="72">
        <f t="shared" si="17"/>
        <v>0</v>
      </c>
      <c r="DS431" s="77"/>
    </row>
    <row r="432" spans="1:123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6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/>
      <c r="DR432" s="72">
        <f t="shared" si="17"/>
        <v>0</v>
      </c>
      <c r="DS432" s="77"/>
    </row>
    <row r="433" spans="1:123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6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  <c r="DQ433" s="72"/>
      <c r="DR433" s="72">
        <f t="shared" si="17"/>
        <v>20</v>
      </c>
      <c r="DS433" s="137"/>
    </row>
    <row r="434" spans="1:123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6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/>
      <c r="DR434" s="72">
        <f t="shared" si="17"/>
        <v>0</v>
      </c>
      <c r="DS434" s="77"/>
    </row>
    <row r="435" spans="1:123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6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  <c r="DQ435" s="72"/>
      <c r="DR435" s="72">
        <f t="shared" si="17"/>
        <v>5</v>
      </c>
      <c r="DS435" s="77"/>
    </row>
    <row r="436" spans="1:123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6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  <c r="DQ436" s="72"/>
      <c r="DR436" s="72">
        <f t="shared" si="17"/>
        <v>3</v>
      </c>
      <c r="DS436" s="77"/>
    </row>
    <row r="437" spans="1:123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6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/>
      <c r="DR437" s="72">
        <f t="shared" si="17"/>
        <v>4</v>
      </c>
      <c r="DS437" s="77"/>
    </row>
    <row r="438" spans="1:123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6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  <c r="DQ438" s="72"/>
      <c r="DR438" s="72">
        <f t="shared" si="17"/>
        <v>9</v>
      </c>
      <c r="DS438" s="77"/>
    </row>
    <row r="439" spans="1:123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6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  <c r="DQ439" s="72"/>
      <c r="DR439" s="72">
        <f t="shared" si="17"/>
        <v>11</v>
      </c>
      <c r="DS439" s="77"/>
    </row>
    <row r="440" spans="1:123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6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  <c r="DQ440" s="72"/>
      <c r="DR440" s="72">
        <f t="shared" si="17"/>
        <v>1</v>
      </c>
      <c r="DS440" s="77"/>
    </row>
    <row r="441" spans="1:123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6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  <c r="DQ441" s="72"/>
      <c r="DR441" s="72">
        <f t="shared" si="17"/>
        <v>16</v>
      </c>
      <c r="DS441" s="77"/>
    </row>
    <row r="442" spans="1:123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6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  <c r="DQ442" s="72"/>
      <c r="DR442" s="72">
        <f t="shared" si="17"/>
        <v>54</v>
      </c>
      <c r="DS442" s="77"/>
    </row>
    <row r="443" spans="1:123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6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  <c r="DQ443" s="72"/>
      <c r="DR443" s="72">
        <f t="shared" si="17"/>
        <v>10</v>
      </c>
      <c r="DS443" s="77"/>
    </row>
    <row r="444" spans="1:123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6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  <c r="DQ444" s="72"/>
      <c r="DR444" s="72">
        <f t="shared" si="17"/>
        <v>1</v>
      </c>
      <c r="DS444" s="77"/>
    </row>
    <row r="445" spans="1:123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6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/>
      <c r="DR445" s="72">
        <f t="shared" si="17"/>
        <v>0</v>
      </c>
      <c r="DS445" s="77"/>
    </row>
    <row r="446" spans="1:123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6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  <c r="DQ446" s="72">
        <v>4</v>
      </c>
      <c r="DR446" s="72">
        <f t="shared" si="17"/>
        <v>0</v>
      </c>
      <c r="DS446" s="77"/>
    </row>
    <row r="447" spans="1:123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6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  <c r="DQ447" s="72"/>
      <c r="DR447" s="72">
        <f t="shared" si="17"/>
        <v>2</v>
      </c>
      <c r="DS447" s="77"/>
    </row>
    <row r="448" spans="1:123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6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/>
      <c r="DR448" s="72">
        <f t="shared" si="17"/>
        <v>0</v>
      </c>
      <c r="DS448" s="77"/>
    </row>
    <row r="449" spans="1:123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6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/>
      <c r="DR449" s="72">
        <f t="shared" si="17"/>
        <v>0</v>
      </c>
      <c r="DS449" s="77"/>
    </row>
    <row r="450" spans="1:123" x14ac:dyDescent="0.35">
      <c r="DQ450" s="130"/>
      <c r="DR450" s="130"/>
      <c r="DS450" s="141"/>
    </row>
    <row r="451" spans="1:123" x14ac:dyDescent="0.35">
      <c r="DQ451" s="130"/>
      <c r="DR451" s="130"/>
      <c r="DS451" s="141"/>
    </row>
    <row r="452" spans="1:123" x14ac:dyDescent="0.35">
      <c r="DQ452" s="130"/>
      <c r="DR452" s="130"/>
      <c r="DS452" s="142"/>
    </row>
    <row r="453" spans="1:123" x14ac:dyDescent="0.35">
      <c r="DQ453" s="130"/>
      <c r="DR453" s="130"/>
      <c r="DS453" s="141"/>
    </row>
    <row r="454" spans="1:123" x14ac:dyDescent="0.35">
      <c r="DQ454" s="130"/>
      <c r="DR454" s="130"/>
      <c r="DS454" s="142"/>
    </row>
    <row r="455" spans="1:123" x14ac:dyDescent="0.35">
      <c r="DQ455" s="130"/>
      <c r="DR455" s="130"/>
      <c r="DS455" s="142"/>
    </row>
    <row r="456" spans="1:123" x14ac:dyDescent="0.35">
      <c r="DQ456" s="130"/>
      <c r="DR456" s="130"/>
      <c r="DS456" s="141"/>
    </row>
    <row r="457" spans="1:123" x14ac:dyDescent="0.35">
      <c r="DQ457" s="130"/>
      <c r="DR457" s="130"/>
      <c r="DS457" s="141"/>
    </row>
    <row r="458" spans="1:123" x14ac:dyDescent="0.35">
      <c r="DQ458" s="130"/>
      <c r="DR458" s="130"/>
      <c r="DS458" s="141"/>
    </row>
    <row r="459" spans="1:123" x14ac:dyDescent="0.35">
      <c r="DQ459" s="130"/>
      <c r="DR459" s="130"/>
      <c r="DS459" s="141"/>
    </row>
    <row r="460" spans="1:123" x14ac:dyDescent="0.35">
      <c r="DQ460" s="130"/>
      <c r="DR460" s="130"/>
      <c r="DS460" s="141"/>
    </row>
    <row r="461" spans="1:123" x14ac:dyDescent="0.35">
      <c r="DQ461" s="130"/>
      <c r="DR461" s="130"/>
      <c r="DS461" s="142"/>
    </row>
    <row r="462" spans="1:123" x14ac:dyDescent="0.35">
      <c r="DQ462" s="131"/>
      <c r="DR462" s="131"/>
      <c r="DS462" s="142"/>
    </row>
    <row r="463" spans="1:123" x14ac:dyDescent="0.35">
      <c r="DQ463" s="130"/>
      <c r="DR463" s="130"/>
      <c r="DS463" s="141"/>
    </row>
    <row r="464" spans="1:123" x14ac:dyDescent="0.35">
      <c r="DQ464" s="130"/>
      <c r="DR464" s="130"/>
      <c r="DS464" s="142"/>
    </row>
    <row r="465" spans="121:123" x14ac:dyDescent="0.35">
      <c r="DQ465" s="130"/>
      <c r="DR465" s="130"/>
      <c r="DS465" s="142"/>
    </row>
    <row r="466" spans="121:123" x14ac:dyDescent="0.35">
      <c r="DQ466" s="130"/>
      <c r="DR466" s="130"/>
      <c r="DS466" s="141"/>
    </row>
    <row r="467" spans="121:123" x14ac:dyDescent="0.35">
      <c r="DQ467" s="130"/>
      <c r="DR467" s="130"/>
      <c r="DS467" s="142"/>
    </row>
    <row r="468" spans="121:123" x14ac:dyDescent="0.35">
      <c r="DQ468" s="130"/>
      <c r="DR468" s="130"/>
      <c r="DS468" s="141"/>
    </row>
    <row r="469" spans="121:123" x14ac:dyDescent="0.35">
      <c r="DQ469" s="130"/>
      <c r="DR469" s="130"/>
      <c r="DS469" s="141"/>
    </row>
    <row r="470" spans="121:123" x14ac:dyDescent="0.35">
      <c r="DQ470" s="130"/>
      <c r="DR470" s="130"/>
      <c r="DS470" s="141"/>
    </row>
    <row r="471" spans="121:123" x14ac:dyDescent="0.35">
      <c r="DQ471" s="130"/>
      <c r="DR471" s="130"/>
      <c r="DS471" s="141"/>
    </row>
    <row r="472" spans="121:123" x14ac:dyDescent="0.35">
      <c r="DQ472" s="130"/>
      <c r="DR472" s="130"/>
      <c r="DS472" s="141"/>
    </row>
    <row r="473" spans="121:123" x14ac:dyDescent="0.35">
      <c r="DQ473" s="130"/>
      <c r="DR473" s="130"/>
      <c r="DS473" s="141"/>
    </row>
    <row r="474" spans="121:123" x14ac:dyDescent="0.35">
      <c r="DQ474" s="130"/>
      <c r="DR474" s="130"/>
      <c r="DS474" s="141"/>
    </row>
    <row r="475" spans="121:123" x14ac:dyDescent="0.35">
      <c r="DQ475" s="130"/>
      <c r="DR475" s="130"/>
      <c r="DS475" s="141"/>
    </row>
    <row r="476" spans="121:123" x14ac:dyDescent="0.35">
      <c r="DQ476" s="130"/>
      <c r="DR476" s="130"/>
      <c r="DS476" s="141"/>
    </row>
    <row r="477" spans="121:123" x14ac:dyDescent="0.35">
      <c r="DQ477" s="130"/>
      <c r="DR477" s="130"/>
      <c r="DS477" s="141"/>
    </row>
    <row r="478" spans="121:123" x14ac:dyDescent="0.35">
      <c r="DQ478" s="130"/>
      <c r="DR478" s="130"/>
      <c r="DS478" s="141"/>
    </row>
    <row r="479" spans="121:123" x14ac:dyDescent="0.35">
      <c r="DQ479" s="130"/>
      <c r="DR479" s="130"/>
      <c r="DS479" s="141"/>
    </row>
    <row r="480" spans="121:123" x14ac:dyDescent="0.35">
      <c r="DQ480" s="130"/>
      <c r="DR480" s="130"/>
      <c r="DS480" s="141"/>
    </row>
    <row r="481" spans="121:123" x14ac:dyDescent="0.35">
      <c r="DQ481" s="130"/>
      <c r="DR481" s="130"/>
      <c r="DS481" s="141"/>
    </row>
    <row r="482" spans="121:123" x14ac:dyDescent="0.35">
      <c r="DQ482" s="130"/>
      <c r="DR482" s="130"/>
      <c r="DS482" s="142"/>
    </row>
    <row r="483" spans="121:123" x14ac:dyDescent="0.35">
      <c r="DQ483" s="130"/>
      <c r="DR483" s="130"/>
      <c r="DS483" s="141"/>
    </row>
    <row r="484" spans="121:123" x14ac:dyDescent="0.35">
      <c r="DQ484" s="130"/>
      <c r="DR484" s="130"/>
      <c r="DS484" s="141"/>
    </row>
    <row r="485" spans="121:123" x14ac:dyDescent="0.35">
      <c r="DQ485" s="130"/>
      <c r="DR485" s="130"/>
      <c r="DS485" s="142"/>
    </row>
    <row r="486" spans="121:123" x14ac:dyDescent="0.35">
      <c r="DQ486" s="130"/>
      <c r="DR486" s="130"/>
      <c r="DS486" s="142"/>
    </row>
    <row r="487" spans="121:123" x14ac:dyDescent="0.35">
      <c r="DQ487" s="130"/>
      <c r="DR487" s="130"/>
      <c r="DS487" s="141"/>
    </row>
    <row r="488" spans="121:123" x14ac:dyDescent="0.35">
      <c r="DQ488" s="130"/>
      <c r="DR488" s="130"/>
      <c r="DS488" s="141"/>
    </row>
    <row r="489" spans="121:123" x14ac:dyDescent="0.35">
      <c r="DQ489" s="130"/>
      <c r="DR489" s="130"/>
      <c r="DS489" s="141"/>
    </row>
    <row r="490" spans="121:123" x14ac:dyDescent="0.35">
      <c r="DQ490" s="130"/>
      <c r="DR490" s="130"/>
      <c r="DS490" s="141"/>
    </row>
    <row r="491" spans="121:123" x14ac:dyDescent="0.35">
      <c r="DQ491" s="130"/>
      <c r="DR491" s="130"/>
      <c r="DS491" s="142"/>
    </row>
    <row r="492" spans="121:123" x14ac:dyDescent="0.35">
      <c r="DQ492" s="130"/>
      <c r="DR492" s="130"/>
      <c r="DS492" s="141"/>
    </row>
    <row r="493" spans="121:123" x14ac:dyDescent="0.35">
      <c r="DQ493" s="130"/>
      <c r="DR493" s="130"/>
      <c r="DS493" s="141"/>
    </row>
    <row r="494" spans="121:123" x14ac:dyDescent="0.35">
      <c r="DQ494" s="130"/>
      <c r="DR494" s="130"/>
      <c r="DS494" s="141"/>
    </row>
    <row r="495" spans="121:123" x14ac:dyDescent="0.35">
      <c r="DQ495" s="130"/>
      <c r="DR495" s="130"/>
      <c r="DS495" s="141"/>
    </row>
    <row r="496" spans="121:123" x14ac:dyDescent="0.35">
      <c r="DQ496" s="130"/>
      <c r="DR496" s="130"/>
      <c r="DS496" s="141"/>
    </row>
    <row r="497" spans="121:123" x14ac:dyDescent="0.35">
      <c r="DQ497" s="130"/>
      <c r="DR497" s="130"/>
      <c r="DS497" s="141"/>
    </row>
    <row r="498" spans="121:123" x14ac:dyDescent="0.35">
      <c r="DQ498" s="130"/>
      <c r="DR498" s="130"/>
      <c r="DS498" s="142"/>
    </row>
    <row r="499" spans="121:123" x14ac:dyDescent="0.35">
      <c r="DQ499" s="130"/>
      <c r="DR499" s="130"/>
      <c r="DS499" s="141"/>
    </row>
    <row r="500" spans="121:123" x14ac:dyDescent="0.35">
      <c r="DQ500" s="130"/>
      <c r="DR500" s="130"/>
      <c r="DS500" s="141"/>
    </row>
    <row r="501" spans="121:123" x14ac:dyDescent="0.35">
      <c r="DQ501" s="130"/>
      <c r="DR501" s="130"/>
      <c r="DS501" s="141"/>
    </row>
    <row r="502" spans="121:123" x14ac:dyDescent="0.35">
      <c r="DQ502" s="130"/>
      <c r="DR502" s="130"/>
      <c r="DS502" s="141"/>
    </row>
    <row r="503" spans="121:123" x14ac:dyDescent="0.35">
      <c r="DQ503" s="130"/>
      <c r="DR503" s="130"/>
      <c r="DS503" s="141"/>
    </row>
    <row r="504" spans="121:123" x14ac:dyDescent="0.35">
      <c r="DQ504" s="130"/>
      <c r="DR504" s="130"/>
      <c r="DS504" s="141"/>
    </row>
    <row r="505" spans="121:123" x14ac:dyDescent="0.35">
      <c r="DQ505" s="130"/>
      <c r="DR505" s="130"/>
      <c r="DS505" s="141"/>
    </row>
    <row r="506" spans="121:123" x14ac:dyDescent="0.35">
      <c r="DQ506" s="130"/>
      <c r="DR506" s="130"/>
      <c r="DS506" s="141"/>
    </row>
    <row r="507" spans="121:123" x14ac:dyDescent="0.35">
      <c r="DQ507" s="130"/>
      <c r="DR507" s="130"/>
      <c r="DS507" s="141"/>
    </row>
    <row r="508" spans="121:123" x14ac:dyDescent="0.35">
      <c r="DQ508" s="130"/>
      <c r="DR508" s="130"/>
      <c r="DS508" s="141"/>
    </row>
    <row r="509" spans="121:123" x14ac:dyDescent="0.35">
      <c r="DQ509" s="130"/>
      <c r="DR509" s="130"/>
      <c r="DS509" s="142"/>
    </row>
    <row r="510" spans="121:123" x14ac:dyDescent="0.35">
      <c r="DQ510" s="130"/>
      <c r="DR510" s="130"/>
      <c r="DS510" s="141"/>
    </row>
    <row r="511" spans="121:123" x14ac:dyDescent="0.35">
      <c r="DQ511" s="130"/>
      <c r="DR511" s="130"/>
      <c r="DS511" s="142"/>
    </row>
    <row r="512" spans="121:123" x14ac:dyDescent="0.35">
      <c r="DQ512" s="130"/>
      <c r="DR512" s="130"/>
      <c r="DS512" s="141"/>
    </row>
    <row r="513" spans="121:123" x14ac:dyDescent="0.35">
      <c r="DQ513" s="130"/>
      <c r="DR513" s="130"/>
      <c r="DS513" s="141"/>
    </row>
    <row r="514" spans="121:123" x14ac:dyDescent="0.35">
      <c r="DQ514" s="130"/>
      <c r="DR514" s="130"/>
      <c r="DS514" s="141"/>
    </row>
    <row r="515" spans="121:123" x14ac:dyDescent="0.35">
      <c r="DQ515" s="130"/>
      <c r="DR515" s="130"/>
      <c r="DS515" s="141"/>
    </row>
    <row r="516" spans="121:123" x14ac:dyDescent="0.35">
      <c r="DQ516" s="130"/>
      <c r="DR516" s="130"/>
      <c r="DS516" s="141"/>
    </row>
    <row r="517" spans="121:123" x14ac:dyDescent="0.35">
      <c r="DQ517" s="130"/>
      <c r="DR517" s="130"/>
      <c r="DS517" s="141"/>
    </row>
    <row r="518" spans="121:123" x14ac:dyDescent="0.35">
      <c r="DQ518" s="130"/>
      <c r="DR518" s="130"/>
      <c r="DS518" s="141"/>
    </row>
    <row r="519" spans="121:123" x14ac:dyDescent="0.35">
      <c r="DQ519" s="130"/>
      <c r="DR519" s="130"/>
      <c r="DS519" s="141"/>
    </row>
    <row r="520" spans="121:123" x14ac:dyDescent="0.35">
      <c r="DQ520" s="130"/>
      <c r="DR520" s="130"/>
      <c r="DS520" s="141"/>
    </row>
    <row r="521" spans="121:123" x14ac:dyDescent="0.35">
      <c r="DQ521" s="130"/>
      <c r="DR521" s="130"/>
      <c r="DS521" s="141"/>
    </row>
    <row r="522" spans="121:123" x14ac:dyDescent="0.35">
      <c r="DQ522" s="130"/>
      <c r="DR522" s="130"/>
      <c r="DS522" s="141"/>
    </row>
    <row r="523" spans="121:123" x14ac:dyDescent="0.35">
      <c r="DQ523" s="130"/>
      <c r="DR523" s="130"/>
      <c r="DS523" s="141"/>
    </row>
    <row r="524" spans="121:123" x14ac:dyDescent="0.35">
      <c r="DQ524" s="130"/>
      <c r="DR524" s="130"/>
      <c r="DS524" s="141"/>
    </row>
    <row r="525" spans="121:123" x14ac:dyDescent="0.35">
      <c r="DQ525" s="130"/>
      <c r="DR525" s="130"/>
      <c r="DS525" s="141"/>
    </row>
    <row r="526" spans="121:123" x14ac:dyDescent="0.35">
      <c r="DQ526" s="130"/>
      <c r="DR526" s="130"/>
      <c r="DS526" s="141"/>
    </row>
    <row r="527" spans="121:123" x14ac:dyDescent="0.35">
      <c r="DQ527" s="130"/>
      <c r="DR527" s="130"/>
      <c r="DS527" s="141"/>
    </row>
    <row r="528" spans="121:123" x14ac:dyDescent="0.35">
      <c r="DQ528" s="130"/>
      <c r="DR528" s="130"/>
      <c r="DS528" s="142"/>
    </row>
    <row r="529" spans="121:123" x14ac:dyDescent="0.35">
      <c r="DQ529" s="130"/>
      <c r="DR529" s="130"/>
      <c r="DS529" s="141"/>
    </row>
    <row r="530" spans="121:123" x14ac:dyDescent="0.35">
      <c r="DQ530" s="130"/>
      <c r="DR530" s="130"/>
      <c r="DS530" s="141"/>
    </row>
    <row r="531" spans="121:123" x14ac:dyDescent="0.35">
      <c r="DQ531" s="130"/>
      <c r="DR531" s="130"/>
      <c r="DS531" s="141"/>
    </row>
    <row r="532" spans="121:123" x14ac:dyDescent="0.35">
      <c r="DQ532" s="130"/>
      <c r="DR532" s="130"/>
      <c r="DS532" s="141"/>
    </row>
    <row r="533" spans="121:123" x14ac:dyDescent="0.35">
      <c r="DQ533" s="130"/>
      <c r="DR533" s="130"/>
      <c r="DS533" s="141"/>
    </row>
    <row r="534" spans="121:123" x14ac:dyDescent="0.35">
      <c r="DQ534" s="130"/>
      <c r="DR534" s="130"/>
      <c r="DS534" s="141"/>
    </row>
    <row r="535" spans="121:123" x14ac:dyDescent="0.35">
      <c r="DQ535" s="130"/>
      <c r="DR535" s="130"/>
      <c r="DS535" s="141"/>
    </row>
    <row r="536" spans="121:123" x14ac:dyDescent="0.35">
      <c r="DQ536" s="130"/>
      <c r="DR536" s="130"/>
      <c r="DS536" s="141"/>
    </row>
    <row r="537" spans="121:123" x14ac:dyDescent="0.35">
      <c r="DQ537" s="130"/>
      <c r="DR537" s="130"/>
      <c r="DS537" s="141"/>
    </row>
    <row r="538" spans="121:123" x14ac:dyDescent="0.35">
      <c r="DQ538" s="130"/>
      <c r="DR538" s="130"/>
      <c r="DS538" s="141"/>
    </row>
    <row r="539" spans="121:123" x14ac:dyDescent="0.35">
      <c r="DQ539" s="130"/>
      <c r="DR539" s="130"/>
      <c r="DS539" s="141"/>
    </row>
    <row r="540" spans="121:123" x14ac:dyDescent="0.35">
      <c r="DQ540" s="130"/>
      <c r="DR540" s="130"/>
      <c r="DS540" s="141"/>
    </row>
    <row r="541" spans="121:123" x14ac:dyDescent="0.35">
      <c r="DQ541" s="130"/>
      <c r="DR541" s="130"/>
      <c r="DS541" s="141"/>
    </row>
    <row r="542" spans="121:123" x14ac:dyDescent="0.35">
      <c r="DQ542" s="130"/>
      <c r="DR542" s="130"/>
      <c r="DS542" s="141"/>
    </row>
    <row r="543" spans="121:123" x14ac:dyDescent="0.35">
      <c r="DQ543" s="130"/>
      <c r="DR543" s="130"/>
      <c r="DS543" s="141"/>
    </row>
    <row r="544" spans="121:123" x14ac:dyDescent="0.35">
      <c r="DQ544" s="130"/>
      <c r="DR544" s="130"/>
      <c r="DS544" s="141"/>
    </row>
    <row r="545" spans="121:123" x14ac:dyDescent="0.35">
      <c r="DQ545" s="130"/>
      <c r="DR545" s="130"/>
      <c r="DS545" s="141"/>
    </row>
    <row r="546" spans="121:123" x14ac:dyDescent="0.35">
      <c r="DQ546" s="130"/>
      <c r="DR546" s="130"/>
      <c r="DS546" s="142"/>
    </row>
    <row r="547" spans="121:123" x14ac:dyDescent="0.35">
      <c r="DQ547" s="130"/>
      <c r="DR547" s="130"/>
      <c r="DS547" s="141"/>
    </row>
    <row r="548" spans="121:123" x14ac:dyDescent="0.35">
      <c r="DQ548" s="130"/>
      <c r="DR548" s="130"/>
      <c r="DS548" s="141"/>
    </row>
    <row r="549" spans="121:123" x14ac:dyDescent="0.35">
      <c r="DQ549" s="130"/>
      <c r="DR549" s="130"/>
      <c r="DS549" s="141"/>
    </row>
    <row r="550" spans="121:123" x14ac:dyDescent="0.35">
      <c r="DQ550" s="130"/>
      <c r="DR550" s="130"/>
      <c r="DS550" s="141"/>
    </row>
    <row r="551" spans="121:123" x14ac:dyDescent="0.35">
      <c r="DQ551" s="130"/>
      <c r="DR551" s="130"/>
      <c r="DS551" s="142"/>
    </row>
    <row r="552" spans="121:123" x14ac:dyDescent="0.35">
      <c r="DQ552" s="130"/>
      <c r="DR552" s="130"/>
      <c r="DS552" s="141"/>
    </row>
    <row r="553" spans="121:123" x14ac:dyDescent="0.35">
      <c r="DQ553" s="130"/>
      <c r="DR553" s="130"/>
      <c r="DS553" s="141"/>
    </row>
    <row r="554" spans="121:123" x14ac:dyDescent="0.35">
      <c r="DQ554" s="130"/>
      <c r="DR554" s="130"/>
      <c r="DS554" s="142"/>
    </row>
    <row r="555" spans="121:123" x14ac:dyDescent="0.35">
      <c r="DQ555" s="130"/>
      <c r="DR555" s="130"/>
      <c r="DS555" s="142"/>
    </row>
    <row r="556" spans="121:123" x14ac:dyDescent="0.35">
      <c r="DQ556" s="130"/>
      <c r="DR556" s="130"/>
      <c r="DS556" s="142"/>
    </row>
    <row r="557" spans="121:123" x14ac:dyDescent="0.35">
      <c r="DQ557" s="130"/>
      <c r="DR557" s="130"/>
      <c r="DS557" s="141"/>
    </row>
    <row r="558" spans="121:123" x14ac:dyDescent="0.35">
      <c r="DQ558" s="130"/>
      <c r="DR558" s="130"/>
      <c r="DS558" s="141"/>
    </row>
    <row r="559" spans="121:123" x14ac:dyDescent="0.35">
      <c r="DQ559" s="130"/>
      <c r="DR559" s="130"/>
      <c r="DS559" s="141"/>
    </row>
    <row r="560" spans="121:123" x14ac:dyDescent="0.35">
      <c r="DQ560" s="130"/>
      <c r="DR560" s="130"/>
      <c r="DS560" s="142"/>
    </row>
    <row r="561" spans="121:123" x14ac:dyDescent="0.35">
      <c r="DQ561" s="130"/>
      <c r="DR561" s="130"/>
      <c r="DS561" s="142"/>
    </row>
    <row r="562" spans="121:123" x14ac:dyDescent="0.35">
      <c r="DQ562" s="130"/>
      <c r="DR562" s="130"/>
      <c r="DS562" s="142"/>
    </row>
    <row r="563" spans="121:123" x14ac:dyDescent="0.35">
      <c r="DQ563" s="130"/>
      <c r="DR563" s="130"/>
      <c r="DS563" s="142"/>
    </row>
    <row r="564" spans="121:123" x14ac:dyDescent="0.35">
      <c r="DQ564" s="130"/>
      <c r="DR564" s="130"/>
      <c r="DS564" s="142"/>
    </row>
    <row r="565" spans="121:123" x14ac:dyDescent="0.35">
      <c r="DQ565" s="130"/>
      <c r="DR565" s="130"/>
      <c r="DS565" s="142"/>
    </row>
    <row r="566" spans="121:123" x14ac:dyDescent="0.35">
      <c r="DQ566" s="130"/>
      <c r="DR566" s="130"/>
      <c r="DS566" s="142"/>
    </row>
    <row r="567" spans="121:123" x14ac:dyDescent="0.35">
      <c r="DQ567" s="130"/>
      <c r="DR567" s="130"/>
      <c r="DS567" s="142"/>
    </row>
    <row r="568" spans="121:123" x14ac:dyDescent="0.35">
      <c r="DQ568" s="130"/>
      <c r="DR568" s="130"/>
      <c r="DS568" s="142"/>
    </row>
    <row r="569" spans="121:123" x14ac:dyDescent="0.35">
      <c r="DQ569" s="130"/>
      <c r="DR569" s="130"/>
      <c r="DS569" s="142"/>
    </row>
    <row r="570" spans="121:123" x14ac:dyDescent="0.35">
      <c r="DQ570" s="130"/>
      <c r="DR570" s="130"/>
      <c r="DS570" s="141"/>
    </row>
    <row r="571" spans="121:123" x14ac:dyDescent="0.35">
      <c r="DQ571" s="130"/>
      <c r="DR571" s="130"/>
      <c r="DS571" s="142"/>
    </row>
    <row r="572" spans="121:123" x14ac:dyDescent="0.35">
      <c r="DQ572" s="130"/>
      <c r="DR572" s="130"/>
      <c r="DS572" s="142"/>
    </row>
    <row r="573" spans="121:123" x14ac:dyDescent="0.35">
      <c r="DQ573" s="130"/>
      <c r="DR573" s="130"/>
      <c r="DS573" s="141"/>
    </row>
    <row r="574" spans="121:123" x14ac:dyDescent="0.35">
      <c r="DQ574" s="130"/>
      <c r="DR574" s="130"/>
      <c r="DS574" s="141"/>
    </row>
    <row r="575" spans="121:123" x14ac:dyDescent="0.35">
      <c r="DQ575" s="130"/>
      <c r="DR575" s="130"/>
      <c r="DS575" s="141"/>
    </row>
    <row r="576" spans="121:123" x14ac:dyDescent="0.35">
      <c r="DQ576" s="130"/>
      <c r="DR576" s="130"/>
      <c r="DS576" s="142"/>
    </row>
    <row r="577" spans="121:123" x14ac:dyDescent="0.35">
      <c r="DQ577" s="130"/>
      <c r="DR577" s="130"/>
      <c r="DS577" s="142"/>
    </row>
    <row r="578" spans="121:123" x14ac:dyDescent="0.35">
      <c r="DQ578" s="130"/>
      <c r="DR578" s="130"/>
      <c r="DS578" s="141"/>
    </row>
    <row r="579" spans="121:123" x14ac:dyDescent="0.35">
      <c r="DQ579" s="130"/>
      <c r="DR579" s="130"/>
      <c r="DS579" s="141"/>
    </row>
    <row r="580" spans="121:123" x14ac:dyDescent="0.35">
      <c r="DQ580" s="130"/>
      <c r="DR580" s="130"/>
      <c r="DS580" s="141"/>
    </row>
    <row r="581" spans="121:123" x14ac:dyDescent="0.35">
      <c r="DQ581" s="130"/>
      <c r="DR581" s="130"/>
      <c r="DS581" s="141"/>
    </row>
    <row r="582" spans="121:123" x14ac:dyDescent="0.35">
      <c r="DQ582" s="130"/>
      <c r="DR582" s="130"/>
      <c r="DS582" s="141"/>
    </row>
    <row r="583" spans="121:123" x14ac:dyDescent="0.35">
      <c r="DQ583" s="130"/>
      <c r="DR583" s="130"/>
      <c r="DS583" s="141"/>
    </row>
    <row r="584" spans="121:123" x14ac:dyDescent="0.35">
      <c r="DQ584" s="130"/>
      <c r="DR584" s="130"/>
      <c r="DS584" s="141"/>
    </row>
    <row r="585" spans="121:123" x14ac:dyDescent="0.35">
      <c r="DQ585" s="130"/>
      <c r="DR585" s="130"/>
      <c r="DS585" s="141"/>
    </row>
    <row r="586" spans="121:123" x14ac:dyDescent="0.35">
      <c r="DQ586" s="130"/>
      <c r="DR586" s="130"/>
      <c r="DS586" s="141"/>
    </row>
    <row r="587" spans="121:123" x14ac:dyDescent="0.35">
      <c r="DQ587" s="130"/>
      <c r="DR587" s="130"/>
      <c r="DS587" s="142"/>
    </row>
    <row r="588" spans="121:123" x14ac:dyDescent="0.35">
      <c r="DQ588" s="130"/>
      <c r="DR588" s="130"/>
      <c r="DS588" s="141"/>
    </row>
    <row r="589" spans="121:123" x14ac:dyDescent="0.35">
      <c r="DQ589" s="130"/>
      <c r="DR589" s="130"/>
      <c r="DS589" s="141"/>
    </row>
    <row r="590" spans="121:123" x14ac:dyDescent="0.35">
      <c r="DQ590" s="130"/>
      <c r="DR590" s="130"/>
      <c r="DS590" s="141"/>
    </row>
    <row r="591" spans="121:123" x14ac:dyDescent="0.35">
      <c r="DQ591" s="130"/>
      <c r="DR591" s="130"/>
      <c r="DS591" s="142"/>
    </row>
    <row r="592" spans="121:123" x14ac:dyDescent="0.35">
      <c r="DQ592" s="130"/>
      <c r="DR592" s="130"/>
      <c r="DS592" s="141"/>
    </row>
    <row r="593" spans="121:123" x14ac:dyDescent="0.35">
      <c r="DQ593" s="130"/>
      <c r="DR593" s="130"/>
      <c r="DS593" s="142"/>
    </row>
    <row r="594" spans="121:123" x14ac:dyDescent="0.35">
      <c r="DQ594" s="130"/>
      <c r="DR594" s="130"/>
      <c r="DS594" s="141"/>
    </row>
    <row r="595" spans="121:123" x14ac:dyDescent="0.35">
      <c r="DQ595" s="130"/>
      <c r="DR595" s="130"/>
      <c r="DS595" s="141"/>
    </row>
    <row r="596" spans="121:123" x14ac:dyDescent="0.35">
      <c r="DQ596" s="130"/>
      <c r="DR596" s="130"/>
      <c r="DS596" s="141"/>
    </row>
    <row r="597" spans="121:123" x14ac:dyDescent="0.35">
      <c r="DQ597" s="130"/>
      <c r="DR597" s="130"/>
      <c r="DS597" s="142"/>
    </row>
    <row r="598" spans="121:123" x14ac:dyDescent="0.35">
      <c r="DQ598" s="130"/>
      <c r="DR598" s="130"/>
      <c r="DS598" s="141"/>
    </row>
    <row r="599" spans="121:123" x14ac:dyDescent="0.35">
      <c r="DQ599" s="130"/>
      <c r="DR599" s="130"/>
      <c r="DS599" s="141"/>
    </row>
    <row r="600" spans="121:123" x14ac:dyDescent="0.35">
      <c r="DQ600" s="130"/>
      <c r="DR600" s="130"/>
      <c r="DS600" s="141"/>
    </row>
    <row r="601" spans="121:123" x14ac:dyDescent="0.35">
      <c r="DQ601" s="130"/>
      <c r="DR601" s="130"/>
      <c r="DS601" s="141"/>
    </row>
    <row r="602" spans="121:123" x14ac:dyDescent="0.35">
      <c r="DQ602" s="130"/>
      <c r="DR602" s="130"/>
      <c r="DS602" s="141"/>
    </row>
    <row r="603" spans="121:123" x14ac:dyDescent="0.35">
      <c r="DQ603" s="130"/>
      <c r="DR603" s="130"/>
      <c r="DS603" s="141"/>
    </row>
    <row r="604" spans="121:123" x14ac:dyDescent="0.35">
      <c r="DQ604" s="130"/>
      <c r="DR604" s="130"/>
      <c r="DS604" s="141"/>
    </row>
    <row r="605" spans="121:123" x14ac:dyDescent="0.35">
      <c r="DQ605" s="130"/>
      <c r="DR605" s="130"/>
      <c r="DS605" s="141"/>
    </row>
    <row r="606" spans="121:123" x14ac:dyDescent="0.35">
      <c r="DQ606" s="130"/>
      <c r="DR606" s="130"/>
      <c r="DS606" s="141"/>
    </row>
    <row r="607" spans="121:123" x14ac:dyDescent="0.35">
      <c r="DQ607" s="130"/>
      <c r="DR607" s="130"/>
      <c r="DS607" s="141"/>
    </row>
    <row r="608" spans="121:123" x14ac:dyDescent="0.35">
      <c r="DQ608" s="130"/>
      <c r="DR608" s="130"/>
      <c r="DS608" s="141"/>
    </row>
    <row r="609" spans="121:123" x14ac:dyDescent="0.35">
      <c r="DQ609" s="130"/>
      <c r="DR609" s="130"/>
      <c r="DS609" s="141"/>
    </row>
    <row r="610" spans="121:123" x14ac:dyDescent="0.35">
      <c r="DQ610" s="130"/>
      <c r="DR610" s="130"/>
      <c r="DS610" s="141"/>
    </row>
    <row r="611" spans="121:123" x14ac:dyDescent="0.35">
      <c r="DQ611" s="130"/>
      <c r="DR611" s="130"/>
      <c r="DS611" s="141"/>
    </row>
    <row r="612" spans="121:123" x14ac:dyDescent="0.35">
      <c r="DQ612" s="130"/>
      <c r="DR612" s="130"/>
      <c r="DS612" s="142"/>
    </row>
    <row r="613" spans="121:123" x14ac:dyDescent="0.35">
      <c r="DQ613" s="130"/>
      <c r="DR613" s="130"/>
      <c r="DS613" s="141"/>
    </row>
    <row r="614" spans="121:123" x14ac:dyDescent="0.35">
      <c r="DQ614" s="130"/>
      <c r="DR614" s="130"/>
      <c r="DS614" s="141"/>
    </row>
    <row r="615" spans="121:123" x14ac:dyDescent="0.35">
      <c r="DQ615" s="130"/>
      <c r="DR615" s="130"/>
      <c r="DS615" s="141"/>
    </row>
    <row r="616" spans="121:123" x14ac:dyDescent="0.35">
      <c r="DQ616" s="130"/>
      <c r="DR616" s="130"/>
      <c r="DS616" s="141"/>
    </row>
    <row r="617" spans="121:123" x14ac:dyDescent="0.35">
      <c r="DQ617" s="130"/>
      <c r="DR617" s="130"/>
      <c r="DS617" s="141"/>
    </row>
    <row r="618" spans="121:123" x14ac:dyDescent="0.35">
      <c r="DQ618" s="130"/>
      <c r="DR618" s="130"/>
      <c r="DS618" s="142"/>
    </row>
    <row r="619" spans="121:123" x14ac:dyDescent="0.35">
      <c r="DQ619" s="130"/>
      <c r="DR619" s="130"/>
      <c r="DS619" s="142"/>
    </row>
    <row r="620" spans="121:123" x14ac:dyDescent="0.35">
      <c r="DQ620" s="130"/>
      <c r="DR620" s="130"/>
      <c r="DS620" s="142"/>
    </row>
    <row r="621" spans="121:123" x14ac:dyDescent="0.35">
      <c r="DQ621" s="130"/>
      <c r="DR621" s="130"/>
      <c r="DS621" s="142"/>
    </row>
    <row r="622" spans="121:123" x14ac:dyDescent="0.35">
      <c r="DQ622" s="130"/>
      <c r="DR622" s="130"/>
      <c r="DS622" s="141"/>
    </row>
    <row r="623" spans="121:123" x14ac:dyDescent="0.35">
      <c r="DQ623" s="130"/>
      <c r="DR623" s="130"/>
      <c r="DS623" s="142"/>
    </row>
    <row r="624" spans="121:123" x14ac:dyDescent="0.35">
      <c r="DQ624" s="130"/>
      <c r="DR624" s="130"/>
      <c r="DS624" s="142"/>
    </row>
    <row r="625" spans="121:123" x14ac:dyDescent="0.35">
      <c r="DQ625" s="130"/>
      <c r="DR625" s="130"/>
      <c r="DS625" s="142"/>
    </row>
    <row r="626" spans="121:123" x14ac:dyDescent="0.35">
      <c r="DQ626" s="130"/>
      <c r="DR626" s="130"/>
      <c r="DS626" s="142"/>
    </row>
    <row r="627" spans="121:123" x14ac:dyDescent="0.35">
      <c r="DQ627" s="130"/>
      <c r="DR627" s="130"/>
      <c r="DS627" s="142"/>
    </row>
    <row r="628" spans="121:123" x14ac:dyDescent="0.35">
      <c r="DQ628" s="130"/>
      <c r="DR628" s="130"/>
      <c r="DS628" s="142"/>
    </row>
    <row r="629" spans="121:123" x14ac:dyDescent="0.35">
      <c r="DQ629" s="130"/>
      <c r="DR629" s="130"/>
      <c r="DS629" s="142"/>
    </row>
    <row r="630" spans="121:123" x14ac:dyDescent="0.35">
      <c r="DQ630" s="130"/>
      <c r="DR630" s="130"/>
      <c r="DS630" s="142"/>
    </row>
    <row r="631" spans="121:123" x14ac:dyDescent="0.35">
      <c r="DQ631" s="130"/>
      <c r="DR631" s="130"/>
      <c r="DS631" s="142"/>
    </row>
    <row r="632" spans="121:123" x14ac:dyDescent="0.35">
      <c r="DQ632" s="130"/>
      <c r="DR632" s="130"/>
      <c r="DS632" s="142"/>
    </row>
    <row r="633" spans="121:123" x14ac:dyDescent="0.35">
      <c r="DQ633" s="130"/>
      <c r="DR633" s="130"/>
      <c r="DS633" s="142"/>
    </row>
    <row r="634" spans="121:123" x14ac:dyDescent="0.35">
      <c r="DQ634" s="130"/>
      <c r="DR634" s="130"/>
      <c r="DS634" s="142"/>
    </row>
    <row r="635" spans="121:123" x14ac:dyDescent="0.35">
      <c r="DQ635" s="130"/>
      <c r="DR635" s="130"/>
      <c r="DS635" s="142"/>
    </row>
    <row r="636" spans="121:123" x14ac:dyDescent="0.35">
      <c r="DQ636" s="130"/>
      <c r="DR636" s="130"/>
      <c r="DS636" s="141"/>
    </row>
    <row r="637" spans="121:123" x14ac:dyDescent="0.35">
      <c r="DQ637" s="130"/>
      <c r="DR637" s="130"/>
      <c r="DS637" s="142"/>
    </row>
    <row r="638" spans="121:123" x14ac:dyDescent="0.35">
      <c r="DQ638" s="130"/>
      <c r="DR638" s="130"/>
      <c r="DS638" s="141"/>
    </row>
    <row r="639" spans="121:123" x14ac:dyDescent="0.35">
      <c r="DQ639" s="130"/>
      <c r="DR639" s="130"/>
      <c r="DS639" s="141"/>
    </row>
    <row r="640" spans="121:123" x14ac:dyDescent="0.35">
      <c r="DQ640" s="130"/>
      <c r="DR640" s="130"/>
      <c r="DS640" s="141"/>
    </row>
    <row r="641" spans="121:123" x14ac:dyDescent="0.35">
      <c r="DQ641" s="130"/>
      <c r="DR641" s="130"/>
      <c r="DS641" s="142"/>
    </row>
    <row r="642" spans="121:123" x14ac:dyDescent="0.35">
      <c r="DQ642" s="130"/>
      <c r="DR642" s="130"/>
      <c r="DS642" s="141"/>
    </row>
    <row r="643" spans="121:123" x14ac:dyDescent="0.35">
      <c r="DQ643" s="130"/>
      <c r="DR643" s="130"/>
      <c r="DS643" s="142"/>
    </row>
    <row r="644" spans="121:123" x14ac:dyDescent="0.35">
      <c r="DQ644" s="130"/>
      <c r="DR644" s="130"/>
      <c r="DS644" s="142"/>
    </row>
    <row r="645" spans="121:123" x14ac:dyDescent="0.35">
      <c r="DQ645" s="130"/>
      <c r="DR645" s="130"/>
      <c r="DS645" s="142"/>
    </row>
    <row r="646" spans="121:123" x14ac:dyDescent="0.35">
      <c r="DQ646" s="130"/>
      <c r="DR646" s="130"/>
      <c r="DS646" s="142"/>
    </row>
    <row r="647" spans="121:123" x14ac:dyDescent="0.35">
      <c r="DQ647" s="130"/>
      <c r="DR647" s="130"/>
      <c r="DS647" s="142"/>
    </row>
    <row r="648" spans="121:123" x14ac:dyDescent="0.35">
      <c r="DQ648" s="130"/>
      <c r="DR648" s="130"/>
      <c r="DS648" s="142"/>
    </row>
    <row r="649" spans="121:123" x14ac:dyDescent="0.35">
      <c r="DQ649" s="130"/>
      <c r="DR649" s="130"/>
      <c r="DS649" s="142"/>
    </row>
    <row r="650" spans="121:123" x14ac:dyDescent="0.35">
      <c r="DQ650" s="130"/>
      <c r="DR650" s="130"/>
      <c r="DS650" s="142"/>
    </row>
    <row r="651" spans="121:123" x14ac:dyDescent="0.35">
      <c r="DQ651" s="130"/>
      <c r="DR651" s="130"/>
      <c r="DS651" s="142"/>
    </row>
    <row r="652" spans="121:123" x14ac:dyDescent="0.35">
      <c r="DQ652" s="130"/>
      <c r="DR652" s="130"/>
      <c r="DS652" s="142"/>
    </row>
    <row r="653" spans="121:123" x14ac:dyDescent="0.35">
      <c r="DQ653" s="130"/>
      <c r="DR653" s="130"/>
      <c r="DS653" s="141"/>
    </row>
    <row r="654" spans="121:123" x14ac:dyDescent="0.35">
      <c r="DQ654" s="130"/>
      <c r="DR654" s="130"/>
      <c r="DS654" s="141"/>
    </row>
    <row r="655" spans="121:123" x14ac:dyDescent="0.35">
      <c r="DQ655" s="130"/>
      <c r="DR655" s="130"/>
      <c r="DS655" s="142"/>
    </row>
    <row r="656" spans="121:123" x14ac:dyDescent="0.35">
      <c r="DQ656" s="130"/>
      <c r="DR656" s="130"/>
      <c r="DS656" s="142"/>
    </row>
    <row r="657" spans="121:123" x14ac:dyDescent="0.35">
      <c r="DQ657" s="130"/>
      <c r="DR657" s="130"/>
      <c r="DS657" s="142"/>
    </row>
    <row r="658" spans="121:123" x14ac:dyDescent="0.35">
      <c r="DQ658" s="130"/>
      <c r="DR658" s="130"/>
      <c r="DS658" s="141"/>
    </row>
    <row r="659" spans="121:123" x14ac:dyDescent="0.35">
      <c r="DQ659" s="130"/>
      <c r="DR659" s="130"/>
      <c r="DS659" s="141"/>
    </row>
    <row r="660" spans="121:123" x14ac:dyDescent="0.35">
      <c r="DQ660" s="130"/>
      <c r="DR660" s="130"/>
      <c r="DS660" s="142"/>
    </row>
    <row r="661" spans="121:123" x14ac:dyDescent="0.35">
      <c r="DQ661" s="130"/>
      <c r="DR661" s="130"/>
      <c r="DS661" s="142"/>
    </row>
    <row r="662" spans="121:123" x14ac:dyDescent="0.35">
      <c r="DQ662" s="130"/>
      <c r="DR662" s="130"/>
      <c r="DS662" s="142"/>
    </row>
    <row r="663" spans="121:123" x14ac:dyDescent="0.35">
      <c r="DQ663" s="130"/>
      <c r="DR663" s="130"/>
      <c r="DS663" s="141"/>
    </row>
    <row r="664" spans="121:123" x14ac:dyDescent="0.35">
      <c r="DQ664" s="130"/>
      <c r="DR664" s="130"/>
      <c r="DS664" s="141"/>
    </row>
    <row r="665" spans="121:123" x14ac:dyDescent="0.35">
      <c r="DQ665" s="130"/>
      <c r="DR665" s="130"/>
      <c r="DS665" s="141"/>
    </row>
    <row r="666" spans="121:123" x14ac:dyDescent="0.35">
      <c r="DQ666" s="130"/>
      <c r="DR666" s="130"/>
      <c r="DS666" s="141"/>
    </row>
    <row r="667" spans="121:123" x14ac:dyDescent="0.35">
      <c r="DQ667" s="130"/>
      <c r="DR667" s="130"/>
      <c r="DS667" s="141"/>
    </row>
    <row r="668" spans="121:123" x14ac:dyDescent="0.35">
      <c r="DQ668" s="130"/>
      <c r="DR668" s="130"/>
      <c r="DS668" s="142"/>
    </row>
    <row r="669" spans="121:123" x14ac:dyDescent="0.35">
      <c r="DQ669" s="130"/>
      <c r="DR669" s="130"/>
      <c r="DS669" s="142"/>
    </row>
    <row r="670" spans="121:123" x14ac:dyDescent="0.35">
      <c r="DQ670" s="130"/>
      <c r="DR670" s="130"/>
      <c r="DS670" s="142"/>
    </row>
    <row r="671" spans="121:123" x14ac:dyDescent="0.35">
      <c r="DQ671" s="130"/>
      <c r="DR671" s="130"/>
      <c r="DS671" s="141"/>
    </row>
    <row r="672" spans="121:123" x14ac:dyDescent="0.35">
      <c r="DQ672" s="130"/>
      <c r="DR672" s="130"/>
      <c r="DS672" s="141"/>
    </row>
    <row r="673" spans="121:123" x14ac:dyDescent="0.35">
      <c r="DQ673" s="130"/>
      <c r="DR673" s="130"/>
      <c r="DS673" s="142"/>
    </row>
    <row r="674" spans="121:123" x14ac:dyDescent="0.35">
      <c r="DQ674" s="130"/>
      <c r="DR674" s="130"/>
      <c r="DS674" s="141"/>
    </row>
    <row r="675" spans="121:123" x14ac:dyDescent="0.35">
      <c r="DQ675" s="130"/>
      <c r="DR675" s="130"/>
      <c r="DS675" s="141"/>
    </row>
    <row r="676" spans="121:123" x14ac:dyDescent="0.35">
      <c r="DQ676" s="130"/>
      <c r="DR676" s="130"/>
      <c r="DS676" s="141"/>
    </row>
    <row r="677" spans="121:123" x14ac:dyDescent="0.35">
      <c r="DQ677" s="130"/>
      <c r="DR677" s="130"/>
      <c r="DS677" s="143"/>
    </row>
    <row r="678" spans="121:123" x14ac:dyDescent="0.35">
      <c r="DQ678" s="130"/>
      <c r="DR678" s="130"/>
      <c r="DS678" s="142"/>
    </row>
    <row r="679" spans="121:123" x14ac:dyDescent="0.35">
      <c r="DQ679" s="130"/>
      <c r="DR679" s="130"/>
      <c r="DS679" s="142"/>
    </row>
    <row r="680" spans="121:123" x14ac:dyDescent="0.35">
      <c r="DQ680" s="130"/>
      <c r="DR680" s="130"/>
      <c r="DS680" s="142"/>
    </row>
    <row r="681" spans="121:123" x14ac:dyDescent="0.35">
      <c r="DQ681" s="130"/>
      <c r="DR681" s="130"/>
      <c r="DS681" s="141"/>
    </row>
    <row r="682" spans="121:123" x14ac:dyDescent="0.35">
      <c r="DQ682" s="130"/>
      <c r="DR682" s="130"/>
      <c r="DS682" s="141"/>
    </row>
    <row r="683" spans="121:123" x14ac:dyDescent="0.35">
      <c r="DQ683" s="132"/>
      <c r="DR683" s="132"/>
      <c r="DS683" s="142"/>
    </row>
    <row r="684" spans="121:123" x14ac:dyDescent="0.35">
      <c r="DQ684" s="132"/>
      <c r="DR684" s="132"/>
      <c r="DS684" s="142"/>
    </row>
    <row r="685" spans="121:123" x14ac:dyDescent="0.35">
      <c r="DQ685" s="132"/>
      <c r="DR685" s="132"/>
      <c r="DS685" s="142"/>
    </row>
    <row r="686" spans="121:123" x14ac:dyDescent="0.35">
      <c r="DQ686" s="132"/>
      <c r="DR686" s="132"/>
      <c r="DS686" s="142"/>
    </row>
    <row r="687" spans="121:123" x14ac:dyDescent="0.35">
      <c r="DQ687" s="132"/>
      <c r="DR687" s="132"/>
      <c r="DS687" s="142"/>
    </row>
    <row r="688" spans="121:123" x14ac:dyDescent="0.35">
      <c r="DQ688" s="132"/>
      <c r="DR688" s="132"/>
      <c r="DS688" s="142"/>
    </row>
    <row r="689" spans="121:123" x14ac:dyDescent="0.35">
      <c r="DQ689" s="132"/>
      <c r="DR689" s="132"/>
      <c r="DS689" s="142"/>
    </row>
    <row r="690" spans="121:123" x14ac:dyDescent="0.35">
      <c r="DQ690" s="132"/>
      <c r="DR690" s="132"/>
      <c r="DS690" s="142"/>
    </row>
    <row r="691" spans="121:123" x14ac:dyDescent="0.35">
      <c r="DQ691" s="132"/>
      <c r="DR691" s="132"/>
      <c r="DS691" s="142"/>
    </row>
    <row r="692" spans="121:123" x14ac:dyDescent="0.35">
      <c r="DQ692" s="132"/>
      <c r="DR692" s="132"/>
      <c r="DS692" s="142"/>
    </row>
    <row r="693" spans="121:123" x14ac:dyDescent="0.35">
      <c r="DQ693" s="132"/>
      <c r="DR693" s="132"/>
      <c r="DS693" s="142"/>
    </row>
    <row r="694" spans="121:123" x14ac:dyDescent="0.35">
      <c r="DQ694" s="132"/>
      <c r="DR694" s="132"/>
      <c r="DS694" s="142"/>
    </row>
    <row r="695" spans="121:123" x14ac:dyDescent="0.35">
      <c r="DQ695" s="132"/>
      <c r="DR695" s="132"/>
      <c r="DS695" s="142"/>
    </row>
    <row r="696" spans="121:123" x14ac:dyDescent="0.35">
      <c r="DQ696" s="132"/>
      <c r="DR696" s="132"/>
      <c r="DS696" s="142"/>
    </row>
    <row r="697" spans="121:123" x14ac:dyDescent="0.35">
      <c r="DQ697" s="132"/>
      <c r="DR697" s="132"/>
      <c r="DS697" s="142"/>
    </row>
    <row r="698" spans="121:123" x14ac:dyDescent="0.35">
      <c r="DQ698" s="132"/>
      <c r="DR698" s="132"/>
      <c r="DS698" s="142"/>
    </row>
    <row r="699" spans="121:123" x14ac:dyDescent="0.35">
      <c r="DQ699" s="132"/>
      <c r="DR699" s="132"/>
      <c r="DS699" s="142"/>
    </row>
    <row r="700" spans="121:123" x14ac:dyDescent="0.35">
      <c r="DQ700" s="132"/>
      <c r="DR700" s="132"/>
      <c r="DS700" s="142"/>
    </row>
    <row r="701" spans="121:123" x14ac:dyDescent="0.35">
      <c r="DQ701" s="132"/>
      <c r="DR701" s="132"/>
      <c r="DS701" s="142"/>
    </row>
    <row r="702" spans="121:123" x14ac:dyDescent="0.35">
      <c r="DQ702" s="132"/>
      <c r="DR702" s="132"/>
      <c r="DS702" s="142"/>
    </row>
    <row r="703" spans="121:123" x14ac:dyDescent="0.35">
      <c r="DQ703" s="132"/>
      <c r="DR703" s="132"/>
      <c r="DS703" s="142"/>
    </row>
    <row r="704" spans="121:123" x14ac:dyDescent="0.35">
      <c r="DQ704" s="132"/>
      <c r="DR704" s="132"/>
      <c r="DS704" s="142"/>
    </row>
    <row r="705" spans="121:123" x14ac:dyDescent="0.35">
      <c r="DQ705" s="132"/>
      <c r="DR705" s="132"/>
      <c r="DS705" s="142"/>
    </row>
    <row r="706" spans="121:123" x14ac:dyDescent="0.35">
      <c r="DQ706" s="132"/>
      <c r="DR706" s="132"/>
      <c r="DS706" s="142"/>
    </row>
    <row r="707" spans="121:123" x14ac:dyDescent="0.35">
      <c r="DQ707" s="132"/>
      <c r="DR707" s="132"/>
      <c r="DS707" s="142"/>
    </row>
    <row r="708" spans="121:123" x14ac:dyDescent="0.35">
      <c r="DQ708" s="132"/>
      <c r="DR708" s="132"/>
      <c r="DS708" s="142"/>
    </row>
    <row r="709" spans="121:123" x14ac:dyDescent="0.35">
      <c r="DQ709" s="132"/>
      <c r="DR709" s="132"/>
      <c r="DS709" s="142"/>
    </row>
    <row r="710" spans="121:123" x14ac:dyDescent="0.35">
      <c r="DQ710" s="132"/>
      <c r="DR710" s="132"/>
      <c r="DS710" s="142"/>
    </row>
    <row r="711" spans="121:123" x14ac:dyDescent="0.35">
      <c r="DQ711" s="132"/>
      <c r="DR711" s="132"/>
      <c r="DS711" s="142"/>
    </row>
    <row r="712" spans="121:123" x14ac:dyDescent="0.35">
      <c r="DQ712" s="132"/>
      <c r="DR712" s="132"/>
      <c r="DS712" s="142"/>
    </row>
    <row r="713" spans="121:123" x14ac:dyDescent="0.35">
      <c r="DQ713" s="132"/>
      <c r="DR713" s="132"/>
      <c r="DS713" s="142"/>
    </row>
    <row r="714" spans="121:123" x14ac:dyDescent="0.35">
      <c r="DQ714" s="132"/>
      <c r="DR714" s="132"/>
      <c r="DS714" s="142"/>
    </row>
    <row r="715" spans="121:123" x14ac:dyDescent="0.35">
      <c r="DQ715" s="132"/>
      <c r="DR715" s="132"/>
      <c r="DS715" s="142"/>
    </row>
    <row r="716" spans="121:123" x14ac:dyDescent="0.35">
      <c r="DQ716" s="132"/>
      <c r="DR716" s="132"/>
      <c r="DS716" s="142"/>
    </row>
    <row r="717" spans="121:123" x14ac:dyDescent="0.35">
      <c r="DQ717" s="132"/>
      <c r="DR717" s="132"/>
      <c r="DS717" s="142"/>
    </row>
    <row r="718" spans="121:123" x14ac:dyDescent="0.35">
      <c r="DQ718" s="132"/>
      <c r="DR718" s="132"/>
      <c r="DS718" s="142"/>
    </row>
    <row r="719" spans="121:123" x14ac:dyDescent="0.35">
      <c r="DQ719" s="132"/>
      <c r="DR719" s="132"/>
      <c r="DS719" s="142"/>
    </row>
    <row r="720" spans="121:123" x14ac:dyDescent="0.35">
      <c r="DQ720" s="132"/>
      <c r="DR720" s="132"/>
      <c r="DS720" s="142"/>
    </row>
    <row r="721" spans="121:123" x14ac:dyDescent="0.35">
      <c r="DQ721" s="132"/>
      <c r="DR721" s="132"/>
      <c r="DS721" s="142"/>
    </row>
    <row r="722" spans="121:123" x14ac:dyDescent="0.35">
      <c r="DQ722" s="132"/>
      <c r="DR722" s="132"/>
      <c r="DS722" s="142"/>
    </row>
    <row r="723" spans="121:123" x14ac:dyDescent="0.35">
      <c r="DQ723" s="132"/>
      <c r="DR723" s="132"/>
      <c r="DS723" s="142"/>
    </row>
    <row r="724" spans="121:123" x14ac:dyDescent="0.35">
      <c r="DQ724" s="132"/>
      <c r="DR724" s="132"/>
      <c r="DS724" s="142"/>
    </row>
    <row r="725" spans="121:123" x14ac:dyDescent="0.35">
      <c r="DQ725" s="132"/>
      <c r="DR725" s="132"/>
      <c r="DS725" s="142"/>
    </row>
    <row r="726" spans="121:123" x14ac:dyDescent="0.35">
      <c r="DQ726" s="132"/>
      <c r="DR726" s="132"/>
      <c r="DS726" s="142"/>
    </row>
    <row r="727" spans="121:123" x14ac:dyDescent="0.35">
      <c r="DQ727" s="132"/>
      <c r="DR727" s="132"/>
      <c r="DS727" s="142"/>
    </row>
    <row r="728" spans="121:123" x14ac:dyDescent="0.35">
      <c r="DQ728" s="132"/>
      <c r="DR728" s="132"/>
      <c r="DS728" s="142"/>
    </row>
    <row r="729" spans="121:123" x14ac:dyDescent="0.35">
      <c r="DQ729" s="132"/>
      <c r="DR729" s="132"/>
      <c r="DS729" s="142"/>
    </row>
    <row r="730" spans="121:123" x14ac:dyDescent="0.35">
      <c r="DQ730" s="132"/>
      <c r="DR730" s="132"/>
      <c r="DS730" s="142"/>
    </row>
    <row r="731" spans="121:123" x14ac:dyDescent="0.35">
      <c r="DQ731" s="132"/>
      <c r="DR731" s="132"/>
      <c r="DS731" s="142"/>
    </row>
    <row r="732" spans="121:123" x14ac:dyDescent="0.35">
      <c r="DQ732" s="132"/>
      <c r="DR732" s="132"/>
      <c r="DS732" s="142"/>
    </row>
    <row r="733" spans="121:123" x14ac:dyDescent="0.35">
      <c r="DQ733" s="132"/>
      <c r="DR733" s="132"/>
      <c r="DS733" s="142"/>
    </row>
    <row r="734" spans="121:123" x14ac:dyDescent="0.35">
      <c r="DQ734" s="132"/>
      <c r="DR734" s="132"/>
      <c r="DS734" s="142"/>
    </row>
    <row r="735" spans="121:123" x14ac:dyDescent="0.35">
      <c r="DQ735" s="132"/>
      <c r="DR735" s="132"/>
      <c r="DS735" s="142"/>
    </row>
    <row r="736" spans="121:123" x14ac:dyDescent="0.35">
      <c r="DQ736" s="132"/>
      <c r="DR736" s="132"/>
      <c r="DS736" s="142"/>
    </row>
    <row r="737" spans="121:123" x14ac:dyDescent="0.35">
      <c r="DQ737" s="132"/>
      <c r="DR737" s="132"/>
      <c r="DS737" s="142"/>
    </row>
    <row r="738" spans="121:123" x14ac:dyDescent="0.35">
      <c r="DQ738" s="132"/>
      <c r="DR738" s="132"/>
      <c r="DS738" s="142"/>
    </row>
    <row r="739" spans="121:123" x14ac:dyDescent="0.35">
      <c r="DQ739" s="132"/>
      <c r="DR739" s="132"/>
      <c r="DS739" s="142"/>
    </row>
    <row r="740" spans="121:123" x14ac:dyDescent="0.35">
      <c r="DQ740" s="132"/>
      <c r="DR740" s="132"/>
      <c r="DS740" s="142"/>
    </row>
    <row r="741" spans="121:123" x14ac:dyDescent="0.35">
      <c r="DQ741" s="132"/>
      <c r="DR741" s="132"/>
      <c r="DS741" s="142"/>
    </row>
    <row r="742" spans="121:123" x14ac:dyDescent="0.35">
      <c r="DQ742" s="132"/>
      <c r="DR742" s="132"/>
      <c r="DS742" s="142"/>
    </row>
    <row r="743" spans="121:123" x14ac:dyDescent="0.35">
      <c r="DQ743" s="132"/>
      <c r="DR743" s="132"/>
      <c r="DS743" s="142"/>
    </row>
    <row r="744" spans="121:123" x14ac:dyDescent="0.35">
      <c r="DQ744" s="132"/>
      <c r="DR744" s="132"/>
      <c r="DS744" s="142"/>
    </row>
    <row r="745" spans="121:123" x14ac:dyDescent="0.35">
      <c r="DQ745" s="132"/>
      <c r="DR745" s="132"/>
      <c r="DS745" s="142"/>
    </row>
    <row r="746" spans="121:123" x14ac:dyDescent="0.35">
      <c r="DQ746" s="132"/>
      <c r="DR746" s="132"/>
      <c r="DS746" s="142"/>
    </row>
    <row r="747" spans="121:123" x14ac:dyDescent="0.35">
      <c r="DQ747" s="132"/>
      <c r="DR747" s="132"/>
      <c r="DS747" s="142"/>
    </row>
    <row r="748" spans="121:123" x14ac:dyDescent="0.35">
      <c r="DQ748" s="132"/>
      <c r="DR748" s="132"/>
      <c r="DS748" s="142"/>
    </row>
    <row r="749" spans="121:123" x14ac:dyDescent="0.35">
      <c r="DQ749" s="132"/>
      <c r="DR749" s="132"/>
      <c r="DS749" s="142"/>
    </row>
    <row r="750" spans="121:123" x14ac:dyDescent="0.35">
      <c r="DQ750" s="132"/>
      <c r="DR750" s="132"/>
      <c r="DS750" s="142"/>
    </row>
    <row r="751" spans="121:123" x14ac:dyDescent="0.35">
      <c r="DQ751" s="132"/>
      <c r="DR751" s="132"/>
      <c r="DS751" s="142"/>
    </row>
    <row r="752" spans="121:123" x14ac:dyDescent="0.35">
      <c r="DQ752" s="132"/>
      <c r="DR752" s="132"/>
      <c r="DS752" s="142"/>
    </row>
    <row r="753" spans="121:123" x14ac:dyDescent="0.35">
      <c r="DQ753" s="132"/>
      <c r="DR753" s="132"/>
      <c r="DS753" s="142"/>
    </row>
    <row r="754" spans="121:123" x14ac:dyDescent="0.35">
      <c r="DQ754" s="132"/>
      <c r="DR754" s="132"/>
      <c r="DS754" s="142"/>
    </row>
    <row r="755" spans="121:123" x14ac:dyDescent="0.35">
      <c r="DQ755" s="132"/>
      <c r="DR755" s="132"/>
      <c r="DS755" s="142"/>
    </row>
    <row r="756" spans="121:123" x14ac:dyDescent="0.35">
      <c r="DQ756" s="132"/>
      <c r="DR756" s="132"/>
      <c r="DS756" s="142"/>
    </row>
    <row r="757" spans="121:123" x14ac:dyDescent="0.35">
      <c r="DQ757" s="132"/>
      <c r="DR757" s="132"/>
      <c r="DS757" s="142"/>
    </row>
    <row r="758" spans="121:123" x14ac:dyDescent="0.35">
      <c r="DQ758" s="132"/>
      <c r="DR758" s="132"/>
      <c r="DS758" s="142"/>
    </row>
    <row r="759" spans="121:123" x14ac:dyDescent="0.35">
      <c r="DQ759" s="132"/>
      <c r="DR759" s="132"/>
      <c r="DS759" s="142"/>
    </row>
    <row r="760" spans="121:123" x14ac:dyDescent="0.35">
      <c r="DQ760" s="132"/>
      <c r="DR760" s="132"/>
      <c r="DS760" s="142"/>
    </row>
    <row r="761" spans="121:123" x14ac:dyDescent="0.35">
      <c r="DQ761" s="132"/>
      <c r="DR761" s="132"/>
      <c r="DS761" s="142"/>
    </row>
    <row r="762" spans="121:123" x14ac:dyDescent="0.35">
      <c r="DQ762" s="132"/>
      <c r="DR762" s="132"/>
      <c r="DS762" s="142"/>
    </row>
    <row r="763" spans="121:123" x14ac:dyDescent="0.35">
      <c r="DQ763" s="132"/>
      <c r="DR763" s="132"/>
      <c r="DS763" s="142"/>
    </row>
    <row r="764" spans="121:123" x14ac:dyDescent="0.35">
      <c r="DQ764" s="132"/>
      <c r="DR764" s="132"/>
      <c r="DS764" s="142"/>
    </row>
    <row r="765" spans="121:123" x14ac:dyDescent="0.35">
      <c r="DQ765" s="132"/>
      <c r="DR765" s="132"/>
      <c r="DS765" s="142"/>
    </row>
    <row r="766" spans="121:123" x14ac:dyDescent="0.35">
      <c r="DQ766" s="132"/>
      <c r="DR766" s="132"/>
      <c r="DS766" s="142"/>
    </row>
    <row r="767" spans="121:123" x14ac:dyDescent="0.35">
      <c r="DQ767" s="132"/>
      <c r="DR767" s="132"/>
      <c r="DS767" s="142"/>
    </row>
    <row r="768" spans="121:123" x14ac:dyDescent="0.35">
      <c r="DQ768" s="132"/>
      <c r="DR768" s="132"/>
      <c r="DS768" s="142"/>
    </row>
    <row r="769" spans="121:123" x14ac:dyDescent="0.35">
      <c r="DQ769" s="132"/>
      <c r="DR769" s="132"/>
      <c r="DS769" s="142"/>
    </row>
    <row r="770" spans="121:123" x14ac:dyDescent="0.35">
      <c r="DQ770" s="132"/>
      <c r="DR770" s="132"/>
      <c r="DS770" s="142"/>
    </row>
    <row r="771" spans="121:123" x14ac:dyDescent="0.35">
      <c r="DQ771" s="132"/>
      <c r="DR771" s="132"/>
      <c r="DS771" s="142"/>
    </row>
    <row r="772" spans="121:123" x14ac:dyDescent="0.35">
      <c r="DQ772" s="132"/>
      <c r="DR772" s="132"/>
      <c r="DS772" s="142"/>
    </row>
    <row r="773" spans="121:123" x14ac:dyDescent="0.35">
      <c r="DQ773" s="132"/>
      <c r="DR773" s="132"/>
      <c r="DS773" s="142"/>
    </row>
    <row r="774" spans="121:123" x14ac:dyDescent="0.35">
      <c r="DQ774" s="132"/>
      <c r="DR774" s="132"/>
      <c r="DS774" s="142"/>
    </row>
    <row r="775" spans="121:123" x14ac:dyDescent="0.35">
      <c r="DQ775" s="132"/>
      <c r="DR775" s="132"/>
      <c r="DS775" s="142"/>
    </row>
    <row r="776" spans="121:123" x14ac:dyDescent="0.35">
      <c r="DQ776" s="132"/>
      <c r="DR776" s="132"/>
      <c r="DS776" s="142"/>
    </row>
    <row r="777" spans="121:123" x14ac:dyDescent="0.35">
      <c r="DQ777" s="132"/>
      <c r="DR777" s="132"/>
      <c r="DS777" s="142"/>
    </row>
    <row r="778" spans="121:123" x14ac:dyDescent="0.35">
      <c r="DQ778" s="132"/>
      <c r="DR778" s="132"/>
      <c r="DS778" s="142"/>
    </row>
    <row r="779" spans="121:123" x14ac:dyDescent="0.35">
      <c r="DQ779" s="132"/>
      <c r="DR779" s="132"/>
      <c r="DS779" s="142"/>
    </row>
    <row r="780" spans="121:123" x14ac:dyDescent="0.35">
      <c r="DQ780" s="132"/>
      <c r="DR780" s="132"/>
      <c r="DS780" s="142"/>
    </row>
    <row r="781" spans="121:123" x14ac:dyDescent="0.35">
      <c r="DQ781" s="132"/>
      <c r="DR781" s="132"/>
      <c r="DS781" s="142"/>
    </row>
    <row r="782" spans="121:123" x14ac:dyDescent="0.35">
      <c r="DQ782" s="132"/>
      <c r="DR782" s="132"/>
      <c r="DS782" s="142"/>
    </row>
    <row r="783" spans="121:123" x14ac:dyDescent="0.35">
      <c r="DQ783" s="132"/>
      <c r="DR783" s="132"/>
      <c r="DS783" s="142"/>
    </row>
    <row r="784" spans="121:123" x14ac:dyDescent="0.35">
      <c r="DQ784" s="132"/>
      <c r="DR784" s="132"/>
      <c r="DS784" s="142"/>
    </row>
    <row r="785" spans="121:123" x14ac:dyDescent="0.35">
      <c r="DQ785" s="132"/>
      <c r="DR785" s="132"/>
      <c r="DS785" s="142"/>
    </row>
    <row r="786" spans="121:123" x14ac:dyDescent="0.35">
      <c r="DQ786" s="132"/>
      <c r="DR786" s="132"/>
      <c r="DS786" s="142"/>
    </row>
    <row r="787" spans="121:123" x14ac:dyDescent="0.35">
      <c r="DQ787" s="132"/>
      <c r="DR787" s="132"/>
      <c r="DS787" s="142"/>
    </row>
    <row r="788" spans="121:123" x14ac:dyDescent="0.35">
      <c r="DQ788" s="132"/>
      <c r="DR788" s="132"/>
      <c r="DS788" s="142"/>
    </row>
    <row r="789" spans="121:123" x14ac:dyDescent="0.35">
      <c r="DQ789" s="132"/>
      <c r="DR789" s="132"/>
      <c r="DS789" s="142"/>
    </row>
    <row r="790" spans="121:123" x14ac:dyDescent="0.35">
      <c r="DQ790" s="132"/>
      <c r="DR790" s="132"/>
      <c r="DS790" s="142"/>
    </row>
    <row r="791" spans="121:123" x14ac:dyDescent="0.35">
      <c r="DQ791" s="132"/>
      <c r="DR791" s="132"/>
      <c r="DS791" s="142"/>
    </row>
    <row r="792" spans="121:123" x14ac:dyDescent="0.35">
      <c r="DQ792" s="132"/>
      <c r="DR792" s="132"/>
      <c r="DS792" s="142"/>
    </row>
    <row r="793" spans="121:123" x14ac:dyDescent="0.35">
      <c r="DQ793" s="132"/>
      <c r="DR793" s="132"/>
      <c r="DS793" s="142"/>
    </row>
    <row r="794" spans="121:123" x14ac:dyDescent="0.35">
      <c r="DQ794" s="132"/>
      <c r="DR794" s="132"/>
      <c r="DS794" s="142"/>
    </row>
    <row r="795" spans="121:123" x14ac:dyDescent="0.35">
      <c r="DQ795" s="132"/>
      <c r="DR795" s="132"/>
      <c r="DS795" s="142"/>
    </row>
    <row r="796" spans="121:123" x14ac:dyDescent="0.35">
      <c r="DQ796" s="132"/>
      <c r="DR796" s="132"/>
      <c r="DS796" s="142"/>
    </row>
    <row r="797" spans="121:123" x14ac:dyDescent="0.35">
      <c r="DQ797" s="132"/>
      <c r="DR797" s="132"/>
      <c r="DS797" s="142"/>
    </row>
    <row r="798" spans="121:123" x14ac:dyDescent="0.35">
      <c r="DQ798" s="132"/>
      <c r="DR798" s="132"/>
      <c r="DS798" s="142"/>
    </row>
    <row r="799" spans="121:123" x14ac:dyDescent="0.35">
      <c r="DQ799" s="132"/>
      <c r="DR799" s="132"/>
      <c r="DS799" s="142"/>
    </row>
    <row r="800" spans="121:123" x14ac:dyDescent="0.35">
      <c r="DQ800" s="132"/>
      <c r="DR800" s="132"/>
      <c r="DS800" s="142"/>
    </row>
    <row r="801" spans="121:123" x14ac:dyDescent="0.35">
      <c r="DQ801" s="132"/>
      <c r="DR801" s="132"/>
      <c r="DS801" s="142"/>
    </row>
    <row r="802" spans="121:123" x14ac:dyDescent="0.35">
      <c r="DQ802" s="132"/>
      <c r="DR802" s="132"/>
      <c r="DS802" s="142"/>
    </row>
    <row r="803" spans="121:123" x14ac:dyDescent="0.35">
      <c r="DQ803" s="132"/>
      <c r="DR803" s="132"/>
      <c r="DS803" s="142"/>
    </row>
    <row r="804" spans="121:123" x14ac:dyDescent="0.35">
      <c r="DQ804" s="132"/>
      <c r="DR804" s="132"/>
      <c r="DS804" s="142"/>
    </row>
    <row r="805" spans="121:123" x14ac:dyDescent="0.35">
      <c r="DQ805" s="132"/>
      <c r="DR805" s="132"/>
      <c r="DS805" s="142"/>
    </row>
    <row r="806" spans="121:123" x14ac:dyDescent="0.35">
      <c r="DQ806" s="132"/>
      <c r="DR806" s="132"/>
      <c r="DS806" s="142"/>
    </row>
    <row r="807" spans="121:123" x14ac:dyDescent="0.35">
      <c r="DQ807" s="132"/>
      <c r="DR807" s="132"/>
      <c r="DS807" s="142"/>
    </row>
    <row r="808" spans="121:123" x14ac:dyDescent="0.35">
      <c r="DQ808" s="132"/>
      <c r="DR808" s="132"/>
      <c r="DS808" s="142"/>
    </row>
    <row r="809" spans="121:123" x14ac:dyDescent="0.35">
      <c r="DQ809" s="132"/>
      <c r="DR809" s="132"/>
      <c r="DS809" s="142"/>
    </row>
    <row r="810" spans="121:123" x14ac:dyDescent="0.35">
      <c r="DQ810" s="132"/>
      <c r="DR810" s="132"/>
      <c r="DS810" s="142"/>
    </row>
    <row r="811" spans="121:123" x14ac:dyDescent="0.35">
      <c r="DQ811" s="132"/>
      <c r="DR811" s="132"/>
      <c r="DS811" s="142"/>
    </row>
    <row r="812" spans="121:123" x14ac:dyDescent="0.35">
      <c r="DQ812" s="132"/>
      <c r="DR812" s="132"/>
      <c r="DS812" s="142"/>
    </row>
    <row r="813" spans="121:123" x14ac:dyDescent="0.35">
      <c r="DQ813" s="132"/>
      <c r="DR813" s="132"/>
      <c r="DS813" s="142"/>
    </row>
    <row r="814" spans="121:123" x14ac:dyDescent="0.35">
      <c r="DQ814" s="132"/>
      <c r="DR814" s="132"/>
      <c r="DS814" s="142"/>
    </row>
    <row r="815" spans="121:123" x14ac:dyDescent="0.35">
      <c r="DQ815" s="132"/>
      <c r="DR815" s="132"/>
      <c r="DS815" s="142"/>
    </row>
    <row r="816" spans="121:123" x14ac:dyDescent="0.35">
      <c r="DQ816" s="132"/>
      <c r="DR816" s="132"/>
      <c r="DS816" s="142"/>
    </row>
    <row r="817" spans="121:123" x14ac:dyDescent="0.35">
      <c r="DQ817" s="132"/>
      <c r="DR817" s="132"/>
      <c r="DS817" s="142"/>
    </row>
    <row r="818" spans="121:123" x14ac:dyDescent="0.35">
      <c r="DQ818" s="132"/>
      <c r="DR818" s="132"/>
      <c r="DS818" s="142"/>
    </row>
    <row r="819" spans="121:123" x14ac:dyDescent="0.35">
      <c r="DQ819" s="132"/>
      <c r="DR819" s="132"/>
      <c r="DS819" s="142"/>
    </row>
    <row r="820" spans="121:123" x14ac:dyDescent="0.35">
      <c r="DQ820" s="132"/>
      <c r="DR820" s="132"/>
      <c r="DS820" s="142"/>
    </row>
    <row r="821" spans="121:123" x14ac:dyDescent="0.35">
      <c r="DQ821" s="132"/>
      <c r="DR821" s="132"/>
      <c r="DS821" s="142"/>
    </row>
    <row r="822" spans="121:123" x14ac:dyDescent="0.35">
      <c r="DQ822" s="132"/>
      <c r="DR822" s="132"/>
      <c r="DS822" s="142"/>
    </row>
    <row r="823" spans="121:123" x14ac:dyDescent="0.35">
      <c r="DQ823" s="132"/>
      <c r="DR823" s="132"/>
      <c r="DS823" s="142"/>
    </row>
    <row r="824" spans="121:123" x14ac:dyDescent="0.35">
      <c r="DQ824" s="132"/>
      <c r="DR824" s="132"/>
      <c r="DS824" s="142"/>
    </row>
    <row r="825" spans="121:123" x14ac:dyDescent="0.35">
      <c r="DQ825" s="132"/>
      <c r="DR825" s="132"/>
      <c r="DS825" s="142"/>
    </row>
    <row r="826" spans="121:123" x14ac:dyDescent="0.35">
      <c r="DQ826" s="132"/>
      <c r="DR826" s="132"/>
      <c r="DS826" s="142"/>
    </row>
    <row r="827" spans="121:123" x14ac:dyDescent="0.35">
      <c r="DQ827" s="132"/>
      <c r="DR827" s="132"/>
      <c r="DS827" s="142"/>
    </row>
    <row r="828" spans="121:123" x14ac:dyDescent="0.35">
      <c r="DQ828" s="132"/>
      <c r="DR828" s="132"/>
      <c r="DS828" s="142"/>
    </row>
    <row r="829" spans="121:123" x14ac:dyDescent="0.35">
      <c r="DQ829" s="132"/>
      <c r="DR829" s="132"/>
      <c r="DS829" s="142"/>
    </row>
    <row r="830" spans="121:123" x14ac:dyDescent="0.35">
      <c r="DQ830" s="132"/>
      <c r="DR830" s="132"/>
      <c r="DS830" s="142"/>
    </row>
    <row r="831" spans="121:123" x14ac:dyDescent="0.35">
      <c r="DQ831" s="132"/>
      <c r="DR831" s="132"/>
      <c r="DS831" s="142"/>
    </row>
    <row r="832" spans="121:123" x14ac:dyDescent="0.35">
      <c r="DQ832" s="130"/>
      <c r="DR832" s="130"/>
      <c r="DS832" s="142"/>
    </row>
    <row r="833" spans="121:123" x14ac:dyDescent="0.35">
      <c r="DQ833" s="130"/>
      <c r="DR833" s="130"/>
      <c r="DS833" s="142"/>
    </row>
    <row r="834" spans="121:123" x14ac:dyDescent="0.35">
      <c r="DQ834" s="130"/>
      <c r="DR834" s="130"/>
      <c r="DS834" s="141"/>
    </row>
    <row r="835" spans="121:123" x14ac:dyDescent="0.35">
      <c r="DQ835" s="130"/>
      <c r="DR835" s="130"/>
      <c r="DS835" s="141"/>
    </row>
    <row r="836" spans="121:123" x14ac:dyDescent="0.35">
      <c r="DQ836" s="130"/>
      <c r="DR836" s="130"/>
      <c r="DS836" s="141"/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2026-09-10T13:48:14Z</dcterms:modified>
</cp:coreProperties>
</file>