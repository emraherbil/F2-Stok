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C15F7F1C-6173-4157-B86B-F053C3C6B651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Stok!$A$1:$CJ$432</definedName>
    <definedName name="Dilimleyici_Marka">#N/A</definedName>
    <definedName name="Dilimleyici_Ürün_Grubu">#N/A</definedName>
  </definedNames>
  <calcPr calcId="191029"/>
  <pivotCaches>
    <pivotCache cacheId="1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2" i="2"/>
  <c r="DF330" i="2"/>
  <c r="DF139" i="2"/>
  <c r="L6" i="6" l="1"/>
  <c r="X2" i="6" s="1"/>
  <c r="L7" i="6"/>
  <c r="DE330" i="2"/>
  <c r="DE139" i="2"/>
  <c r="L8" i="6" l="1"/>
  <c r="DD330" i="2"/>
  <c r="DD139" i="2"/>
  <c r="L9" i="6"/>
  <c r="DC139" i="2" l="1"/>
  <c r="DB139" i="2"/>
  <c r="L10" i="6" l="1"/>
  <c r="L11" i="6"/>
  <c r="DA139" i="2"/>
  <c r="L12" i="6" l="1"/>
  <c r="CZ139" i="2"/>
  <c r="L13" i="6" l="1"/>
  <c r="L14" i="6"/>
  <c r="L15" i="6" l="1"/>
  <c r="L16" i="6" l="1"/>
  <c r="L17" i="6" l="1"/>
  <c r="L18" i="6" l="1"/>
  <c r="L19" i="6"/>
  <c r="L20" i="6" l="1"/>
  <c r="L21" i="6" l="1"/>
  <c r="L22" i="6"/>
  <c r="L23" i="6" l="1"/>
  <c r="M33" i="2" l="1"/>
  <c r="L24" i="6" l="1"/>
  <c r="L25" i="6" l="1"/>
  <c r="L26" i="6"/>
  <c r="L27" i="6" l="1"/>
  <c r="L28" i="6"/>
  <c r="L29" i="6" l="1"/>
  <c r="L30" i="6" l="1"/>
  <c r="L31" i="6"/>
  <c r="L32" i="6" l="1"/>
  <c r="L33" i="6" l="1"/>
  <c r="L34" i="6" l="1"/>
  <c r="L35" i="6" l="1"/>
  <c r="L36" i="6"/>
  <c r="L37" i="6" l="1"/>
  <c r="L38" i="6" l="1"/>
  <c r="L39" i="6" l="1"/>
  <c r="L40" i="6" l="1"/>
  <c r="L41" i="6" l="1"/>
  <c r="L42" i="6" l="1"/>
  <c r="L43" i="6" l="1"/>
  <c r="BU141" i="2"/>
  <c r="L44" i="6" l="1"/>
  <c r="L45" i="6" l="1"/>
  <c r="BS188" i="2" l="1"/>
  <c r="L46" i="6" l="1"/>
  <c r="L47" i="6" l="1"/>
  <c r="L48" i="6" l="1"/>
  <c r="L49" i="6"/>
  <c r="L50" i="6"/>
  <c r="L51" i="6" l="1"/>
  <c r="L52" i="6"/>
  <c r="L53" i="6" l="1"/>
  <c r="L54" i="6"/>
  <c r="L99" i="6" l="1"/>
  <c r="L55" i="6" l="1"/>
  <c r="L56" i="6" l="1"/>
  <c r="L57" i="6" l="1"/>
  <c r="L58" i="6" l="1"/>
  <c r="L59" i="6" l="1"/>
  <c r="L60" i="6"/>
  <c r="L61" i="6" l="1"/>
  <c r="L62" i="6"/>
  <c r="L63" i="6" l="1"/>
  <c r="G2" i="6" l="1"/>
  <c r="L64" i="6" l="1"/>
  <c r="L65" i="6" l="1"/>
  <c r="L66" i="6" l="1"/>
  <c r="L67" i="6" l="1"/>
  <c r="L68" i="6" l="1"/>
  <c r="L102" i="6" l="1"/>
  <c r="L101" i="6"/>
  <c r="L100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0" i="6"/>
  <c r="L69" i="6"/>
  <c r="L71" i="6"/>
  <c r="L72" i="6" l="1"/>
  <c r="L73" i="6" l="1"/>
  <c r="L74" i="6" l="1"/>
  <c r="L37" i="3" l="1"/>
</calcChain>
</file>

<file path=xl/sharedStrings.xml><?xml version="1.0" encoding="utf-8"?>
<sst xmlns="http://schemas.openxmlformats.org/spreadsheetml/2006/main" count="4607" uniqueCount="1539">
  <si>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</si>
  <si>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</si>
  <si>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</si>
  <si>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</si>
  <si>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</si>
  <si>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</si>
  <si>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</si>
  <si>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</si>
  <si>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</si>
  <si>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</si>
  <si>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</si>
  <si>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</si>
  <si>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</si>
  <si>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</si>
  <si>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</si>
  <si>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</si>
  <si>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</si>
  <si>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</si>
  <si>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</si>
  <si>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</si>
  <si>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</si>
  <si>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</si>
  <si>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</si>
  <si>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</si>
  <si>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</si>
  <si>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</si>
  <si>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</si>
  <si>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</si>
  <si>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</si>
  <si>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</si>
  <si>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</si>
  <si>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</si>
  <si>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</si>
  <si>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</si>
  <si>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</si>
  <si>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</si>
  <si>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</si>
  <si>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</si>
  <si>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</si>
  <si>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</si>
  <si>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</si>
  <si>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</si>
  <si>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</si>
  <si>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</si>
  <si>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</si>
  <si>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</si>
  <si>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</si>
  <si>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</si>
  <si>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</si>
  <si>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</si>
  <si>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</si>
  <si>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</si>
  <si>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</si>
  <si>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</si>
  <si>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</si>
  <si>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</si>
  <si>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</si>
  <si>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</si>
  <si>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</si>
  <si>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</si>
  <si>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</si>
  <si>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</si>
  <si>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</si>
  <si>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</si>
  <si>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</si>
  <si>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</si>
  <si>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</si>
  <si>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</si>
  <si>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</si>
  <si>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</si>
  <si>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</si>
  <si>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</si>
  <si>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</si>
  <si>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</si>
  <si>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</si>
  <si>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</si>
  <si>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</si>
  <si>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</si>
  <si>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</si>
  <si>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</si>
  <si>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</si>
  <si>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</si>
  <si>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</si>
  <si>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</si>
  <si>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</si>
  <si>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</si>
  <si>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</si>
  <si>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</si>
  <si>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</si>
  <si>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</si>
  <si>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</si>
  <si>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</si>
  <si>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</si>
  <si>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</si>
  <si>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</si>
  <si>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</si>
  <si>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</si>
  <si>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</si>
  <si>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</si>
  <si>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</si>
  <si>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</si>
  <si>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</si>
  <si>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</si>
  <si>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</si>
  <si>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</si>
  <si>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</si>
  <si>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</si>
  <si>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</si>
  <si>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</si>
  <si>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</si>
  <si>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</si>
  <si>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</si>
  <si>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</si>
  <si>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</si>
  <si>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</si>
  <si>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</si>
  <si>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</si>
  <si>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</si>
  <si>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</si>
  <si>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</si>
  <si>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</si>
  <si>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</si>
  <si>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</si>
  <si>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</si>
  <si>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</si>
  <si>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</si>
  <si>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</si>
  <si>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</si>
  <si>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</si>
  <si>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</si>
  <si>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</si>
  <si>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</si>
  <si>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</si>
  <si>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</si>
  <si>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</si>
  <si>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</si>
  <si>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</si>
  <si>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</si>
  <si>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</si>
  <si>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</si>
  <si>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</si>
  <si>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</si>
  <si>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</si>
  <si>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</si>
  <si>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</si>
  <si>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</si>
  <si>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</si>
  <si>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</si>
  <si>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</si>
  <si>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</si>
  <si>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</si>
  <si>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</si>
  <si>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</si>
  <si>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</si>
  <si>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</si>
  <si>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</si>
  <si>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</si>
  <si>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</si>
  <si>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</si>
  <si>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</si>
  <si>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</si>
  <si>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</si>
  <si>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</si>
  <si>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</si>
  <si>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</si>
  <si>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</si>
  <si>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</si>
  <si>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</si>
  <si>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</si>
  <si>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</si>
  <si>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</si>
  <si>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</si>
  <si>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</si>
  <si>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</si>
  <si>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</si>
  <si>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</si>
  <si>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</si>
  <si>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</si>
  <si>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</si>
  <si>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</si>
  <si>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</si>
  <si>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</si>
  <si>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</si>
  <si>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</si>
  <si>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</si>
  <si>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</si>
  <si>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</si>
  <si>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</si>
  <si>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</si>
  <si>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</si>
  <si>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</si>
  <si>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</si>
  <si>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</si>
  <si>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</si>
  <si>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</si>
  <si>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</si>
  <si>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</si>
  <si>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</si>
  <si>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</si>
  <si>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</si>
  <si>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</si>
  <si>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</si>
  <si>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</si>
  <si>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</si>
  <si>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</si>
  <si>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</si>
  <si>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</si>
  <si>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</si>
  <si>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</si>
  <si>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</si>
  <si>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</si>
  <si>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</si>
  <si>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</si>
  <si>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</si>
  <si>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</si>
  <si>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</si>
  <si>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</si>
  <si>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</si>
  <si>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</si>
  <si>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</si>
  <si>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</si>
  <si>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</si>
  <si>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</si>
  <si>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</si>
  <si>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</si>
  <si>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</si>
  <si>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</si>
  <si>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</si>
  <si>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</si>
  <si>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</si>
  <si>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</si>
  <si>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</si>
  <si>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</si>
  <si>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</si>
  <si>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</si>
  <si>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</si>
  <si>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</si>
  <si>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</si>
  <si>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</si>
  <si>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</si>
  <si>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</si>
  <si>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</si>
  <si>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</si>
  <si>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</si>
  <si>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</si>
  <si>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</si>
  <si>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</si>
  <si>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</si>
  <si>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</si>
  <si>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</si>
  <si>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</si>
  <si>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</si>
  <si>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</si>
  <si>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</si>
  <si>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</si>
  <si>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</si>
  <si>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</si>
  <si>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</si>
  <si>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</si>
  <si>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</si>
  <si>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</si>
  <si>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</si>
  <si>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</si>
  <si>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</si>
  <si>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</si>
  <si>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</si>
  <si>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</si>
  <si>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</si>
  <si>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</si>
  <si>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</si>
  <si>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</si>
  <si>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</si>
  <si>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</si>
  <si>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</si>
  <si>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</si>
  <si>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</si>
  <si>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</si>
  <si>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</si>
  <si>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</si>
  <si>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</si>
  <si>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</si>
  <si>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</si>
  <si>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</si>
  <si>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</si>
  <si>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</si>
  <si>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</si>
  <si>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</si>
  <si>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</si>
  <si>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</si>
  <si>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</si>
  <si>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</si>
  <si>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</si>
  <si>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</si>
  <si>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</si>
  <si>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</si>
  <si>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</si>
  <si>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</si>
  <si>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</si>
  <si>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</si>
  <si>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</si>
  <si>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</si>
  <si>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</si>
  <si>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</si>
  <si>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</si>
  <si>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</si>
  <si>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</si>
  <si>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</si>
  <si>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</si>
  <si>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</si>
  <si>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</si>
  <si>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</si>
  <si>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</si>
  <si>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</si>
  <si>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</si>
  <si>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</si>
  <si>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</si>
  <si>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</si>
  <si>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</si>
  <si>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</si>
  <si>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</si>
  <si>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</si>
  <si>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</si>
  <si>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</si>
  <si>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</si>
  <si>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</si>
  <si>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</si>
  <si>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</si>
  <si>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</si>
  <si>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</si>
  <si>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</si>
  <si>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</si>
  <si>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</si>
  <si>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</si>
  <si>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</si>
  <si>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</si>
  <si>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</si>
  <si>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</si>
  <si>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</si>
  <si>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</si>
  <si>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</si>
  <si>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</si>
  <si>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</si>
  <si>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</si>
  <si>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</si>
  <si>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</si>
  <si>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</si>
  <si>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</si>
  <si>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</si>
  <si>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</si>
  <si>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</si>
  <si>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</si>
  <si>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</si>
  <si>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</si>
  <si>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</si>
  <si>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</si>
  <si>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</si>
  <si>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</si>
  <si>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</si>
  <si>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</si>
  <si>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</si>
  <si>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</si>
  <si>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</si>
  <si>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</si>
  <si>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</si>
  <si>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</si>
  <si>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</si>
  <si>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</si>
  <si>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</si>
  <si>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</si>
  <si>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</si>
  <si>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</si>
  <si>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</si>
  <si>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</si>
  <si>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</si>
  <si>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</si>
  <si>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</si>
  <si>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</si>
  <si>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</si>
  <si>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</si>
  <si>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</si>
  <si>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</si>
  <si>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</si>
  <si>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</si>
  <si>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</si>
  <si>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</si>
  <si>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</si>
  <si>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</si>
  <si>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</si>
  <si>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</si>
  <si>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</si>
  <si>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</si>
  <si>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</si>
  <si>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</si>
  <si>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</si>
  <si>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</si>
  <si>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</si>
  <si>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</si>
  <si>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</si>
  <si>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</si>
  <si>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</si>
  <si>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</si>
  <si>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</si>
  <si>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</si>
  <si>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</si>
  <si>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</si>
  <si>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</si>
  <si>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</si>
  <si>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</si>
  <si>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</si>
  <si>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</si>
  <si>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</si>
  <si>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</si>
  <si>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</si>
  <si>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</si>
  <si>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</si>
  <si>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</si>
  <si>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</si>
  <si>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</si>
  <si>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</si>
  <si>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</si>
  <si>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</si>
  <si>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</si>
  <si>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</si>
  <si>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</si>
  <si>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</si>
  <si>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</si>
  <si>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</si>
  <si>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</si>
  <si>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</si>
  <si>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</si>
  <si>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</si>
  <si>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</si>
  <si>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</si>
  <si>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</si>
  <si>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</si>
  <si>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</si>
  <si>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</si>
  <si>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</si>
  <si>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</si>
  <si>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</si>
  <si>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</si>
  <si>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</si>
  <si>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</si>
  <si>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</si>
  <si>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</si>
  <si>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</si>
  <si>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</si>
  <si>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</si>
  <si>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</si>
  <si>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</si>
  <si>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</si>
  <si>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</si>
  <si>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</si>
  <si>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</si>
  <si>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</si>
  <si>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</si>
  <si>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</si>
  <si>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</si>
  <si>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</si>
  <si>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</si>
  <si>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</si>
  <si>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</si>
  <si>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</si>
  <si>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</si>
  <si>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</si>
  <si>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</si>
  <si>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</si>
  <si>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</si>
  <si>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</si>
  <si>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</si>
  <si>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</si>
  <si>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</si>
  <si>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</si>
  <si>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</si>
  <si>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</si>
  <si>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</si>
  <si>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</si>
  <si>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</si>
  <si>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</si>
  <si>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</si>
  <si>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</si>
  <si>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</si>
  <si>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</si>
  <si>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</si>
  <si>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</si>
  <si>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</si>
  <si>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</si>
  <si>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</si>
  <si>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</si>
  <si>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</si>
  <si>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</si>
  <si>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</si>
  <si>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</si>
  <si>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</si>
  <si>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</si>
  <si>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</si>
  <si>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</si>
  <si>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</si>
  <si>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</si>
  <si>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</si>
  <si>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</si>
  <si>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</si>
  <si>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</si>
  <si>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</si>
  <si>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</si>
  <si>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</si>
  <si>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</si>
  <si>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</si>
  <si>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</si>
  <si>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</si>
  <si>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</si>
  <si>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</si>
  <si>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</si>
  <si>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</si>
  <si>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</si>
  <si>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</si>
  <si>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</si>
  <si>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</si>
  <si>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</si>
  <si>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</si>
  <si>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</si>
  <si>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</si>
  <si>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</si>
  <si>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</si>
  <si>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</si>
  <si>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</si>
  <si>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</si>
  <si>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</si>
  <si>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</si>
  <si>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</si>
  <si>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</si>
  <si>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</si>
  <si>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</si>
  <si>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</si>
  <si>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</si>
  <si>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</si>
  <si>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</si>
  <si>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</si>
  <si>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</si>
  <si>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</si>
  <si>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</si>
  <si>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</si>
  <si>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</si>
  <si>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</si>
  <si>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</si>
  <si>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</si>
  <si>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</si>
  <si>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</si>
  <si>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</si>
  <si>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</si>
  <si>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</si>
  <si>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</si>
  <si>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</si>
  <si>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</si>
  <si>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</si>
  <si>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</si>
  <si>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</si>
  <si>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</si>
  <si>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</si>
  <si>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</si>
  <si>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</si>
  <si>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</si>
  <si>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</si>
  <si>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</si>
  <si>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</si>
  <si>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</si>
  <si>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</si>
  <si>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</si>
  <si>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</si>
  <si>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</si>
  <si>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</si>
  <si>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</si>
  <si>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</si>
  <si>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</si>
  <si>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</si>
  <si>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</si>
  <si>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</si>
  <si>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</si>
  <si>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</si>
  <si>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</si>
  <si>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</si>
  <si>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</si>
  <si>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</si>
  <si>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</si>
  <si>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</si>
  <si>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</si>
  <si>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</si>
  <si>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</si>
  <si>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</si>
  <si>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</si>
  <si>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</si>
  <si>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</si>
  <si>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</si>
  <si>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</si>
  <si>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</si>
  <si>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</si>
  <si>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</si>
  <si>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</si>
  <si>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</si>
  <si>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</si>
  <si>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</si>
  <si>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</si>
  <si>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</si>
  <si>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</si>
  <si>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</si>
  <si>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</si>
  <si>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</si>
  <si>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</si>
  <si>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</si>
  <si>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</si>
  <si>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</si>
  <si>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</si>
  <si>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</si>
  <si>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</si>
  <si>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</si>
  <si>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</si>
  <si>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</si>
  <si>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</si>
  <si>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</si>
  <si>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</si>
  <si>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</si>
  <si>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</si>
  <si>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</si>
  <si>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</si>
  <si>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</si>
  <si>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</si>
  <si>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</si>
  <si>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</si>
  <si>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</si>
  <si>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</si>
  <si>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</si>
  <si>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</si>
  <si>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</si>
  <si>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</si>
  <si>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</si>
  <si>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</si>
  <si>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</si>
  <si>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</si>
  <si>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</si>
  <si>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</si>
  <si>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</si>
  <si>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</si>
  <si>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</si>
  <si>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</si>
  <si>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</si>
  <si>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</si>
  <si>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</si>
  <si>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</si>
  <si>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</si>
  <si>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</si>
  <si>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</si>
  <si>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</si>
  <si>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</si>
  <si>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</si>
  <si>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</si>
  <si>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</si>
  <si>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</si>
  <si>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</si>
  <si>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</si>
  <si>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</si>
  <si>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</si>
  <si>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</si>
  <si>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</si>
  <si>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</si>
  <si>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</si>
  <si>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</si>
  <si>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</si>
  <si>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</si>
  <si>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</si>
  <si>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</si>
  <si>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</si>
  <si>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</si>
  <si>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</si>
  <si>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</si>
  <si>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</si>
  <si>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</si>
  <si>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</si>
  <si>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</si>
  <si>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</si>
  <si>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</si>
  <si>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</si>
  <si>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</si>
  <si>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</si>
  <si>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</si>
  <si>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</si>
  <si>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</si>
  <si>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</si>
  <si>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</si>
  <si>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</si>
  <si>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</si>
  <si>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</si>
  <si>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</si>
  <si>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</si>
  <si>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</si>
  <si>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</si>
  <si>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</si>
  <si>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</si>
  <si>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</si>
  <si>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</si>
  <si>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</si>
  <si>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</si>
  <si>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</si>
  <si>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</si>
  <si>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</si>
  <si>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</si>
  <si>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</si>
  <si>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</si>
  <si>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</si>
  <si>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</si>
  <si>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</si>
  <si>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</si>
  <si>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</si>
  <si>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</si>
  <si>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</si>
  <si>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</si>
  <si>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</si>
  <si>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</si>
  <si>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</si>
  <si>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</si>
  <si>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</si>
  <si>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</si>
  <si>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</si>
  <si>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</si>
  <si>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</si>
  <si>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</si>
  <si>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</si>
  <si>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</si>
  <si>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</si>
  <si>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</si>
  <si>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</si>
  <si>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</si>
  <si>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</si>
  <si>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</si>
  <si>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</si>
  <si>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</si>
  <si>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</si>
  <si>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</si>
  <si>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</si>
  <si>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</si>
  <si>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</si>
  <si>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</si>
  <si>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</si>
  <si>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</si>
  <si>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</si>
  <si>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</si>
  <si>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</si>
  <si>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</si>
  <si>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</si>
  <si>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</si>
  <si>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</si>
  <si>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</si>
  <si>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</si>
  <si>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</si>
  <si>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</si>
  <si>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</si>
  <si>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</si>
  <si>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</si>
  <si>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</si>
  <si>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</si>
  <si>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</si>
  <si>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</si>
  <si>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</si>
  <si>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</si>
  <si>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</si>
  <si>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</si>
  <si>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</si>
  <si>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</si>
  <si>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</si>
  <si>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</si>
  <si>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</si>
  <si>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</si>
  <si>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</si>
  <si>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</si>
  <si>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</si>
  <si>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</si>
  <si>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</si>
  <si>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</si>
  <si>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</si>
  <si>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</si>
  <si>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</si>
  <si>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</si>
  <si>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</si>
  <si>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</si>
  <si>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</si>
  <si>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</si>
  <si>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</si>
  <si>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</si>
  <si>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</si>
  <si>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</si>
  <si>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</si>
  <si>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</si>
  <si>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</si>
  <si>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</si>
  <si>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</si>
  <si>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</si>
  <si>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</si>
  <si>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</si>
  <si>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</si>
  <si>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</si>
  <si>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</si>
  <si>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</si>
  <si>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</si>
  <si>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</si>
  <si>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</si>
  <si>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</si>
  <si>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</si>
  <si>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</si>
  <si>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</si>
  <si>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</si>
  <si>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</si>
  <si>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</si>
  <si>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</si>
  <si>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</si>
  <si>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</si>
  <si>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</si>
  <si>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</si>
  <si>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</si>
  <si>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</si>
  <si>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</si>
  <si>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</si>
  <si>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</si>
  <si>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</si>
  <si>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</si>
  <si>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</si>
  <si>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</si>
  <si>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</si>
  <si>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</si>
  <si>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</si>
  <si>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</si>
  <si>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</si>
  <si>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</si>
  <si>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</si>
  <si>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</si>
  <si>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</si>
  <si>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</si>
  <si>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</si>
  <si>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</si>
  <si>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</si>
  <si>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</si>
  <si>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</si>
  <si>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</si>
  <si>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</si>
  <si>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</si>
  <si>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</si>
  <si>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</si>
  <si>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</si>
  <si>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</si>
  <si>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</si>
  <si>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</si>
  <si>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</si>
  <si>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</si>
  <si>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</si>
  <si>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</si>
  <si>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</si>
  <si>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</si>
  <si>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</si>
  <si>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</si>
  <si>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</si>
  <si>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</si>
  <si>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</si>
  <si>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</si>
  <si>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</si>
  <si>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</si>
  <si>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</si>
  <si>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</si>
  <si>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</si>
  <si>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</si>
  <si>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</si>
  <si>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</si>
  <si>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</si>
  <si>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</si>
  <si>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</si>
  <si>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</si>
  <si>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</si>
  <si>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</si>
  <si>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</si>
  <si>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</si>
  <si>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</si>
  <si>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</si>
  <si>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</si>
  <si>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</si>
  <si>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</si>
  <si>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</si>
  <si>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</si>
  <si>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</si>
  <si>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</si>
  <si>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</si>
  <si>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</si>
  <si>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</si>
  <si>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</si>
  <si>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</si>
  <si>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</si>
  <si>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</si>
  <si>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</si>
  <si>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</si>
  <si>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</si>
  <si>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</si>
  <si>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</si>
  <si>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</si>
  <si>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</si>
  <si>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</si>
  <si>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</si>
  <si>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</si>
  <si>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</si>
  <si>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</si>
  <si>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</si>
  <si>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</si>
  <si>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</si>
  <si>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</si>
  <si>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</si>
  <si>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</si>
  <si>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</si>
  <si>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</si>
  <si>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</si>
  <si>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</si>
  <si>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</si>
  <si>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</si>
  <si>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</si>
  <si>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</si>
  <si>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</si>
  <si>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</si>
  <si>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</si>
  <si>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</si>
  <si>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</si>
  <si>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</si>
  <si>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</si>
  <si>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</si>
  <si>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</si>
  <si>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</si>
  <si>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</si>
  <si>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</si>
  <si>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</si>
  <si>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</si>
  <si>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</si>
  <si>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</si>
  <si>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</si>
  <si>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</si>
  <si>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</si>
  <si>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</si>
  <si>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</si>
  <si>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</si>
  <si>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</si>
  <si>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</si>
  <si>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</si>
  <si>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</si>
  <si>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</si>
  <si>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</si>
  <si>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</si>
  <si>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</si>
  <si>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</si>
  <si>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</si>
  <si>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</si>
  <si>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</si>
  <si>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</si>
  <si>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</si>
  <si>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</si>
  <si>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</si>
  <si>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</si>
  <si>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</si>
  <si>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</si>
  <si>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</si>
  <si>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</si>
  <si>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</si>
  <si>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</si>
  <si>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</si>
  <si>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</si>
  <si>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</si>
  <si>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</si>
  <si>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</si>
  <si>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</si>
  <si>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</si>
  <si>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</si>
  <si>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</si>
  <si>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</si>
  <si>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</si>
  <si>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</si>
  <si>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</si>
  <si>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</si>
  <si>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</si>
  <si>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</si>
  <si>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</si>
  <si>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</si>
  <si>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</si>
  <si>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</si>
  <si>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</si>
  <si>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</si>
  <si>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</si>
  <si>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</si>
  <si>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</si>
  <si>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</si>
  <si>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</si>
  <si>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</si>
  <si>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</si>
  <si>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</si>
  <si>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</si>
  <si>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</si>
  <si>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</si>
  <si>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</si>
  <si>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</si>
  <si>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</si>
  <si>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</si>
  <si>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</si>
  <si>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</si>
  <si>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</si>
  <si>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</si>
  <si>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</si>
  <si>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</si>
  <si>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</si>
  <si>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</si>
  <si>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</si>
  <si>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</si>
  <si>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</si>
  <si>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</si>
  <si>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</si>
  <si>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</si>
  <si>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</si>
  <si>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</si>
  <si>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</si>
  <si>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</si>
  <si>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</si>
  <si>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</si>
  <si>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</si>
  <si>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</si>
  <si>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</si>
  <si>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</si>
  <si>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</si>
  <si>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</si>
  <si>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</si>
  <si>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</si>
  <si>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</si>
  <si>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</si>
  <si>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</si>
  <si>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</si>
  <si>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</si>
  <si>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</si>
  <si>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</si>
  <si>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</si>
  <si>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</si>
  <si>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</si>
  <si>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</si>
  <si>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</si>
  <si>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</si>
  <si>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</si>
  <si>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</si>
  <si>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</si>
  <si>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</si>
  <si>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</si>
  <si>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</si>
  <si>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</si>
  <si>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</si>
  <si>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</si>
  <si>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</si>
  <si>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</si>
  <si>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</si>
  <si>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</si>
  <si>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</si>
  <si>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</si>
  <si>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</si>
  <si>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</si>
  <si>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</si>
  <si>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</si>
  <si>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</si>
  <si>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</si>
  <si>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</si>
  <si>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</si>
  <si>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</si>
  <si>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</si>
  <si>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</si>
  <si>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</si>
  <si>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</si>
  <si>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</si>
  <si>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</si>
  <si>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</si>
  <si>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</si>
  <si>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</si>
  <si>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</si>
  <si>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</si>
  <si>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</si>
  <si>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</si>
  <si>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</si>
  <si>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</si>
  <si>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</si>
  <si>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</si>
  <si>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</si>
  <si>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</si>
  <si>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</si>
  <si>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</si>
  <si>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</si>
  <si>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</si>
  <si>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</si>
  <si>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</si>
  <si>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</si>
  <si>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</si>
  <si>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</si>
  <si>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</si>
  <si>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</si>
  <si>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</si>
  <si>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</si>
  <si>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</si>
  <si>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</si>
  <si>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</si>
  <si>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</si>
  <si>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</si>
  <si>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</si>
  <si>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</si>
  <si>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</si>
  <si>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</si>
  <si>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</si>
  <si>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</si>
  <si>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</si>
  <si>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</si>
  <si>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</si>
  <si>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</si>
  <si>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</si>
  <si>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</si>
  <si>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</si>
  <si>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</si>
  <si>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</si>
  <si>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</si>
  <si>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</si>
  <si>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</si>
  <si>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</si>
  <si>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</si>
  <si>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</si>
  <si>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</si>
  <si>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</si>
  <si>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</si>
  <si>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</si>
  <si>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</si>
  <si>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</si>
  <si>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</si>
  <si>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</si>
  <si>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</si>
  <si>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</si>
  <si>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</si>
  <si>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</si>
  <si>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</si>
  <si>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</si>
  <si>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</si>
  <si>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</si>
  <si>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</si>
  <si>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</si>
  <si>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</si>
  <si>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</si>
  <si>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</si>
  <si>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</si>
  <si>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</si>
  <si>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</si>
  <si>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</si>
  <si>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</si>
  <si>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</si>
  <si>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</si>
  <si>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</si>
  <si>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</si>
  <si>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</si>
  <si>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</si>
  <si>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</si>
  <si>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</si>
  <si>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</si>
  <si>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</si>
  <si>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</si>
  <si>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</si>
  <si>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</si>
  <si>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</si>
  <si>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</si>
  <si>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</si>
  <si>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</si>
  <si>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</si>
  <si>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</si>
  <si>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</si>
  <si>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</si>
  <si>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</si>
  <si>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</si>
  <si>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</si>
  <si>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</si>
  <si>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</si>
  <si>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</si>
  <si>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</si>
  <si>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</si>
  <si>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</si>
  <si>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</si>
  <si>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</si>
  <si>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</si>
  <si>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</si>
  <si>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</si>
  <si>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</si>
  <si>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</si>
  <si>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</si>
  <si>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</si>
  <si>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</si>
  <si>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</si>
  <si>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</si>
  <si>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</si>
  <si>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</si>
  <si>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</si>
  <si>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</si>
  <si>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</si>
  <si>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</si>
  <si>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</si>
  <si>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</si>
  <si>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</si>
  <si>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</si>
  <si>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</si>
  <si>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</si>
  <si>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</si>
  <si>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</si>
  <si>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</si>
  <si>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</si>
  <si>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</si>
  <si>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</si>
  <si>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</si>
  <si>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</si>
  <si>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</si>
  <si>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</si>
  <si>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</si>
  <si>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</si>
  <si>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</si>
  <si>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</si>
  <si>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</si>
  <si>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</si>
  <si>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</si>
  <si>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</si>
  <si>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</si>
  <si>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</si>
  <si>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</si>
  <si>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</si>
  <si>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</si>
  <si>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</si>
  <si>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</si>
  <si>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</si>
  <si>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</si>
  <si>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</si>
  <si>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</si>
  <si>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</si>
  <si>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</si>
  <si>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</si>
  <si>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</si>
  <si>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</si>
  <si>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</si>
  <si>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</si>
  <si>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</si>
  <si>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</si>
  <si>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</si>
  <si>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</si>
  <si>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</si>
  <si>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</si>
  <si>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</si>
  <si>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</si>
  <si>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</si>
  <si>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</si>
  <si>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</si>
  <si>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</si>
  <si>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</si>
  <si>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</si>
  <si>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</si>
  <si>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</si>
  <si>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</si>
  <si>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</si>
  <si>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</si>
  <si>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</si>
  <si>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</si>
  <si>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</si>
  <si>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</si>
  <si>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</si>
  <si>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</si>
  <si>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</si>
  <si>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</si>
  <si>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</si>
  <si>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</si>
  <si>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</si>
  <si>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</si>
  <si>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</si>
  <si>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</si>
  <si>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</si>
  <si>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</si>
  <si>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</si>
  <si>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</si>
  <si>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</si>
  <si>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</si>
  <si>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</si>
  <si>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</si>
  <si>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</si>
  <si>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</si>
  <si>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</si>
  <si>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</si>
  <si>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</si>
  <si>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</si>
  <si>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</si>
  <si>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</si>
  <si>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</si>
  <si>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</si>
  <si>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</si>
  <si>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</si>
  <si>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</si>
  <si>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</si>
  <si>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</si>
  <si>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</si>
  <si>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</si>
  <si>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</si>
  <si>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</si>
  <si>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</si>
  <si>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</si>
  <si>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</si>
  <si>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</si>
  <si>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</si>
  <si>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</si>
  <si>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</si>
  <si>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</si>
  <si>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</si>
  <si>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</si>
  <si>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</si>
  <si>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</si>
  <si>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</si>
  <si>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</si>
  <si>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</si>
  <si>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</si>
  <si>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</si>
  <si>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</si>
  <si>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</si>
  <si>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</si>
  <si>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</si>
  <si>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</si>
  <si>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</si>
  <si>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</si>
  <si>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</si>
  <si>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</si>
  <si>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</si>
  <si>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</si>
  <si>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</si>
  <si>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</si>
  <si>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</si>
  <si>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</si>
  <si>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</si>
  <si>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</si>
  <si>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</si>
  <si>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</si>
  <si>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</si>
  <si>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</si>
  <si>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</si>
  <si>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</si>
  <si>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</si>
  <si>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</si>
  <si>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</si>
  <si>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</si>
  <si>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</si>
  <si>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</si>
  <si>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</si>
  <si>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</si>
  <si>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</si>
  <si>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</si>
  <si>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</si>
  <si>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</si>
  <si>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</si>
  <si>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</si>
  <si>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</si>
  <si>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</si>
  <si>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</si>
  <si>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</si>
  <si>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</si>
  <si>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</si>
  <si>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</si>
  <si>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</si>
  <si>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</si>
  <si>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</si>
  <si>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</si>
  <si>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</si>
  <si>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</si>
  <si>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</si>
  <si>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</si>
  <si>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</si>
  <si>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</si>
  <si>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</si>
  <si>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</si>
  <si>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</si>
  <si>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</si>
  <si>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</si>
  <si>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</si>
  <si>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</si>
  <si>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</si>
  <si>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</si>
  <si>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</si>
  <si>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</si>
  <si>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</si>
  <si>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</si>
  <si>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</si>
  <si>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</si>
  <si>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</si>
  <si>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</si>
  <si>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</si>
  <si>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</si>
  <si>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</si>
  <si>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</si>
  <si>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</si>
  <si>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</si>
  <si>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</si>
  <si>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</si>
  <si>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</si>
  <si>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</si>
  <si>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</si>
  <si>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</si>
  <si>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</si>
  <si>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</si>
  <si>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</si>
  <si>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</si>
  <si>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</si>
  <si>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</si>
  <si>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</si>
  <si>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</si>
  <si>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</si>
  <si>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</si>
  <si>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</si>
  <si>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</si>
  <si>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</si>
  <si>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</si>
  <si>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</si>
  <si>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</si>
  <si>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</si>
  <si>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</si>
  <si>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</si>
  <si>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</si>
  <si>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</si>
  <si>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</si>
  <si>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</si>
  <si>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</si>
  <si>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</si>
  <si>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</si>
  <si>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</si>
  <si>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</si>
  <si>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</si>
  <si>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</si>
  <si>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</si>
  <si>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</si>
  <si>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</si>
  <si>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</si>
  <si>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</si>
  <si>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</si>
  <si>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</si>
  <si>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</si>
  <si>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</si>
  <si>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</si>
  <si>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</si>
  <si>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</si>
  <si>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</si>
  <si>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</si>
  <si>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</si>
  <si>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</si>
  <si>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</si>
  <si>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</si>
  <si>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</si>
  <si>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</si>
  <si>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</si>
  <si>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</si>
  <si>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</si>
  <si>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</si>
  <si>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</si>
  <si>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</si>
  <si>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</si>
  <si>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</si>
  <si>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</si>
  <si>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</si>
  <si>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</si>
  <si>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</si>
  <si>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</si>
  <si>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</si>
  <si>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</si>
  <si>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</si>
  <si>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</si>
  <si>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</si>
  <si>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</si>
  <si>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</si>
  <si>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</si>
  <si>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</si>
  <si>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</si>
  <si>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</si>
  <si>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</si>
  <si>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</si>
  <si>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</si>
  <si>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</si>
  <si>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</si>
  <si>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</si>
  <si>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</si>
  <si>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</si>
  <si>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</si>
  <si>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</si>
  <si>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</si>
  <si>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</si>
  <si>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</si>
  <si>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</si>
  <si>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</si>
  <si>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</si>
  <si>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</si>
  <si>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</si>
  <si>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</si>
  <si>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</si>
  <si>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</si>
  <si>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</si>
  <si>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</si>
  <si>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</si>
  <si>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</si>
  <si>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</si>
  <si>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</si>
  <si>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</si>
  <si>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</si>
  <si>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</si>
  <si>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</si>
  <si>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</si>
  <si>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</si>
  <si>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</si>
  <si>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</si>
  <si>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</si>
  <si>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</si>
  <si>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</si>
  <si>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</si>
  <si>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</si>
  <si>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</si>
  <si>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</si>
  <si>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</si>
  <si>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</si>
  <si>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</si>
  <si>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</si>
  <si>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</si>
  <si>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</si>
  <si>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</si>
  <si>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</si>
  <si>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</si>
  <si>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</si>
  <si>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</si>
  <si>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</si>
  <si>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</si>
  <si>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</si>
  <si>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</si>
  <si>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</si>
  <si>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</si>
  <si>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</si>
  <si>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</si>
  <si>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</si>
  <si>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Güncelleme Tarihi 22.06.2026</t>
  </si>
  <si>
    <t>Stok Miktarı
22.06.2026</t>
  </si>
  <si>
    <t>Toplam Stok Miktarı
22.06.2026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</si>
</sst>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6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NumberFormat="1" applyFont="1"/>
    <xf numFmtId="0" fontId="32" fillId="0" borderId="0" xfId="0" applyFont="1" applyAlignment="1">
      <alignment horizontal="left" indent="1"/>
    </xf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97"/>
      <tableStyleElement type="headerRow" dxfId="9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Dashboard!$K$6:$K$102</c:f>
              <c:numCache>
                <c:formatCode>m/d/yyyy</c:formatCode>
                <c:ptCount val="97"/>
                <c:pt idx="0">
                  <c:v>46195</c:v>
                </c:pt>
                <c:pt idx="1">
                  <c:v>46188</c:v>
                </c:pt>
                <c:pt idx="2">
                  <c:v>46181</c:v>
                </c:pt>
                <c:pt idx="3">
                  <c:v>46174</c:v>
                </c:pt>
                <c:pt idx="4">
                  <c:v>46160</c:v>
                </c:pt>
                <c:pt idx="5">
                  <c:v>46153</c:v>
                </c:pt>
                <c:pt idx="6">
                  <c:v>46146</c:v>
                </c:pt>
                <c:pt idx="7">
                  <c:v>46139</c:v>
                </c:pt>
                <c:pt idx="8">
                  <c:v>46132</c:v>
                </c:pt>
                <c:pt idx="9">
                  <c:v>46125</c:v>
                </c:pt>
                <c:pt idx="10">
                  <c:v>46118</c:v>
                </c:pt>
                <c:pt idx="11">
                  <c:v>46111</c:v>
                </c:pt>
                <c:pt idx="12">
                  <c:v>46104</c:v>
                </c:pt>
                <c:pt idx="13">
                  <c:v>46097</c:v>
                </c:pt>
                <c:pt idx="14">
                  <c:v>46090</c:v>
                </c:pt>
                <c:pt idx="15">
                  <c:v>46083</c:v>
                </c:pt>
                <c:pt idx="16">
                  <c:v>46076</c:v>
                </c:pt>
                <c:pt idx="17">
                  <c:v>46069</c:v>
                </c:pt>
                <c:pt idx="18">
                  <c:v>46062</c:v>
                </c:pt>
                <c:pt idx="19">
                  <c:v>46055</c:v>
                </c:pt>
                <c:pt idx="20">
                  <c:v>46048</c:v>
                </c:pt>
                <c:pt idx="21">
                  <c:v>46041</c:v>
                </c:pt>
                <c:pt idx="22">
                  <c:v>46034</c:v>
                </c:pt>
                <c:pt idx="23">
                  <c:v>46027</c:v>
                </c:pt>
                <c:pt idx="24">
                  <c:v>46020</c:v>
                </c:pt>
                <c:pt idx="25">
                  <c:v>46013</c:v>
                </c:pt>
                <c:pt idx="26">
                  <c:v>46006</c:v>
                </c:pt>
                <c:pt idx="27">
                  <c:v>45999</c:v>
                </c:pt>
                <c:pt idx="28">
                  <c:v>45992</c:v>
                </c:pt>
                <c:pt idx="29">
                  <c:v>45985</c:v>
                </c:pt>
                <c:pt idx="30">
                  <c:v>45978</c:v>
                </c:pt>
                <c:pt idx="31">
                  <c:v>45971</c:v>
                </c:pt>
                <c:pt idx="32">
                  <c:v>45964</c:v>
                </c:pt>
                <c:pt idx="33">
                  <c:v>45950</c:v>
                </c:pt>
                <c:pt idx="34">
                  <c:v>45943</c:v>
                </c:pt>
                <c:pt idx="35">
                  <c:v>45936</c:v>
                </c:pt>
                <c:pt idx="36">
                  <c:v>45929</c:v>
                </c:pt>
                <c:pt idx="37">
                  <c:v>45919</c:v>
                </c:pt>
                <c:pt idx="38">
                  <c:v>45908</c:v>
                </c:pt>
                <c:pt idx="39">
                  <c:v>45896</c:v>
                </c:pt>
                <c:pt idx="40">
                  <c:v>45866</c:v>
                </c:pt>
                <c:pt idx="41">
                  <c:v>45840</c:v>
                </c:pt>
                <c:pt idx="42">
                  <c:v>45824</c:v>
                </c:pt>
                <c:pt idx="43">
                  <c:v>45805</c:v>
                </c:pt>
                <c:pt idx="44">
                  <c:v>45797</c:v>
                </c:pt>
                <c:pt idx="45">
                  <c:v>45783</c:v>
                </c:pt>
                <c:pt idx="46">
                  <c:v>45769</c:v>
                </c:pt>
                <c:pt idx="47">
                  <c:v>45762</c:v>
                </c:pt>
                <c:pt idx="48">
                  <c:v>45750</c:v>
                </c:pt>
                <c:pt idx="49">
                  <c:v>45741</c:v>
                </c:pt>
                <c:pt idx="50">
                  <c:v>45736</c:v>
                </c:pt>
                <c:pt idx="51">
                  <c:v>45726</c:v>
                </c:pt>
                <c:pt idx="52">
                  <c:v>45723</c:v>
                </c:pt>
                <c:pt idx="53">
                  <c:v>45716</c:v>
                </c:pt>
                <c:pt idx="54">
                  <c:v>45712</c:v>
                </c:pt>
                <c:pt idx="55">
                  <c:v>45705</c:v>
                </c:pt>
                <c:pt idx="56">
                  <c:v>45702</c:v>
                </c:pt>
                <c:pt idx="57">
                  <c:v>45698</c:v>
                </c:pt>
                <c:pt idx="58">
                  <c:v>45691</c:v>
                </c:pt>
                <c:pt idx="59">
                  <c:v>45684</c:v>
                </c:pt>
                <c:pt idx="60">
                  <c:v>45677</c:v>
                </c:pt>
                <c:pt idx="61">
                  <c:v>45672</c:v>
                </c:pt>
                <c:pt idx="62">
                  <c:v>45656</c:v>
                </c:pt>
                <c:pt idx="63">
                  <c:v>45649</c:v>
                </c:pt>
                <c:pt idx="64">
                  <c:v>45642</c:v>
                </c:pt>
                <c:pt idx="65">
                  <c:v>45635</c:v>
                </c:pt>
                <c:pt idx="66">
                  <c:v>45630</c:v>
                </c:pt>
                <c:pt idx="67">
                  <c:v>45614</c:v>
                </c:pt>
                <c:pt idx="68">
                  <c:v>45608</c:v>
                </c:pt>
                <c:pt idx="69">
                  <c:v>45596</c:v>
                </c:pt>
                <c:pt idx="70">
                  <c:v>45580</c:v>
                </c:pt>
                <c:pt idx="71">
                  <c:v>45570</c:v>
                </c:pt>
                <c:pt idx="72">
                  <c:v>45563</c:v>
                </c:pt>
                <c:pt idx="73">
                  <c:v>45552</c:v>
                </c:pt>
                <c:pt idx="74">
                  <c:v>45539</c:v>
                </c:pt>
                <c:pt idx="75">
                  <c:v>45524</c:v>
                </c:pt>
                <c:pt idx="76">
                  <c:v>45511</c:v>
                </c:pt>
                <c:pt idx="77">
                  <c:v>45500</c:v>
                </c:pt>
                <c:pt idx="78">
                  <c:v>45490</c:v>
                </c:pt>
                <c:pt idx="79">
                  <c:v>45478</c:v>
                </c:pt>
                <c:pt idx="80">
                  <c:v>45467</c:v>
                </c:pt>
                <c:pt idx="81">
                  <c:v>45455</c:v>
                </c:pt>
                <c:pt idx="82">
                  <c:v>45442</c:v>
                </c:pt>
                <c:pt idx="83">
                  <c:v>45427</c:v>
                </c:pt>
                <c:pt idx="84">
                  <c:v>45427</c:v>
                </c:pt>
                <c:pt idx="85">
                  <c:v>45411</c:v>
                </c:pt>
                <c:pt idx="86">
                  <c:v>45397</c:v>
                </c:pt>
                <c:pt idx="87">
                  <c:v>45376</c:v>
                </c:pt>
                <c:pt idx="88">
                  <c:v>45364</c:v>
                </c:pt>
                <c:pt idx="89">
                  <c:v>45352</c:v>
                </c:pt>
                <c:pt idx="90">
                  <c:v>45334</c:v>
                </c:pt>
                <c:pt idx="91">
                  <c:v>45320</c:v>
                </c:pt>
                <c:pt idx="92">
                  <c:v>45313</c:v>
                </c:pt>
                <c:pt idx="93">
                  <c:v>45293</c:v>
                </c:pt>
                <c:pt idx="94">
                  <c:v>45285</c:v>
                </c:pt>
                <c:pt idx="95">
                  <c:v>45275</c:v>
                </c:pt>
                <c:pt idx="96">
                  <c:v>45173</c:v>
                </c:pt>
              </c:numCache>
            </c:numRef>
          </c:cat>
          <c:val>
            <c:numRef>
              <c:f>Dashboard!$L$6:$L$102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195.409561342596" createdVersion="8" refreshedVersion="8" minRefreshableVersion="3" recordCount="431" xr:uid="{AE916485-DAC2-42AB-86FD-03D56A2AA573}">
  <cacheSource type="worksheet">
    <worksheetSource ref="A1:DF432" sheet="Stok"/>
  </cacheSource>
  <cacheFields count="11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28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5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Alphacool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55946.58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1194204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7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6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</r>
  <r>
    <m/>
    <x v="72"/>
    <s v="Surface Mount Box, universal, one port, pro white"/>
    <x v="6"/>
    <x v="3"/>
    <m/>
    <m/>
    <s v="Adet"/>
    <n v="0"/>
    <m/>
    <m/>
    <m/>
    <n v="1.7"/>
    <n v="30.5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7.5967199999999995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84.95119999999997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8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52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4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42.437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3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4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5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6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7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8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09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0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1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2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3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4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5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s v="Server Soğutma Sistemi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LC-LC fiber patch cord, OM4 20m"/>
    <x v="24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LC-LC fiber patch cord, OM4 1m"/>
    <x v="24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0"/>
    <s v="LC-LC fiber patch cord, OM4 1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1"/>
    <s v="LC-LC fiber patch cord, OM4 2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2"/>
    <s v="300 Mbps 802.11n In wall AP with with USB Charger"/>
    <x v="25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3"/>
    <s v="Çok Yönlü, Deniz ve Kıyı LTE Anteni"/>
    <x v="26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</r>
  <r>
    <m/>
    <x v="324"/>
    <s v="Çok Yönlü, Geniş Bant LTE Anteni"/>
    <x v="26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</r>
  <r>
    <m/>
    <x v="325"/>
    <s v="Afumex LSOH 3*2,5 mm2 NHXMH-J 300/500V Kablo"/>
    <x v="27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</r>
  <r>
    <m/>
    <x v="326"/>
    <s v="4 Slotlu NAS Depolama Ünitesi"/>
    <x v="28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327"/>
    <s v="10GbE Direct Attach SFP+ to SFP+ AOC, 1m"/>
    <x v="29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8"/>
    <s v="10GbE DAC SFP+ to SFP+ Passive copper cable, 1m"/>
    <x v="29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29"/>
    <s v="10GbE DAC SFP+ to SFP+ Passive copper cable, 3m"/>
    <x v="29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0"/>
    <s v="25GbE DAC SFP28 Passive, 1m "/>
    <x v="29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1"/>
    <s v="40GbE DAC QSFP Passive, 1m"/>
    <x v="29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2"/>
    <s v="Universal mounting ears XBR-R000295 for Brocade Switches"/>
    <x v="29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3"/>
    <s v="Universal mounting ears XBR-R000295 for Brocade Switches Screw Set"/>
    <x v="29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FRU, Rackmount Kit, 4 Post 24-32 Depth RCK"/>
    <x v="29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Power Supply, 400W AC exhaust front to back airflow"/>
    <x v="2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ICX 7650 and ICX 7850 exhaust airflow fan, front to back airflow"/>
    <x v="29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Ruckus IoT Module, Zigbee, BLE"/>
    <x v="29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8"/>
    <s v="SmartZone 144 - 4x10GE &amp; 4xGE"/>
    <x v="29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9"/>
    <s v="SmartZone 144 - 4x10GE &amp; 4xGE"/>
    <x v="29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</r>
  <r>
    <m/>
    <x v="340"/>
    <s v="H350 WW dual band Wi-Fi 6"/>
    <x v="29"/>
    <x v="2"/>
    <m/>
    <m/>
    <s v="Adet"/>
    <m/>
    <m/>
    <m/>
    <m/>
    <n v="190.36"/>
    <n v="19797.44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</r>
  <r>
    <m/>
    <x v="341"/>
    <s v="H550 WW dual band Wi-Fi 6 "/>
    <x v="29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2"/>
    <s v="H550 WW dual band Wi-Fi 6 "/>
    <x v="29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P300 WW 11ac outdoor bridge (single)"/>
    <x v="29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4"/>
    <s v="R310 WW dual band 11ac indoor AP 2x2:2"/>
    <x v="29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5"/>
    <s v="R320 Dual band .11ac indoor AP 2x2:2"/>
    <x v="29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R350 WW dual band 11ax indoor AP 2x2:2"/>
    <x v="29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</r>
  <r>
    <m/>
    <x v="347"/>
    <s v="R550 WW 11ax indoor 2x2:2 AP Plenum"/>
    <x v="29"/>
    <x v="2"/>
    <n v="1002"/>
    <s v="F2"/>
    <s v="Adet"/>
    <n v="4"/>
    <n v="3"/>
    <s v="Sıfır kutulu"/>
    <s v="3 Adet Antalya Showroom"/>
    <n v="392.16"/>
    <n v="41961.120000000003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</r>
  <r>
    <m/>
    <x v="348"/>
    <s v="R560 WW tri band Wifi 6E indoor AP 2x2:2"/>
    <x v="29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R650 WW dual band 11ax indoor AP 4+2strm"/>
    <x v="29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R710 WW dual band 11ac indoor AP 4x4:4"/>
    <x v="29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750 WW dual band 11ax indoor AP 4x4:4"/>
    <x v="29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352"/>
    <s v="T310c  .11ac W2 Outdoor AP 2x2:2"/>
    <x v="29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3"/>
    <s v="T350c, Outdoor, 11ax, AP 2x2:2"/>
    <x v="29"/>
    <x v="2"/>
    <n v="1002"/>
    <s v="F2"/>
    <s v="Adet"/>
    <n v="18"/>
    <m/>
    <m/>
    <s v="1 adet Praksis arızalı karşılığı gelen ürün"/>
    <n v="621.6"/>
    <n v="48484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</r>
  <r>
    <m/>
    <x v="354"/>
    <s v="T350d WW ax dual band outdor AP 2x2:2"/>
    <x v="29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T350se, Outdoor 11ax AP 2x2:2"/>
    <x v="29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Secure Mounting Bracket for R-series"/>
    <x v="29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Surface Mount Bracket for H550"/>
    <x v="29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</r>
  <r>
    <m/>
    <x v="358"/>
    <s v="R320 WW Unleashed 11ac AP 2x2:2"/>
    <x v="29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R350 WW Unleashed 11ax AP 2x2:2"/>
    <x v="29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</r>
  <r>
    <m/>
    <x v="360"/>
    <s v="R350 WW Unleashed 11ax AP 2x2:2"/>
    <x v="29"/>
    <x v="2"/>
    <n v="1006"/>
    <s v="F2"/>
    <s v="Adet"/>
    <m/>
    <m/>
    <m/>
    <m/>
    <n v="131.33000000000001"/>
    <n v="55946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</r>
  <r>
    <m/>
    <x v="361"/>
    <s v="R550 WW Unleashed 11ax AP 2x2:2"/>
    <x v="29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2"/>
    <s v="R650 WW Unleashed 11ax AP 4+2strm"/>
    <x v="29"/>
    <x v="2"/>
    <n v="1002"/>
    <s v="F2"/>
    <s v="Adet"/>
    <m/>
    <m/>
    <m/>
    <m/>
    <n v="395"/>
    <n v="237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</r>
  <r>
    <m/>
    <x v="363"/>
    <s v="Unleashed T310c  .11ac W2 Outdoor AP 2x2:2"/>
    <x v="29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24 Port 1GbE SFP Switch with 8x1GbE SFPP Ports"/>
    <x v="29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10 Port POH MG 2X10G SFP+ L3 Prem"/>
    <x v="29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24 Port SFP 4x1G SFP+ Switch"/>
    <x v="29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24 Port 4X1G SFP+"/>
    <x v="29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24 Port POE+ 4X1G SFP+ Max Poe Budget 370W"/>
    <x v="29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369"/>
    <s v="24 Port POE+ 4X1G SFP+ Max Poe Budget 370W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48 Port 4X1G SFP+"/>
    <x v="29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48 Port 4x10G SFP+ L3 Premium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48 Port POE+ 4x10G SFP+ Max Poe Budget 370W"/>
    <x v="29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48-Port POE+ 370W 4X1G SFP+"/>
    <x v="29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48 Port POE+ 2X10G SFP+ Max Poe Budget 740W"/>
    <x v="29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48 Port POE+ 4X1G SFP+ Max Poe Budget 740W"/>
    <x v="29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POE+ 4X1G SFP+ Max Poe Budget 740W"/>
    <x v="29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POE+ 4X10G SFP+ Max Poe Budget 740W"/>
    <x v="29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16 Port 2.5 POH 32x1G POE+ 6x1G 2x10G 1PS Max Poe:1480W"/>
    <x v="29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79"/>
    <s v="24 Port 1/10G SFP NO PSU/FAN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/10G SFP Bundle 2PSU-E R3"/>
    <x v="29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12x 1/10G SFP NO PSU/FAN"/>
    <x v="29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2"/>
    <s v="48 PRT 10G SFPP, 6 PRT QSFP, 1 MOD SLT"/>
    <x v="29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RT 10G SFPP, 6 PRT QSFP, 1 MOD SLT"/>
    <x v="29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4"/>
    <s v="48 Port SFP28 Bundle 2PSU"/>
    <x v="29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1G 4x25G SFP28"/>
    <x v="29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6"/>
    <s v="24 Port 100/1000 SFP, 4×25 GbE SFP28"/>
    <x v="29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87"/>
    <s v="24 Port POE 4x25G SFP28 Max Poe Budget 370W"/>
    <x v="29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G 4x25G SFP28"/>
    <x v="29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ort POE 4x25G SFP28 Max Poe Budget 370W"/>
    <x v="29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0"/>
    <s v="48 Port 1G SFP + 4 1/10/25 SFP28 Fiber Switch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 4x25G SFP28 Max Poe Budget 740W"/>
    <x v="29"/>
    <x v="0"/>
    <n v="1002"/>
    <s v="F2"/>
    <s v="Adet"/>
    <n v="42"/>
    <n v="1"/>
    <s v="Sıfır, kutulu"/>
    <s v="Test amacıyla 1 adet Kadir Şar' da."/>
    <n v="1833"/>
    <n v="25662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</r>
  <r>
    <m/>
    <x v="392"/>
    <s v="48 Port POE FRU Bundle 1PSU Poe Budget 740W"/>
    <x v="29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3"/>
    <s v="48 Port POE 4x25G SFP28 2PSU Poe Budget 1480W"/>
    <x v="29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ICX7150-C12P Rack Mount Kit"/>
    <x v="29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Power Cord for VIIG to C13, Europe, 250V 10A"/>
    <x v="29"/>
    <x v="3"/>
    <n v="1006"/>
    <s v="F2"/>
    <s v="Adet"/>
    <n v="60"/>
    <n v="0"/>
    <s v="Sıfır, paketsiz"/>
    <m/>
    <n v="12.78"/>
    <n v="345.06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</r>
  <r>
    <m/>
    <x v="396"/>
    <s v="FRU,500WACPS,EXHAUST,ICX7750,SIDEWINDER"/>
    <x v="29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7"/>
    <s v="40G QSFP+ Optical Stack Cable, 5m"/>
    <x v="30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8"/>
    <s v="Wi-Fi 6 Dual Radio 1775 Mbps Indoor Wall Plate AP"/>
    <x v="30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Mounting bracket for the US standard junction box"/>
    <x v="30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Outdoor AP,IP67,omni 3×3:3, 802.11a/b/g/n/ac"/>
    <x v="30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1"/>
    <s v="Dual Band 11ax Outdoor Wireless AP"/>
    <x v="30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2"/>
    <s v="Dual Band 11ax Outdoor Wireless AP"/>
    <x v="30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3"/>
    <s v="Wi-Fi 6 Selectable Dual-band Indoor AP"/>
    <x v="30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m/>
    <x v="404"/>
    <s v="AX3000 Wi-Fi 6 Multi-Gigabit Indoor AP"/>
    <x v="30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1-port PoE Adapter (1000Base-T, 802.3af)"/>
    <x v="30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</r>
  <r>
    <m/>
    <x v="406"/>
    <s v="1-port PoE Adapter (1000Base-T PoE+/ 802.3at)"/>
    <x v="30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</r>
  <r>
    <m/>
    <x v="407"/>
    <s v="8 port 1G Poe, 2x SFP Poe budget: 192W switch"/>
    <x v="30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24 port 1G POE, 4 x SFP+, Poe budget: 370W Switch"/>
    <x v="30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24 port 1G POE, 4 x SFP+, Poe budget: 370W Switch"/>
    <x v="30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410"/>
    <s v="48 port 1G POE, 4x SFP, Poe budget: 370W Switch"/>
    <x v="30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SFP, 8x1G combo, 4x10G SFP+ Switch"/>
    <x v="30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AC PSU, 740W PoE for S5310-24/  S5310-48"/>
    <x v="30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3"/>
    <s v="150W AC power module for RG-S6120-20XS4VS2QXS"/>
    <x v="30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AC Power Module, 370W Power Budget for PoE"/>
    <x v="30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24 Port 1G, 4x 1G/10G SFP+ (non-combo) switch"/>
    <x v="30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48 port 1G 4x 1G/10G SFP+ Switch"/>
    <x v="30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17"/>
    <s v="24-PORT 10/100/1000BASE-T,4x1G/10G SFP+ PORTS"/>
    <x v="30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18"/>
    <s v="48-PORT 10/100/1000BASE-T,4x1G/10G SFP+ PORTS"/>
    <x v="30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19"/>
    <s v="Wireless Controller 6x 1G 2x 1G/SFP combo Max:200AP"/>
    <x v="30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0"/>
    <s v="10G SFP+ Optical Stack Cable, 5m"/>
    <x v="30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1"/>
    <s v="10GBase-LR, SFP+ transceiver (1310nm, 10km, LC)"/>
    <x v="30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2"/>
    <s v="10GBase-SR SFP+ transceiver (850nm 300m LC)"/>
    <x v="30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3"/>
    <s v="Layer 2+ Switch,24x1G BASE-T ports, 4x1G SFP"/>
    <x v="30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STATYS XS 16A 230V Single Phase 2 Wires 2 Pole Switching 19&quot; Rack"/>
    <x v="31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Barkod okuyucu kablosu"/>
    <x v="32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6"/>
    <s v="Ethernet Kartı 25G Dual Port"/>
    <x v="33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Xilinx Alveo X3522 Low Latency Network Adapter"/>
    <x v="34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BEB02-311C-4374-A99B-F7397A3553AC}" name="PivotTable4" cacheId="17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0" firstHeaderRow="0" firstDataRow="1" firstDataCol="1"/>
  <pivotFields count="110">
    <pivotField showAll="0"/>
    <pivotField axis="axisRow" showAll="0" sortType="ascending">
      <items count="429">
        <item sd="0" x="289"/>
        <item x="89"/>
        <item sd="0" x="325"/>
        <item x="72"/>
        <item x="83"/>
        <item x="71"/>
        <item x="79"/>
        <item x="82"/>
        <item x="424"/>
        <item x="300"/>
        <item x="291"/>
        <item x="290"/>
        <item sd="0" x="327"/>
        <item sd="0" x="328"/>
        <item sd="0" x="329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397"/>
        <item x="297"/>
        <item sd="0" x="281"/>
        <item x="282"/>
        <item sd="0" x="284"/>
        <item sd="0" x="332"/>
        <item sd="0" x="333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0"/>
        <item sd="0" x="341"/>
        <item x="342"/>
        <item sd="0" x="343"/>
        <item sd="0" x="344"/>
        <item sd="0" x="345"/>
        <item sd="0" x="346"/>
        <item sd="0" x="347"/>
        <item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x="337"/>
        <item sd="0" x="47"/>
        <item x="358"/>
        <item x="359"/>
        <item x="360"/>
        <item sd="0" x="361"/>
        <item x="362"/>
        <item sd="0" x="363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24"/>
        <item x="323"/>
        <item sd="0" x="15"/>
        <item sd="0" x="0"/>
        <item sd="0" x="1"/>
        <item x="427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4"/>
        <item x="43"/>
        <item x="42"/>
        <item sd="0" x="21"/>
        <item sd="0" x="19"/>
        <item sd="0" x="20"/>
        <item sd="0" x="425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0"/>
        <item x="331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19"/>
        <item sd="0" x="320"/>
        <item sd="0" x="318"/>
        <item sd="0" x="321"/>
        <item sd="0" x="266"/>
        <item x="45"/>
        <item sd="0" x="44"/>
        <item x="298"/>
        <item x="103"/>
        <item sd="0" x="13"/>
        <item sd="0" x="364"/>
        <item sd="0" x="394"/>
        <item sd="0" x="367"/>
        <item sd="0" x="366"/>
        <item sd="0" x="368"/>
        <item x="371"/>
        <item sd="0" x="370"/>
        <item sd="0" x="372"/>
        <item sd="0" x="373"/>
        <item x="374"/>
        <item sd="0" x="377"/>
        <item sd="0" x="375"/>
        <item sd="0" x="378"/>
        <item x="365"/>
        <item x="379"/>
        <item sd="0" x="380"/>
        <item x="381"/>
        <item sd="0" x="382"/>
        <item sd="0" x="384"/>
        <item x="385"/>
        <item x="386"/>
        <item sd="0" x="387"/>
        <item x="388"/>
        <item x="390"/>
        <item sd="0" x="389"/>
        <item sd="0" x="391"/>
        <item sd="0" x="392"/>
        <item sd="0" x="393"/>
        <item x="336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26"/>
        <item sd="0" x="105"/>
        <item x="285"/>
        <item sd="0" x="58"/>
        <item sd="0" x="59"/>
        <item x="60"/>
        <item x="61"/>
        <item x="62"/>
        <item x="63"/>
        <item x="64"/>
        <item x="84"/>
        <item x="339"/>
        <item sd="0" x="338"/>
        <item x="53"/>
        <item x="315"/>
        <item sd="0" x="395"/>
        <item x="110"/>
        <item x="170"/>
        <item x="258"/>
        <item x="260"/>
        <item x="108"/>
        <item x="104"/>
        <item x="369"/>
        <item x="376"/>
        <item x="383"/>
        <item x="303"/>
        <item x="304"/>
        <item x="305"/>
        <item x="306"/>
        <item x="313"/>
        <item x="308"/>
        <item x="311"/>
        <item x="307"/>
        <item x="316"/>
        <item x="310"/>
        <item x="309"/>
        <item x="16"/>
        <item x="402"/>
        <item x="409"/>
        <item x="301"/>
        <item x="312"/>
        <item sd="0" x="5"/>
        <item sd="0" x="6"/>
        <item x="46"/>
        <item x="10"/>
        <item sd="0" x="17"/>
        <item sd="0" x="7"/>
        <item sd="0" x="106"/>
        <item x="398"/>
        <item x="399"/>
        <item sd="0" x="400"/>
        <item sd="0" x="401"/>
        <item sd="0" x="403"/>
        <item sd="0" x="404"/>
        <item sd="0" x="405"/>
        <item sd="0" x="406"/>
        <item sd="0" x="407"/>
        <item sd="0" x="408"/>
        <item x="411"/>
        <item sd="0" x="410"/>
        <item sd="0" x="412"/>
        <item sd="0" x="413"/>
        <item sd="0" x="414"/>
        <item sd="0" x="415"/>
        <item sd="0" x="416"/>
        <item sd="0" x="417"/>
        <item sd="0" x="418"/>
        <item sd="0" x="419"/>
        <item x="335"/>
        <item sd="0" x="396"/>
        <item x="40"/>
        <item sd="0" x="22"/>
        <item sd="0" x="39"/>
        <item sd="0" x="275"/>
        <item sd="0" x="317"/>
        <item x="299"/>
        <item x="326"/>
        <item sd="0" x="302"/>
        <item sd="0" x="322"/>
        <item sd="0" x="41"/>
        <item sd="0" x="293"/>
        <item sd="0" x="280"/>
        <item sd="0" x="334"/>
        <item sd="0" x="420"/>
        <item sd="0" x="421"/>
        <item x="422"/>
        <item sd="0" x="423"/>
        <item t="default" sd="0"/>
      </items>
    </pivotField>
    <pivotField showAll="0"/>
    <pivotField axis="axisRow" showAll="0">
      <items count="36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3"/>
        <item x="24"/>
        <item x="22"/>
        <item x="25"/>
        <item x="27"/>
        <item x="29"/>
        <item x="30"/>
        <item x="32"/>
        <item x="2"/>
        <item x="23"/>
        <item x="18"/>
        <item x="31"/>
        <item x="34"/>
        <item x="28"/>
        <item x="17"/>
        <item x="26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65">
    <i>
      <x/>
    </i>
    <i r="1">
      <x v="95"/>
    </i>
    <i r="1">
      <x v="96"/>
    </i>
    <i>
      <x v="1"/>
    </i>
    <i r="1">
      <x v="49"/>
    </i>
    <i r="1">
      <x v="94"/>
    </i>
    <i r="1">
      <x v="301"/>
    </i>
    <i r="1">
      <x v="331"/>
    </i>
    <i r="1">
      <x v="333"/>
    </i>
    <i r="1">
      <x v="334"/>
    </i>
    <i r="1">
      <x v="335"/>
    </i>
    <i r="1">
      <x v="336"/>
    </i>
    <i r="1">
      <x v="339"/>
    </i>
    <i r="1">
      <x v="340"/>
    </i>
    <i r="1">
      <x v="377"/>
    </i>
    <i r="1">
      <x v="382"/>
    </i>
    <i r="1">
      <x v="383"/>
    </i>
    <i r="1">
      <x v="385"/>
    </i>
    <i r="1">
      <x v="386"/>
    </i>
    <i r="1">
      <x v="387"/>
    </i>
    <i>
      <x v="2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3"/>
    </i>
    <i r="1">
      <x v="127"/>
    </i>
    <i>
      <x v="4"/>
    </i>
    <i r="1">
      <x v="82"/>
    </i>
    <i r="1">
      <x v="83"/>
    </i>
    <i r="1">
      <x v="84"/>
    </i>
    <i r="1">
      <x v="109"/>
    </i>
    <i r="1">
      <x v="110"/>
    </i>
    <i r="1">
      <x v="115"/>
    </i>
    <i r="1">
      <x v="116"/>
    </i>
    <i r="1">
      <x v="297"/>
    </i>
    <i r="1">
      <x v="298"/>
    </i>
    <i r="1">
      <x v="384"/>
    </i>
    <i r="1">
      <x v="411"/>
    </i>
    <i r="1">
      <x v="413"/>
    </i>
    <i r="1">
      <x v="420"/>
    </i>
    <i>
      <x v="5"/>
    </i>
    <i r="1">
      <x v="3"/>
    </i>
    <i r="1">
      <x v="4"/>
    </i>
    <i r="1">
      <x v="5"/>
    </i>
    <i r="1">
      <x v="6"/>
    </i>
    <i r="1">
      <x v="7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30"/>
    </i>
    <i r="1">
      <x v="31"/>
    </i>
    <i r="1">
      <x v="32"/>
    </i>
    <i r="1">
      <x v="33"/>
    </i>
    <i r="1">
      <x v="34"/>
    </i>
    <i r="1">
      <x v="44"/>
    </i>
    <i r="1">
      <x v="45"/>
    </i>
    <i r="1">
      <x v="46"/>
    </i>
    <i r="1">
      <x v="53"/>
    </i>
    <i r="1">
      <x v="74"/>
    </i>
    <i r="1">
      <x v="81"/>
    </i>
    <i r="1">
      <x v="117"/>
    </i>
    <i r="1">
      <x v="285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4"/>
    </i>
    <i>
      <x v="6"/>
    </i>
    <i r="1">
      <x v="1"/>
    </i>
    <i r="1">
      <x v="27"/>
    </i>
    <i r="1">
      <x v="28"/>
    </i>
    <i r="1">
      <x v="29"/>
    </i>
    <i r="1">
      <x v="36"/>
    </i>
    <i r="1">
      <x v="351"/>
    </i>
    <i>
      <x v="7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119"/>
    </i>
    <i r="1">
      <x v="120"/>
    </i>
    <i r="1">
      <x v="121"/>
    </i>
    <i r="1">
      <x v="122"/>
    </i>
    <i r="1">
      <x v="123"/>
    </i>
    <i>
      <x v="8"/>
    </i>
    <i r="1">
      <x v="128"/>
    </i>
    <i r="1">
      <x v="300"/>
    </i>
    <i r="1">
      <x v="362"/>
    </i>
    <i>
      <x v="9"/>
    </i>
    <i r="1">
      <x v="342"/>
    </i>
    <i r="1">
      <x v="388"/>
    </i>
    <i>
      <x v="10"/>
    </i>
    <i r="1">
      <x v="5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357"/>
    </i>
    <i r="1">
      <x v="358"/>
    </i>
    <i r="1">
      <x v="359"/>
    </i>
    <i r="1">
      <x v="360"/>
    </i>
    <i r="1">
      <x v="361"/>
    </i>
    <i>
      <x v="11"/>
    </i>
    <i r="1">
      <x v="130"/>
    </i>
    <i r="1">
      <x v="131"/>
    </i>
    <i r="1">
      <x v="296"/>
    </i>
    <i>
      <x v="12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414"/>
    </i>
    <i>
      <x v="13"/>
    </i>
    <i r="1">
      <x v="35"/>
    </i>
    <i r="1">
      <x v="47"/>
    </i>
    <i r="1">
      <x v="124"/>
    </i>
    <i r="1">
      <x v="332"/>
    </i>
    <i>
      <x v="14"/>
    </i>
    <i r="1">
      <x v="39"/>
    </i>
    <i r="1">
      <x v="40"/>
    </i>
    <i r="1">
      <x v="54"/>
    </i>
    <i r="1">
      <x v="422"/>
    </i>
    <i>
      <x v="15"/>
    </i>
    <i r="1">
      <x v="41"/>
    </i>
    <i>
      <x v="16"/>
    </i>
    <i r="1">
      <x/>
    </i>
    <i r="1">
      <x v="10"/>
    </i>
    <i r="1">
      <x v="11"/>
    </i>
    <i>
      <x v="17"/>
    </i>
    <i r="1">
      <x v="16"/>
    </i>
    <i r="1">
      <x v="48"/>
    </i>
    <i r="1">
      <x v="421"/>
    </i>
    <i>
      <x v="18"/>
    </i>
    <i r="1">
      <x v="38"/>
    </i>
    <i r="1">
      <x v="50"/>
    </i>
    <i r="1">
      <x v="52"/>
    </i>
    <i>
      <x v="19"/>
    </i>
    <i r="1">
      <x v="341"/>
    </i>
    <i>
      <x v="20"/>
    </i>
    <i r="1">
      <x v="292"/>
    </i>
    <i r="1">
      <x v="293"/>
    </i>
    <i r="1">
      <x v="294"/>
    </i>
    <i r="1">
      <x v="295"/>
    </i>
    <i>
      <x v="21"/>
    </i>
    <i r="1">
      <x v="9"/>
    </i>
    <i r="1">
      <x v="108"/>
    </i>
    <i r="1">
      <x v="299"/>
    </i>
    <i r="1">
      <x v="351"/>
    </i>
    <i r="1">
      <x v="35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80"/>
    </i>
    <i r="1">
      <x v="381"/>
    </i>
    <i r="1">
      <x v="416"/>
    </i>
    <i r="1">
      <x v="418"/>
    </i>
    <i>
      <x v="22"/>
    </i>
    <i r="1">
      <x v="419"/>
    </i>
    <i>
      <x v="23"/>
    </i>
    <i r="1">
      <x v="2"/>
    </i>
    <i>
      <x v="24"/>
    </i>
    <i r="1">
      <x v="12"/>
    </i>
    <i r="1">
      <x v="13"/>
    </i>
    <i r="1">
      <x v="14"/>
    </i>
    <i r="1">
      <x v="42"/>
    </i>
    <i r="1">
      <x v="43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125"/>
    </i>
    <i r="1">
      <x v="126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52"/>
    </i>
    <i r="1">
      <x v="353"/>
    </i>
    <i r="1">
      <x v="356"/>
    </i>
    <i r="1">
      <x v="363"/>
    </i>
    <i r="1">
      <x v="364"/>
    </i>
    <i r="1">
      <x v="365"/>
    </i>
    <i r="1">
      <x v="409"/>
    </i>
    <i r="1">
      <x v="410"/>
    </i>
    <i r="1">
      <x v="423"/>
    </i>
    <i>
      <x v="25"/>
    </i>
    <i r="1">
      <x v="37"/>
    </i>
    <i r="1">
      <x v="378"/>
    </i>
    <i r="1">
      <x v="379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24"/>
    </i>
    <i r="1">
      <x v="425"/>
    </i>
    <i r="1">
      <x v="426"/>
    </i>
    <i r="1">
      <x v="427"/>
    </i>
    <i>
      <x v="26"/>
    </i>
    <i r="1">
      <x v="114"/>
    </i>
    <i>
      <x v="27"/>
    </i>
    <i r="1">
      <x v="111"/>
    </i>
    <i r="1">
      <x v="112"/>
    </i>
    <i r="1">
      <x v="113"/>
    </i>
    <i r="1">
      <x v="118"/>
    </i>
    <i r="1">
      <x v="412"/>
    </i>
    <i>
      <x v="28"/>
    </i>
    <i r="1">
      <x v="415"/>
    </i>
    <i>
      <x v="29"/>
    </i>
    <i r="1">
      <x v="129"/>
    </i>
    <i r="1">
      <x v="337"/>
    </i>
    <i r="1">
      <x v="338"/>
    </i>
    <i>
      <x v="30"/>
    </i>
    <i r="1">
      <x v="8"/>
    </i>
    <i>
      <x v="31"/>
    </i>
    <i r="1">
      <x v="97"/>
    </i>
    <i>
      <x v="32"/>
    </i>
    <i r="1">
      <x v="417"/>
    </i>
    <i>
      <x v="33"/>
    </i>
    <i r="1">
      <x v="343"/>
    </i>
    <i>
      <x v="34"/>
    </i>
    <i r="1">
      <x v="92"/>
    </i>
    <i r="1"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2.06.2026" fld="109" baseField="0" baseItem="0"/>
  </dataFields>
  <formats count="89">
    <format dxfId="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3" type="button" dataOnly="0" labelOnly="1" outline="0" axis="axisRow" fieldPosition="0"/>
    </format>
    <format dxfId="90">
      <pivotArea dataOnly="0" labelOnly="1" fieldPosition="0">
        <references count="1">
          <reference field="3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87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86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85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84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83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82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81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80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79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78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77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76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75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74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73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72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7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0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69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68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67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66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6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4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63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62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54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53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52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51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50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49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48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47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46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45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44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43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42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41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40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39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3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37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36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35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34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33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3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1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30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29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dataOnly="0" labelOnly="1" fieldPosition="0">
        <references count="2">
          <reference field="1" count="1">
            <x v="321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2">
            <x v="76"/>
            <x v="7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12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12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330"/>
          </reference>
          <reference field="3" count="0" selected="0"/>
        </references>
      </pivotArea>
    </format>
    <format dxfId="19">
      <pivotArea dataOnly="0" labelOnly="1" fieldPosition="0">
        <references count="2">
          <reference field="1" count="1">
            <x v="356"/>
          </reference>
          <reference field="3" count="0" selected="0"/>
        </references>
      </pivotArea>
    </format>
    <format dxfId="18">
      <pivotArea dataOnly="0" labelOnly="1" fieldPosition="0">
        <references count="2">
          <reference field="1" count="1">
            <x v="409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10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15">
      <pivotArea dataOnly="0" fieldPosition="0">
        <references count="1">
          <reference field="1" count="1">
            <x v="72"/>
          </reference>
        </references>
      </pivotArea>
    </format>
    <format dxfId="14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1">
            <x v="353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8"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5"/>
            <x v="76"/>
          </reference>
          <reference field="3" count="0" selected="0"/>
        </references>
      </pivotArea>
    </format>
    <format dxfId="10">
      <pivotArea dataOnly="0" labelOnly="1" fieldPosition="0">
        <references count="2">
          <reference field="1" count="2">
            <x v="79"/>
            <x v="80"/>
          </reference>
          <reference field="3" count="0" selected="0"/>
        </references>
      </pivotArea>
    </format>
    <format dxfId="9">
      <pivotArea dataOnly="0" labelOnly="1" fieldPosition="0">
        <references count="2">
          <reference field="1" count="1">
            <x v="78"/>
          </reference>
          <reference field="3" count="0" selected="0"/>
        </references>
      </pivotArea>
    </format>
    <format dxfId="8">
      <pivotArea dataOnly="0" labelOnly="1" fieldPosition="0">
        <references count="2">
          <reference field="1" count="29">
            <x v="302"/>
            <x v="304"/>
            <x v="305"/>
            <x v="306"/>
            <x v="307"/>
            <x v="308"/>
            <x v="309"/>
            <x v="310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63"/>
            <x v="364"/>
            <x v="365"/>
          </reference>
          <reference field="3" count="0" selected="0"/>
        </references>
      </pivotArea>
    </format>
    <format dxfId="7">
      <pivotArea dataOnly="0" labelOnly="1" fieldPosition="0">
        <references count="2">
          <reference field="1" count="1">
            <x v="353"/>
          </reference>
          <reference field="3" count="1" selected="0">
            <x v="24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119420482">
      <items count="35">
        <i x="0" s="1"/>
        <i x="23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33" s="1"/>
        <i x="24" s="1"/>
        <i x="22" s="1"/>
        <i x="25" s="1"/>
        <i x="26" s="1"/>
        <i x="27" s="1"/>
        <i x="28" s="1"/>
        <i x="29" s="1"/>
        <i x="30" s="1"/>
        <i x="31" s="1"/>
        <i x="34" s="1"/>
        <i x="3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119420482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2" totalsRowShown="0" headerRowDxfId="6" dataDxfId="4" headerRowBorderDxfId="5" tableBorderDxfId="3" totalsRowBorderDxfId="2">
  <autoFilter ref="K5:L102" xr:uid="{E5E02A0B-EBAC-497B-8F95-E1A614B153BB}">
    <filterColumn colId="0" hiddenButton="1"/>
    <filterColumn colId="1" hiddenButton="1"/>
  </autoFilter>
  <sortState xmlns:xlrd2="http://schemas.microsoft.com/office/spreadsheetml/2017/richdata2" ref="K6:L102">
    <sortCondition descending="1" ref="K74:K10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IFERROR(VLOOKUP($A$2,Stok!$B$1:$AM$432,7,0),"")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78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21" t="s">
        <v>1536</v>
      </c>
      <c r="Z1" s="122"/>
      <c r="AA1" s="122"/>
      <c r="AB1" s="122"/>
      <c r="AC1" s="122"/>
      <c r="AD1" s="122"/>
      <c r="AE1" s="122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IFERROR(VLOOKUP(A2,Stok!B1:BA432,2,0),"")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23" t="str">
        <f>L6</f>
        <v/>
      </c>
      <c r="Y2" s="123"/>
      <c r="Z2" s="123"/>
      <c r="AA2" s="123"/>
      <c r="AB2" s="123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4" t="s">
        <v>1154</v>
      </c>
      <c r="G5" s="125" t="s">
        <v>1157</v>
      </c>
      <c r="H5" s="125" t="s">
        <v>1156</v>
      </c>
      <c r="I5" s="126" t="s">
        <v>1538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7" t="s">
        <v>39</v>
      </c>
      <c r="G6" s="128">
        <v>1200</v>
      </c>
      <c r="H6" s="128">
        <v>0</v>
      </c>
      <c r="I6" s="129">
        <v>1</v>
      </c>
      <c r="J6" s="53"/>
      <c r="K6" s="134">
        <v>46195</v>
      </c>
      <c r="L6" s="135" t="str">
        <f>IFERROR(VLOOKUP($A$2,Stok!$B$1:$DF$432,109,0),"")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30" t="s">
        <v>37</v>
      </c>
      <c r="G7" s="128">
        <v>1200</v>
      </c>
      <c r="H7" s="128">
        <v>0</v>
      </c>
      <c r="I7" s="129">
        <v>0</v>
      </c>
      <c r="J7" s="53"/>
      <c r="K7" s="58">
        <v>46188</v>
      </c>
      <c r="L7" s="59" t="str">
        <f>IFERROR(VLOOKUP($A$2,Stok!$B$1:$DE$432,108,0),"")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30" t="s">
        <v>44</v>
      </c>
      <c r="G8" s="128"/>
      <c r="H8" s="128">
        <v>0</v>
      </c>
      <c r="I8" s="129">
        <v>1</v>
      </c>
      <c r="J8" s="53"/>
      <c r="K8" s="58">
        <v>46181</v>
      </c>
      <c r="L8" s="59" t="str">
        <f>IFERROR(VLOOKUP($A$2,Stok!$B$1:$DD$432,107,0),"")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7" t="s">
        <v>48</v>
      </c>
      <c r="G9" s="128">
        <v>5149.71</v>
      </c>
      <c r="H9" s="128">
        <v>26176.12</v>
      </c>
      <c r="I9" s="129">
        <v>129</v>
      </c>
      <c r="J9" s="53"/>
      <c r="K9" s="58">
        <v>46174</v>
      </c>
      <c r="L9" s="59" t="str">
        <f>IFERROR(VLOOKUP($A$2,Stok!$B$1:$DC$432,106,0),"")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30" t="s">
        <v>76</v>
      </c>
      <c r="G10" s="128"/>
      <c r="H10" s="128">
        <v>0</v>
      </c>
      <c r="I10" s="129">
        <v>1</v>
      </c>
      <c r="J10" s="53"/>
      <c r="K10" s="58">
        <v>46160</v>
      </c>
      <c r="L10" s="59" t="str">
        <f>IFERROR(VLOOKUP($A$2,Stok!$B$1:$DB$432,105,0),"")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30" t="s">
        <v>78</v>
      </c>
      <c r="G11" s="128"/>
      <c r="H11" s="128">
        <v>0</v>
      </c>
      <c r="I11" s="129">
        <v>2</v>
      </c>
      <c r="J11" s="53"/>
      <c r="K11" s="58">
        <v>46153</v>
      </c>
      <c r="L11" s="59" t="str">
        <f>IFERROR(VLOOKUP($A$2,Stok!$B$1:$DA$432,104,0),"")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30" t="s">
        <v>71</v>
      </c>
      <c r="G12" s="128"/>
      <c r="H12" s="128">
        <v>0</v>
      </c>
      <c r="I12" s="129">
        <v>1</v>
      </c>
      <c r="J12" s="53"/>
      <c r="K12" s="58">
        <v>46146</v>
      </c>
      <c r="L12" s="59" t="str">
        <f>IFERROR(VLOOKUP($A$2,Stok!$B$1:$CZ$432,103,0),"")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30" t="s">
        <v>1189</v>
      </c>
      <c r="G13" s="128"/>
      <c r="H13" s="128">
        <v>0</v>
      </c>
      <c r="I13" s="129">
        <v>0</v>
      </c>
      <c r="J13" s="53"/>
      <c r="K13" s="58">
        <v>46139</v>
      </c>
      <c r="L13" s="59" t="str">
        <f>IFERROR(VLOOKUP($A$2,Stok!$B$1:$CY$432,102,0),"")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30" t="s">
        <v>1192</v>
      </c>
      <c r="G14" s="128"/>
      <c r="H14" s="128">
        <v>0</v>
      </c>
      <c r="I14" s="129">
        <v>0</v>
      </c>
      <c r="J14" s="53"/>
      <c r="K14" s="58">
        <v>46132</v>
      </c>
      <c r="L14" s="59" t="str">
        <f>IFERROR(VLOOKUP($A$2,Stok!$B$1:$CX$432,101,0),"")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30" t="s">
        <v>1190</v>
      </c>
      <c r="G15" s="128"/>
      <c r="H15" s="128">
        <v>0</v>
      </c>
      <c r="I15" s="129">
        <v>0</v>
      </c>
      <c r="J15" s="53"/>
      <c r="K15" s="58">
        <v>46125</v>
      </c>
      <c r="L15" s="59" t="str">
        <f>IFERROR(VLOOKUP($A$2,Stok!$B$1:$CW$432,100,0),"")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30" t="s">
        <v>1508</v>
      </c>
      <c r="G16" s="128">
        <v>1000</v>
      </c>
      <c r="H16" s="128">
        <v>0</v>
      </c>
      <c r="I16" s="129">
        <v>0</v>
      </c>
      <c r="J16" s="53"/>
      <c r="K16" s="58">
        <v>46118</v>
      </c>
      <c r="L16" s="59" t="str">
        <f>IFERROR(VLOOKUP($A$2,Stok!$B$1:$CV$432,99,0),"")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30" t="s">
        <v>51</v>
      </c>
      <c r="G17" s="128">
        <v>2237.5</v>
      </c>
      <c r="H17" s="128">
        <v>0</v>
      </c>
      <c r="I17" s="129">
        <v>0</v>
      </c>
      <c r="J17" s="53"/>
      <c r="K17" s="58">
        <v>46111</v>
      </c>
      <c r="L17" s="59" t="str">
        <f>IFERROR(VLOOKUP($A$2,Stok!$B$1:$CU$432,98,0),"")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30" t="s">
        <v>46</v>
      </c>
      <c r="G18" s="128">
        <v>265.14</v>
      </c>
      <c r="H18" s="128">
        <v>265.14</v>
      </c>
      <c r="I18" s="129">
        <v>1</v>
      </c>
      <c r="J18" s="53"/>
      <c r="K18" s="58">
        <v>46104</v>
      </c>
      <c r="L18" s="59" t="str">
        <f>IFERROR(VLOOKUP($A$2,Stok!$B$1:$CT$432,97,0),"")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30" t="s">
        <v>54</v>
      </c>
      <c r="G19" s="128">
        <v>428.57</v>
      </c>
      <c r="H19" s="128">
        <v>5999.98</v>
      </c>
      <c r="I19" s="129">
        <v>14</v>
      </c>
      <c r="J19" s="53"/>
      <c r="K19" s="58">
        <v>46097</v>
      </c>
      <c r="L19" s="59" t="str">
        <f>IFERROR(VLOOKUP($A$2,Stok!$B$1:$CS$432,96,0),"")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30" t="s">
        <v>1316</v>
      </c>
      <c r="G20" s="128"/>
      <c r="H20" s="128">
        <v>0</v>
      </c>
      <c r="I20" s="129">
        <v>1</v>
      </c>
      <c r="J20" s="53"/>
      <c r="K20" s="58">
        <v>46090</v>
      </c>
      <c r="L20" s="59" t="str">
        <f>IFERROR(VLOOKUP($A$2,Stok!$B$1:$CR$432,95,0),"")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30" t="s">
        <v>56</v>
      </c>
      <c r="G21" s="128">
        <v>1</v>
      </c>
      <c r="H21" s="128">
        <v>56</v>
      </c>
      <c r="I21" s="129">
        <v>56</v>
      </c>
      <c r="J21" s="53"/>
      <c r="K21" s="58">
        <v>46083</v>
      </c>
      <c r="L21" s="59" t="str">
        <f>IFERROR(VLOOKUP($A$2,Stok!$B$1:$CQ$432,94,0),"")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30" t="s">
        <v>58</v>
      </c>
      <c r="G22" s="128">
        <v>460</v>
      </c>
      <c r="H22" s="128">
        <v>19780</v>
      </c>
      <c r="I22" s="129">
        <v>43</v>
      </c>
      <c r="J22" s="53"/>
      <c r="K22" s="58">
        <v>46076</v>
      </c>
      <c r="L22" s="59" t="str">
        <f>IFERROR(VLOOKUP($A$2,Stok!$B$1:$CP$432,93,0),"")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30" t="s">
        <v>1191</v>
      </c>
      <c r="G23" s="128"/>
      <c r="H23" s="128">
        <v>0</v>
      </c>
      <c r="I23" s="129">
        <v>0</v>
      </c>
      <c r="J23" s="53"/>
      <c r="K23" s="58">
        <v>46069</v>
      </c>
      <c r="L23" s="59" t="str">
        <f>IFERROR(VLOOKUP($A$2,Stok!$B$1:$CO$432,92,0),"")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30" t="s">
        <v>81</v>
      </c>
      <c r="G24" s="128">
        <v>7.5</v>
      </c>
      <c r="H24" s="128">
        <v>75</v>
      </c>
      <c r="I24" s="129">
        <v>10</v>
      </c>
      <c r="J24" s="53"/>
      <c r="K24" s="58">
        <v>46062</v>
      </c>
      <c r="L24" s="59" t="str">
        <f>IFERROR(VLOOKUP($A$2,Stok!$B$1:$CN$432,91,0),"")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30" t="s">
        <v>61</v>
      </c>
      <c r="G25" s="128">
        <v>750</v>
      </c>
      <c r="H25" s="128">
        <v>0</v>
      </c>
      <c r="I25" s="129">
        <v>0</v>
      </c>
      <c r="J25" s="53"/>
      <c r="K25" s="58">
        <v>46055</v>
      </c>
      <c r="L25" s="59" t="str">
        <f>IFERROR(VLOOKUP($A$2,Stok!$B$1:$CM$432,90,0),"")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7" t="s">
        <v>85</v>
      </c>
      <c r="G26" s="128">
        <v>116.83</v>
      </c>
      <c r="H26" s="128">
        <v>698.87000000000012</v>
      </c>
      <c r="I26" s="129">
        <v>805</v>
      </c>
      <c r="J26" s="53"/>
      <c r="K26" s="58">
        <v>46048</v>
      </c>
      <c r="L26" s="59" t="str">
        <f>IFERROR(VLOOKUP($A$2,Stok!$B$1:$CL$432,89,0),"")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30" t="s">
        <v>93</v>
      </c>
      <c r="G27" s="128">
        <v>0.5</v>
      </c>
      <c r="H27" s="128">
        <v>250</v>
      </c>
      <c r="I27" s="129">
        <v>500</v>
      </c>
      <c r="J27" s="53"/>
      <c r="K27" s="58">
        <v>46041</v>
      </c>
      <c r="L27" s="59" t="str">
        <f>IFERROR(VLOOKUP($A$2,Stok!$B$1:$CK$432,88,0),"")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30" t="s">
        <v>90</v>
      </c>
      <c r="G28" s="128"/>
      <c r="H28" s="128">
        <v>0</v>
      </c>
      <c r="I28" s="129">
        <v>0</v>
      </c>
      <c r="J28" s="53"/>
      <c r="K28" s="58">
        <v>46034</v>
      </c>
      <c r="L28" s="59" t="str">
        <f>IFERROR(VLOOKUP($A$2,Stok!$B$1:$CJ$432,87,0),"")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30" t="s">
        <v>83</v>
      </c>
      <c r="G29" s="128">
        <v>6.36</v>
      </c>
      <c r="H29" s="128">
        <v>6.36</v>
      </c>
      <c r="I29" s="129">
        <v>1</v>
      </c>
      <c r="J29" s="53"/>
      <c r="K29" s="58">
        <v>46027</v>
      </c>
      <c r="L29" s="59" t="str">
        <f>IFERROR(VLOOKUP($A$2,Stok!$B$1:$CI$432,86,0),"")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30" t="s">
        <v>96</v>
      </c>
      <c r="G30" s="128">
        <v>0.48</v>
      </c>
      <c r="H30" s="128">
        <v>99.36</v>
      </c>
      <c r="I30" s="129">
        <v>207</v>
      </c>
      <c r="J30" s="53"/>
      <c r="K30" s="58">
        <v>46020</v>
      </c>
      <c r="L30" s="59" t="str">
        <f>IFERROR(VLOOKUP($A$2,Stok!$B$1:$CH$432,85,0),"")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30" t="s">
        <v>1492</v>
      </c>
      <c r="G31" s="128">
        <v>0.57999999999999996</v>
      </c>
      <c r="H31" s="128">
        <v>13.919999999999998</v>
      </c>
      <c r="I31" s="129">
        <v>24</v>
      </c>
      <c r="J31" s="53"/>
      <c r="K31" s="58">
        <v>46013</v>
      </c>
      <c r="L31" s="59" t="str">
        <f>IFERROR(VLOOKUP($A$2,Stok!$B$1:$CG$432,84,0),"")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30" t="s">
        <v>86</v>
      </c>
      <c r="G32" s="128">
        <v>0.41</v>
      </c>
      <c r="H32" s="128">
        <v>11.479999999999999</v>
      </c>
      <c r="I32" s="129">
        <v>28</v>
      </c>
      <c r="J32" s="53"/>
      <c r="K32" s="58">
        <v>46006</v>
      </c>
      <c r="L32" s="59" t="str">
        <f>IFERROR(VLOOKUP($A$2,Stok!$B$1:$CF$432,83,0),"")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30" t="s">
        <v>88</v>
      </c>
      <c r="G33" s="128">
        <v>0.41</v>
      </c>
      <c r="H33" s="128">
        <v>11.479999999999999</v>
      </c>
      <c r="I33" s="129">
        <v>28</v>
      </c>
      <c r="J33" s="53"/>
      <c r="K33" s="58">
        <v>45999</v>
      </c>
      <c r="L33" s="59" t="str">
        <f>IFERROR(VLOOKUP($A$2,Stok!$B$1:$CE$432,82,0),"")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30" t="s">
        <v>1491</v>
      </c>
      <c r="G34" s="128">
        <v>21.419999999999998</v>
      </c>
      <c r="H34" s="128">
        <v>42.839999999999996</v>
      </c>
      <c r="I34" s="129">
        <v>2</v>
      </c>
      <c r="J34" s="53"/>
      <c r="K34" s="58">
        <v>45992</v>
      </c>
      <c r="L34" s="59" t="str">
        <f>IFERROR(VLOOKUP($A$2,Stok!$B$1:$CD$432,81,0),"")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30" t="s">
        <v>921</v>
      </c>
      <c r="G35" s="128">
        <v>78.48</v>
      </c>
      <c r="H35" s="128">
        <v>156.96</v>
      </c>
      <c r="I35" s="129">
        <v>2</v>
      </c>
      <c r="J35" s="53"/>
      <c r="K35" s="58">
        <v>45985</v>
      </c>
      <c r="L35" s="59" t="str">
        <f>IFERROR(VLOOKUP($A$2,Stok!$B$1:$CC$432,80,0),"")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30" t="s">
        <v>1193</v>
      </c>
      <c r="G36" s="128">
        <v>8.19</v>
      </c>
      <c r="H36" s="128">
        <v>106.47</v>
      </c>
      <c r="I36" s="129">
        <v>13</v>
      </c>
      <c r="J36" s="53"/>
      <c r="K36" s="58">
        <v>45978</v>
      </c>
      <c r="L36" s="59" t="str">
        <f>IFERROR(VLOOKUP($A$2,Stok!$B$1:$CB$432,79,0),"")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7" t="s">
        <v>101</v>
      </c>
      <c r="G37" s="128"/>
      <c r="H37" s="128">
        <v>0</v>
      </c>
      <c r="I37" s="129">
        <v>2</v>
      </c>
      <c r="J37" s="53"/>
      <c r="K37" s="58">
        <v>45971</v>
      </c>
      <c r="L37" s="59" t="str">
        <f>IFERROR(VLOOKUP($A$2,Stok!$B$1:$CA$432,78,0),"")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30" t="s">
        <v>99</v>
      </c>
      <c r="G38" s="128"/>
      <c r="H38" s="128">
        <v>0</v>
      </c>
      <c r="I38" s="129">
        <v>2</v>
      </c>
      <c r="J38" s="53"/>
      <c r="K38" s="58">
        <v>45964</v>
      </c>
      <c r="L38" s="59" t="str">
        <f>IFERROR(VLOOKUP($A$2,Stok!$B$1:$BZ$432,77,0),"")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7" t="s">
        <v>104</v>
      </c>
      <c r="G39" s="128">
        <v>3882.8899999999994</v>
      </c>
      <c r="H39" s="128">
        <v>17975.349999999999</v>
      </c>
      <c r="I39" s="129">
        <v>43</v>
      </c>
      <c r="J39" s="53"/>
      <c r="K39" s="58">
        <v>45950</v>
      </c>
      <c r="L39" s="59" t="str">
        <f>IFERROR(VLOOKUP($A$2,Stok!$B$1:$BY$432,76,0),"")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30" t="s">
        <v>102</v>
      </c>
      <c r="G40" s="128"/>
      <c r="H40" s="128">
        <v>0</v>
      </c>
      <c r="I40" s="129">
        <v>1</v>
      </c>
      <c r="J40" s="53"/>
      <c r="K40" s="58">
        <v>45943</v>
      </c>
      <c r="L40" s="59" t="str">
        <f>IFERROR(VLOOKUP($A$2,Stok!$B$1:$BX$432,75,0),"")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30" t="s">
        <v>106</v>
      </c>
      <c r="G41" s="128"/>
      <c r="H41" s="128">
        <v>0</v>
      </c>
      <c r="I41" s="129">
        <v>0</v>
      </c>
      <c r="J41" s="53"/>
      <c r="K41" s="58">
        <v>45936</v>
      </c>
      <c r="L41" s="59" t="str">
        <f>IFERROR(VLOOKUP($A$2,Stok!$B$1:$BW$432,74,0),"")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30" t="s">
        <v>108</v>
      </c>
      <c r="G42" s="128"/>
      <c r="H42" s="128">
        <v>0</v>
      </c>
      <c r="I42" s="129">
        <v>1</v>
      </c>
      <c r="J42" s="53"/>
      <c r="K42" s="58">
        <v>45929</v>
      </c>
      <c r="L42" s="59" t="str">
        <f>IFERROR(VLOOKUP($A$2,Stok!$B$1:$BV$432,73,0),"")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30" t="s">
        <v>1528</v>
      </c>
      <c r="G43" s="128">
        <v>941.46</v>
      </c>
      <c r="H43" s="128">
        <v>7531.68</v>
      </c>
      <c r="I43" s="129">
        <v>8</v>
      </c>
      <c r="J43" s="53"/>
      <c r="K43" s="58">
        <v>45919</v>
      </c>
      <c r="L43" s="59" t="str">
        <f>IFERROR(VLOOKUP($A$2,Stok!$B$1:$BU$432,72,0),"")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30" t="s">
        <v>1527</v>
      </c>
      <c r="G44" s="128">
        <v>1772.71</v>
      </c>
      <c r="H44" s="128">
        <v>3545.42</v>
      </c>
      <c r="I44" s="129">
        <v>2</v>
      </c>
      <c r="J44" s="53"/>
      <c r="K44" s="58">
        <v>45908</v>
      </c>
      <c r="L44" s="59" t="str">
        <f>IFERROR(VLOOKUP($A$2,Stok!$B$1:$BT$432,71,0),"")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30" t="s">
        <v>110</v>
      </c>
      <c r="G45" s="128">
        <v>367.2</v>
      </c>
      <c r="H45" s="128">
        <v>367.2</v>
      </c>
      <c r="I45" s="129">
        <v>1</v>
      </c>
      <c r="J45" s="53"/>
      <c r="K45" s="58">
        <v>45896</v>
      </c>
      <c r="L45" s="59" t="str">
        <f>IFERROR(VLOOKUP($A$2,Stok!$B$1:$BS$432,70,0),"")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30" t="s">
        <v>112</v>
      </c>
      <c r="G46" s="128"/>
      <c r="H46" s="128">
        <v>0</v>
      </c>
      <c r="I46" s="129">
        <v>1</v>
      </c>
      <c r="J46" s="53"/>
      <c r="K46" s="58">
        <v>45866</v>
      </c>
      <c r="L46" s="59" t="str">
        <f>IFERROR(VLOOKUP($A$2,Stok!$B$1:$BR$432,69,0),"")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30" t="s">
        <v>1529</v>
      </c>
      <c r="G47" s="128">
        <v>364.16</v>
      </c>
      <c r="H47" s="128">
        <v>1456.64</v>
      </c>
      <c r="I47" s="129">
        <v>4</v>
      </c>
      <c r="J47" s="53"/>
      <c r="K47" s="58">
        <v>45840</v>
      </c>
      <c r="L47" s="59" t="str">
        <f>IFERROR(VLOOKUP($A$2,Stok!$B$1:$BQ$432,68,0),"")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30" t="s">
        <v>118</v>
      </c>
      <c r="G48" s="128">
        <v>182.99</v>
      </c>
      <c r="H48" s="128">
        <v>3293.82</v>
      </c>
      <c r="I48" s="129">
        <v>18</v>
      </c>
      <c r="J48" s="53"/>
      <c r="K48" s="58">
        <v>45824</v>
      </c>
      <c r="L48" s="59" t="str">
        <f>IFERROR(VLOOKUP($A$2,Stok!$B$1:$BP$432,67,0),"")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30" t="s">
        <v>1231</v>
      </c>
      <c r="G49" s="128"/>
      <c r="H49" s="128">
        <v>0</v>
      </c>
      <c r="I49" s="129">
        <v>0</v>
      </c>
      <c r="J49" s="53"/>
      <c r="K49" s="58">
        <v>45805</v>
      </c>
      <c r="L49" s="59" t="str">
        <f>IFERROR(VLOOKUP($A$2,Stok!$B$1:$BO$432,66,0),"")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30" t="s">
        <v>1468</v>
      </c>
      <c r="G50" s="128"/>
      <c r="H50" s="128">
        <v>0</v>
      </c>
      <c r="I50" s="129">
        <v>0</v>
      </c>
      <c r="J50" s="53"/>
      <c r="K50" s="58">
        <v>45797</v>
      </c>
      <c r="L50" s="59" t="str">
        <f>IFERROR(VLOOKUP($A$2,Stok!$B$1:$BN$432,65,0),"")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30" t="s">
        <v>114</v>
      </c>
      <c r="G51" s="128">
        <v>254.37</v>
      </c>
      <c r="H51" s="128">
        <v>1780.5900000000001</v>
      </c>
      <c r="I51" s="129">
        <v>7</v>
      </c>
      <c r="J51" s="53"/>
      <c r="K51" s="58">
        <v>45783</v>
      </c>
      <c r="L51" s="59" t="str">
        <f>IFERROR(VLOOKUP($A$2,Stok!$B$1:$BM$432,64,0),"")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30" t="s">
        <v>116</v>
      </c>
      <c r="G52" s="128"/>
      <c r="H52" s="128">
        <v>0</v>
      </c>
      <c r="I52" s="129">
        <v>0</v>
      </c>
      <c r="J52" s="53"/>
      <c r="K52" s="58">
        <v>45769</v>
      </c>
      <c r="L52" s="59" t="str">
        <f>IFERROR(VLOOKUP($A$2,Stok!$B$1:$BL$432,63,0),"")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7" t="s">
        <v>123</v>
      </c>
      <c r="G53" s="128">
        <v>343.22999999999996</v>
      </c>
      <c r="H53" s="128">
        <v>4919.09</v>
      </c>
      <c r="I53" s="129">
        <v>1160</v>
      </c>
      <c r="J53" s="53"/>
      <c r="K53" s="58">
        <v>45762</v>
      </c>
      <c r="L53" s="59" t="str">
        <f>IFERROR(VLOOKUP($A$2,Stok!$B$1:$BK$432,62,0),"")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30">
        <v>760248523</v>
      </c>
      <c r="G54" s="128">
        <v>1.7</v>
      </c>
      <c r="H54" s="128">
        <v>30.599999999999998</v>
      </c>
      <c r="I54" s="129">
        <v>18</v>
      </c>
      <c r="J54" s="53"/>
      <c r="K54" s="58">
        <v>45750</v>
      </c>
      <c r="L54" s="59" t="str">
        <f>IFERROR(VLOOKUP($A$2,Stok!$B$1:$BJ$432,61,0),"")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30">
        <v>760248525</v>
      </c>
      <c r="G55" s="128">
        <v>2.7</v>
      </c>
      <c r="H55" s="128">
        <v>0</v>
      </c>
      <c r="I55" s="129">
        <v>0</v>
      </c>
      <c r="J55" s="53"/>
      <c r="K55" s="58">
        <v>45741</v>
      </c>
      <c r="L55" s="59" t="str">
        <f>IFERROR(VLOOKUP($A$2,Stok!$B$1:$BI$432,60,0),"")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30">
        <v>760253419</v>
      </c>
      <c r="G56" s="128">
        <v>5.55</v>
      </c>
      <c r="H56" s="128">
        <v>460.65</v>
      </c>
      <c r="I56" s="129">
        <v>83</v>
      </c>
      <c r="J56" s="53"/>
      <c r="K56" s="58">
        <v>45736</v>
      </c>
      <c r="L56" s="59" t="str">
        <f>IFERROR(VLOOKUP($A$2,Stok!$B$1:$BH$432,59,0),"")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30">
        <v>760253420</v>
      </c>
      <c r="G57" s="128">
        <v>20</v>
      </c>
      <c r="H57" s="128">
        <v>0</v>
      </c>
      <c r="I57" s="129">
        <v>0</v>
      </c>
      <c r="J57" s="53"/>
      <c r="K57" s="58">
        <v>45726</v>
      </c>
      <c r="L57" s="59" t="str">
        <f>IFERROR(VLOOKUP($A$2,Stok!$B$1:$BG$432,58,0),"")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30">
        <v>760254741</v>
      </c>
      <c r="G58" s="128">
        <v>1.45</v>
      </c>
      <c r="H58" s="128">
        <v>0</v>
      </c>
      <c r="I58" s="129">
        <v>0</v>
      </c>
      <c r="J58" s="53"/>
      <c r="K58" s="58">
        <v>45723</v>
      </c>
      <c r="L58" s="59" t="str">
        <f>IFERROR(VLOOKUP($A$2,Stok!$B$1:$BF$432,57,0),"")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30" t="s">
        <v>148</v>
      </c>
      <c r="G59" s="128">
        <v>1.5</v>
      </c>
      <c r="H59" s="128">
        <v>57</v>
      </c>
      <c r="I59" s="129">
        <v>38</v>
      </c>
      <c r="J59" s="53"/>
      <c r="K59" s="58">
        <v>45716</v>
      </c>
      <c r="L59" s="59" t="str">
        <f>IFERROR(VLOOKUP($A$2,Stok!$B$1:$BE$432,56,0),"")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30" t="s">
        <v>125</v>
      </c>
      <c r="G60" s="128"/>
      <c r="H60" s="128">
        <v>0</v>
      </c>
      <c r="I60" s="129">
        <v>0</v>
      </c>
      <c r="J60" s="53"/>
      <c r="K60" s="58">
        <v>45712</v>
      </c>
      <c r="L60" s="59" t="str">
        <f>IFERROR(VLOOKUP($A$2,Stok!$B$1:$BD$432,55,0),"")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30" t="s">
        <v>127</v>
      </c>
      <c r="G61" s="128"/>
      <c r="H61" s="128">
        <v>0</v>
      </c>
      <c r="I61" s="129">
        <v>0</v>
      </c>
      <c r="J61" s="53"/>
      <c r="K61" s="58">
        <v>45705</v>
      </c>
      <c r="L61" s="59" t="str">
        <f>IFERROR(VLOOKUP($A$2,Stok!$B$1:$BC$432,54,0),"")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30" t="s">
        <v>1405</v>
      </c>
      <c r="G62" s="128">
        <v>52</v>
      </c>
      <c r="H62" s="128">
        <v>0</v>
      </c>
      <c r="I62" s="129">
        <v>0</v>
      </c>
      <c r="J62" s="53"/>
      <c r="K62" s="58">
        <v>45702</v>
      </c>
      <c r="L62" s="59" t="str">
        <f>IFERROR(VLOOKUP($A$2,Stok!$B$1:$BB$432,53,0),"")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30" t="s">
        <v>1406</v>
      </c>
      <c r="G63" s="128">
        <v>17</v>
      </c>
      <c r="H63" s="128">
        <v>0</v>
      </c>
      <c r="I63" s="129">
        <v>0</v>
      </c>
      <c r="J63" s="53"/>
      <c r="K63" s="58">
        <v>45698</v>
      </c>
      <c r="L63" s="59" t="str">
        <f>IFERROR(VLOOKUP($A$2,Stok!$B$1:$BA$432,52,0),"")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30" t="s">
        <v>959</v>
      </c>
      <c r="G64" s="128">
        <v>0</v>
      </c>
      <c r="H64" s="128">
        <v>0</v>
      </c>
      <c r="I64" s="129">
        <v>0</v>
      </c>
      <c r="J64" s="53"/>
      <c r="K64" s="58">
        <v>45691</v>
      </c>
      <c r="L64" s="59" t="str">
        <f>IFERROR(VLOOKUP($A$2,Stok!$B$1:$AZ$432,51,0),"")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30" t="s">
        <v>129</v>
      </c>
      <c r="G65" s="128">
        <v>0.55000000000000004</v>
      </c>
      <c r="H65" s="128">
        <v>13.200000000000001</v>
      </c>
      <c r="I65" s="129">
        <v>24</v>
      </c>
      <c r="J65" s="53"/>
      <c r="K65" s="58">
        <v>45684</v>
      </c>
      <c r="L65" s="59" t="str">
        <f>IFERROR(VLOOKUP($A$2,Stok!$B$1:$AY$432,50,0),"")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30" t="s">
        <v>131</v>
      </c>
      <c r="G66" s="128">
        <v>0.3</v>
      </c>
      <c r="H66" s="128">
        <v>48.3</v>
      </c>
      <c r="I66" s="129">
        <v>161</v>
      </c>
      <c r="J66" s="53"/>
      <c r="K66" s="58">
        <v>45677</v>
      </c>
      <c r="L66" s="59" t="str">
        <f>IFERROR(VLOOKUP($A$2,Stok!$B$1:$AX$432,49,0),"")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30" t="s">
        <v>133</v>
      </c>
      <c r="G67" s="128">
        <v>0.56999999999999995</v>
      </c>
      <c r="H67" s="128">
        <v>0</v>
      </c>
      <c r="I67" s="129">
        <v>0</v>
      </c>
      <c r="J67" s="53"/>
      <c r="K67" s="58">
        <v>45672</v>
      </c>
      <c r="L67" s="59" t="str">
        <f>IFERROR(VLOOKUP($A$2,Stok!$B$1:$AW$432,48,0),"")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30" t="s">
        <v>1411</v>
      </c>
      <c r="G68" s="128">
        <v>55.15</v>
      </c>
      <c r="H68" s="128">
        <v>0</v>
      </c>
      <c r="I68" s="129">
        <v>0</v>
      </c>
      <c r="J68" s="53"/>
      <c r="K68" s="58">
        <v>45656</v>
      </c>
      <c r="L68" s="59" t="str">
        <f>IFERROR(VLOOKUP($A$2,Stok!$B$1:$AV$432,47,0),"")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30" t="s">
        <v>1194</v>
      </c>
      <c r="G69" s="128"/>
      <c r="H69" s="128">
        <v>0</v>
      </c>
      <c r="I69" s="129">
        <v>0</v>
      </c>
      <c r="J69" s="53"/>
      <c r="K69" s="58">
        <v>45649</v>
      </c>
      <c r="L69" s="59" t="str">
        <f>IFERROR(VLOOKUP($A$2,Stok!$B$1:$AU$432,46,0),"")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30" t="s">
        <v>1391</v>
      </c>
      <c r="G70" s="128">
        <v>5.36</v>
      </c>
      <c r="H70" s="128">
        <v>0</v>
      </c>
      <c r="I70" s="129">
        <v>0</v>
      </c>
      <c r="J70" s="53"/>
      <c r="K70" s="58">
        <v>45642</v>
      </c>
      <c r="L70" s="59" t="str">
        <f>IFERROR(VLOOKUP($A$2,Stok!$B$1:$AT$432,45,0),"")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30" t="s">
        <v>1392</v>
      </c>
      <c r="G71" s="128">
        <v>5.36</v>
      </c>
      <c r="H71" s="128">
        <v>2701.44</v>
      </c>
      <c r="I71" s="129">
        <v>504</v>
      </c>
      <c r="J71" s="53"/>
      <c r="K71" s="58">
        <v>45635</v>
      </c>
      <c r="L71" s="59" t="str">
        <f>IFERROR(VLOOKUP($A$2,Stok!$B$1:$AS$432,44,0),"")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30" t="s">
        <v>136</v>
      </c>
      <c r="G72" s="128">
        <v>20.55</v>
      </c>
      <c r="H72" s="128">
        <v>123.30000000000001</v>
      </c>
      <c r="I72" s="129">
        <v>6</v>
      </c>
      <c r="J72" s="53"/>
      <c r="K72" s="58">
        <v>45630</v>
      </c>
      <c r="L72" s="59" t="str">
        <f>IFERROR(VLOOKUP($A$2,Stok!$B$1:$AR$432,43,0),"")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30" t="s">
        <v>1396</v>
      </c>
      <c r="G73" s="128">
        <v>24</v>
      </c>
      <c r="H73" s="128">
        <v>0</v>
      </c>
      <c r="I73" s="129">
        <v>0</v>
      </c>
      <c r="J73" s="53"/>
      <c r="K73" s="58">
        <v>45614</v>
      </c>
      <c r="L73" s="59" t="str">
        <f>IFERROR(VLOOKUP($A$2,Stok!$B$1:$AQ$432,42,0),"")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30" t="s">
        <v>1313</v>
      </c>
      <c r="G74" s="128">
        <v>2.75</v>
      </c>
      <c r="H74" s="128">
        <v>352</v>
      </c>
      <c r="I74" s="129">
        <v>128</v>
      </c>
      <c r="J74" s="53"/>
      <c r="K74" s="58">
        <v>45608</v>
      </c>
      <c r="L74" s="59" t="str">
        <f>IFERROR(VLOOKUP($A$2,Stok!$B$1:$AP$432,41,0),"")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30" t="s">
        <v>138</v>
      </c>
      <c r="G75" s="128">
        <v>22.45</v>
      </c>
      <c r="H75" s="128">
        <v>606.15</v>
      </c>
      <c r="I75" s="129">
        <v>27</v>
      </c>
      <c r="J75" s="53"/>
      <c r="K75" s="58">
        <v>45596</v>
      </c>
      <c r="L75" s="59" t="str">
        <f>IFERROR(VLOOKUP($A$2,Stok!$B$1:$AO$432,40,0),"")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30" t="s">
        <v>1409</v>
      </c>
      <c r="G76" s="128">
        <v>3.9</v>
      </c>
      <c r="H76" s="128">
        <v>0</v>
      </c>
      <c r="I76" s="129">
        <v>0</v>
      </c>
      <c r="J76" s="53"/>
      <c r="K76" s="58">
        <v>45580</v>
      </c>
      <c r="L76" s="59" t="str">
        <f>IFERROR(VLOOKUP($A$2,Stok!$B$1:$AN$432,39,0),"")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30" t="s">
        <v>1407</v>
      </c>
      <c r="G77" s="128">
        <v>15.35</v>
      </c>
      <c r="H77" s="128">
        <v>0</v>
      </c>
      <c r="I77" s="129">
        <v>0</v>
      </c>
      <c r="J77" s="53"/>
      <c r="K77" s="58">
        <v>45570</v>
      </c>
      <c r="L77" s="59" t="str">
        <f>IFERROR(VLOOKUP($A$2,Stok!$B$1:$AM$432,38,0),"")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30" t="s">
        <v>140</v>
      </c>
      <c r="G78" s="128">
        <v>0.37</v>
      </c>
      <c r="H78" s="128">
        <v>0</v>
      </c>
      <c r="I78" s="129">
        <v>0</v>
      </c>
      <c r="J78" s="53"/>
      <c r="K78" s="58">
        <v>45563</v>
      </c>
      <c r="L78" s="59" t="str">
        <f>IFERROR(VLOOKUP($A$2,Stok!$B$1:$AL$432,37,0),"")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30" t="s">
        <v>121</v>
      </c>
      <c r="G79" s="128">
        <v>0.6</v>
      </c>
      <c r="H79" s="128">
        <v>0</v>
      </c>
      <c r="I79" s="129">
        <v>0</v>
      </c>
      <c r="J79" s="53"/>
      <c r="K79" s="58">
        <v>45552</v>
      </c>
      <c r="L79" s="59" t="str">
        <f>IFERROR(VLOOKUP($A$2,Stok!$B$1:$AK$432,36,0),"")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30" t="s">
        <v>1408</v>
      </c>
      <c r="G80" s="128">
        <v>3.9</v>
      </c>
      <c r="H80" s="128">
        <v>0</v>
      </c>
      <c r="I80" s="129">
        <v>0</v>
      </c>
      <c r="J80" s="53"/>
      <c r="K80" s="58">
        <v>45539</v>
      </c>
      <c r="L80" s="59" t="str">
        <f>IFERROR(VLOOKUP($A$2,Stok!$B$1:$AJ$432,35,0),"")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30" t="s">
        <v>142</v>
      </c>
      <c r="G81" s="128">
        <v>4.45</v>
      </c>
      <c r="H81" s="128">
        <v>4.45</v>
      </c>
      <c r="I81" s="129">
        <v>1</v>
      </c>
      <c r="J81" s="53"/>
      <c r="K81" s="58">
        <v>45524</v>
      </c>
      <c r="L81" s="59" t="str">
        <f>IFERROR(VLOOKUP($A$2,Stok!$B$1:$AI$432,34,0),"")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30" t="s">
        <v>1410</v>
      </c>
      <c r="G82" s="128">
        <v>22</v>
      </c>
      <c r="H82" s="128">
        <v>0</v>
      </c>
      <c r="I82" s="129">
        <v>0</v>
      </c>
      <c r="J82" s="53"/>
      <c r="K82" s="58">
        <v>45511</v>
      </c>
      <c r="L82" s="59" t="str">
        <f>IFERROR(VLOOKUP($A$2,Stok!$B$1:$AH$432,33,0),"")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30" t="s">
        <v>144</v>
      </c>
      <c r="G83" s="128">
        <v>2.9</v>
      </c>
      <c r="H83" s="128">
        <v>408.9</v>
      </c>
      <c r="I83" s="129">
        <v>141</v>
      </c>
      <c r="J83" s="53"/>
      <c r="K83" s="58">
        <v>45500</v>
      </c>
      <c r="L83" s="59" t="str">
        <f>IFERROR(VLOOKUP($A$2,Stok!$B$1:$AG$432,32,0),"")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30" t="s">
        <v>146</v>
      </c>
      <c r="G84" s="128">
        <v>3.9</v>
      </c>
      <c r="H84" s="128">
        <v>113.1</v>
      </c>
      <c r="I84" s="129">
        <v>29</v>
      </c>
      <c r="J84" s="53"/>
      <c r="K84" s="58">
        <v>45490</v>
      </c>
      <c r="L84" s="59" t="str">
        <f>IFERROR(VLOOKUP($A$2,Stok!$B$1:$AF$432,31,0),"")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30" t="s">
        <v>1475</v>
      </c>
      <c r="G85" s="128">
        <v>6</v>
      </c>
      <c r="H85" s="128">
        <v>0</v>
      </c>
      <c r="I85" s="129">
        <v>0</v>
      </c>
      <c r="J85" s="53"/>
      <c r="K85" s="58">
        <v>45478</v>
      </c>
      <c r="L85" s="59" t="str">
        <f>IFERROR(VLOOKUP($A$2,Stok!$B$1:$AE$432,30,0),"")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30" t="s">
        <v>1476</v>
      </c>
      <c r="G86" s="128">
        <v>6.15</v>
      </c>
      <c r="H86" s="128">
        <v>0</v>
      </c>
      <c r="I86" s="129">
        <v>0</v>
      </c>
      <c r="J86" s="53"/>
      <c r="K86" s="58">
        <v>45467</v>
      </c>
      <c r="L86" s="59" t="str">
        <f>IFERROR(VLOOKUP($A$2,Stok!$B$1:$AD$432,29,0),"")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30" t="s">
        <v>1477</v>
      </c>
      <c r="G87" s="128">
        <v>7.5</v>
      </c>
      <c r="H87" s="128">
        <v>0</v>
      </c>
      <c r="I87" s="129">
        <v>0</v>
      </c>
      <c r="J87" s="53"/>
      <c r="K87" s="58">
        <v>45455</v>
      </c>
      <c r="L87" s="59" t="str">
        <f>IFERROR(VLOOKUP($A$2,Stok!$B$1:$AC$432,28,0),"")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30" t="s">
        <v>1478</v>
      </c>
      <c r="G88" s="128">
        <v>11.5</v>
      </c>
      <c r="H88" s="128">
        <v>0</v>
      </c>
      <c r="I88" s="129">
        <v>0</v>
      </c>
      <c r="J88" s="53"/>
      <c r="K88" s="58">
        <v>45442</v>
      </c>
      <c r="L88" s="59" t="str">
        <f>IFERROR(VLOOKUP($A$2,Stok!$B$1:$AB$432,27,0),"")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30" t="s">
        <v>1479</v>
      </c>
      <c r="G89" s="128">
        <v>15.2</v>
      </c>
      <c r="H89" s="128">
        <v>0</v>
      </c>
      <c r="I89" s="129">
        <v>0</v>
      </c>
      <c r="J89" s="53"/>
      <c r="K89" s="58">
        <v>45427</v>
      </c>
      <c r="L89" s="59" t="str">
        <f>IFERROR(VLOOKUP($A$2,Stok!$B$1:$AA$432,25,0),"")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30" t="s">
        <v>1317</v>
      </c>
      <c r="G90" s="128">
        <v>0.56999999999999995</v>
      </c>
      <c r="H90" s="128">
        <v>0</v>
      </c>
      <c r="I90" s="129">
        <v>0</v>
      </c>
      <c r="J90" s="53"/>
      <c r="K90" s="58">
        <v>45427</v>
      </c>
      <c r="L90" s="59" t="str">
        <f>IFERROR(VLOOKUP($A$2,Stok!$B$1:$AA$432,26,0),"")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7" t="s">
        <v>152</v>
      </c>
      <c r="G91" s="128">
        <v>319</v>
      </c>
      <c r="H91" s="128">
        <v>0</v>
      </c>
      <c r="I91" s="129">
        <v>8</v>
      </c>
      <c r="J91" s="53"/>
      <c r="K91" s="58">
        <v>45411</v>
      </c>
      <c r="L91" s="59" t="str">
        <f>IFERROR(VLOOKUP($A$2,Stok!$B$1:$AA$432,24,0),"")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30">
        <v>6327900</v>
      </c>
      <c r="G92" s="128">
        <v>319</v>
      </c>
      <c r="H92" s="128">
        <v>0</v>
      </c>
      <c r="I92" s="129">
        <v>0</v>
      </c>
      <c r="J92" s="53"/>
      <c r="K92" s="58">
        <v>45397</v>
      </c>
      <c r="L92" s="59" t="str">
        <f>IFERROR(VLOOKUP($A$2,Stok!$B$1:$AA$432,23,0),"")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30" t="s">
        <v>155</v>
      </c>
      <c r="G93" s="128"/>
      <c r="H93" s="128">
        <v>0</v>
      </c>
      <c r="I93" s="129">
        <v>0</v>
      </c>
      <c r="J93" s="53"/>
      <c r="K93" s="58">
        <v>45376</v>
      </c>
      <c r="L93" s="59" t="str">
        <f>IFERROR(VLOOKUP($A$2,Stok!$B$1:$AA$432,22,0),"")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30" t="s">
        <v>150</v>
      </c>
      <c r="G94" s="128"/>
      <c r="H94" s="128">
        <v>0</v>
      </c>
      <c r="I94" s="129">
        <v>0</v>
      </c>
      <c r="J94" s="53"/>
      <c r="K94" s="58">
        <v>45364</v>
      </c>
      <c r="L94" s="59" t="str">
        <f>IFERROR(VLOOKUP($A$2,Stok!$B$1:$AA$432,21,0),"")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30" t="s">
        <v>1263</v>
      </c>
      <c r="G95" s="128"/>
      <c r="H95" s="128">
        <v>0</v>
      </c>
      <c r="I95" s="129">
        <v>0</v>
      </c>
      <c r="J95" s="53"/>
      <c r="K95" s="58">
        <v>45352</v>
      </c>
      <c r="L95" s="59" t="str">
        <f>IFERROR(VLOOKUP($A$2,Stok!$B$1:$AA$432,20,0),"")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30" t="s">
        <v>157</v>
      </c>
      <c r="G96" s="128"/>
      <c r="H96" s="128">
        <v>0</v>
      </c>
      <c r="I96" s="129">
        <v>6</v>
      </c>
      <c r="J96" s="53"/>
      <c r="K96" s="58">
        <v>45334</v>
      </c>
      <c r="L96" s="59" t="str">
        <f>IFERROR(VLOOKUP($A$2,Stok!$B$1:$AA$432,19,0),"")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30" t="s">
        <v>1230</v>
      </c>
      <c r="G97" s="128"/>
      <c r="H97" s="128">
        <v>0</v>
      </c>
      <c r="I97" s="129">
        <v>2</v>
      </c>
      <c r="J97" s="53"/>
      <c r="K97" s="58">
        <v>45320</v>
      </c>
      <c r="L97" s="59" t="str">
        <f>IFERROR(VLOOKUP($A$2,Stok!$B$1:$AA$432,18,0),"")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7" t="s">
        <v>161</v>
      </c>
      <c r="G98" s="128">
        <v>79.350000000000009</v>
      </c>
      <c r="H98" s="128">
        <v>292.52999999999997</v>
      </c>
      <c r="I98" s="129">
        <v>209</v>
      </c>
      <c r="J98" s="53"/>
      <c r="K98" s="58">
        <v>45313</v>
      </c>
      <c r="L98" s="59" t="str">
        <f>IFERROR(VLOOKUP($A$2,Stok!$B$1:$AA$432,17,0),"")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30" t="s">
        <v>159</v>
      </c>
      <c r="G99" s="128">
        <v>2.73</v>
      </c>
      <c r="H99" s="128">
        <v>0</v>
      </c>
      <c r="I99" s="129">
        <v>0</v>
      </c>
      <c r="J99" s="53"/>
      <c r="K99" s="60">
        <v>45293</v>
      </c>
      <c r="L99" s="59" t="str">
        <f>IFERROR(VLOOKUP($A$2,Stok!$B$1:$AA$432,16,0),"")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30" t="s">
        <v>163</v>
      </c>
      <c r="G100" s="128">
        <v>2.4700000000000002</v>
      </c>
      <c r="H100" s="128">
        <v>0</v>
      </c>
      <c r="I100" s="129">
        <v>0</v>
      </c>
      <c r="J100" s="53"/>
      <c r="K100" s="60">
        <v>45285</v>
      </c>
      <c r="L100" s="70" t="str">
        <f>IFERROR(VLOOKUP($A$2,Stok!$B$1:$AA$432,15,0),"")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30" t="s">
        <v>1365</v>
      </c>
      <c r="G101" s="128">
        <v>3.3</v>
      </c>
      <c r="H101" s="128">
        <v>0</v>
      </c>
      <c r="I101" s="129">
        <v>0</v>
      </c>
      <c r="J101" s="53"/>
      <c r="K101" s="58">
        <v>45275</v>
      </c>
      <c r="L101" s="70" t="str">
        <f>IFERROR(VLOOKUP($A$2,Stok!$B$1:$AA$432,14,0),"")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30" t="s">
        <v>165</v>
      </c>
      <c r="G102" s="128">
        <v>4.38</v>
      </c>
      <c r="H102" s="128">
        <v>0</v>
      </c>
      <c r="I102" s="129">
        <v>0</v>
      </c>
      <c r="J102" s="53"/>
      <c r="K102" s="60">
        <v>45173</v>
      </c>
      <c r="L102" s="70" t="str">
        <f>IFERROR(VLOOKUP($A$2,Stok!$B$1:$AA$432,8,0),"")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30" t="s">
        <v>1366</v>
      </c>
      <c r="G103" s="128">
        <v>9.8800000000000008</v>
      </c>
      <c r="H103" s="128">
        <v>0</v>
      </c>
      <c r="I103" s="129">
        <v>0</v>
      </c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30" t="s">
        <v>167</v>
      </c>
      <c r="G104" s="128">
        <v>45.18</v>
      </c>
      <c r="H104" s="128">
        <v>0</v>
      </c>
      <c r="I104" s="129">
        <v>0</v>
      </c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30" t="s">
        <v>1304</v>
      </c>
      <c r="G105" s="128">
        <v>2.93</v>
      </c>
      <c r="H105" s="128">
        <v>76.180000000000007</v>
      </c>
      <c r="I105" s="129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30" t="s">
        <v>169</v>
      </c>
      <c r="G106" s="128">
        <v>0.77</v>
      </c>
      <c r="H106" s="128">
        <v>3.85</v>
      </c>
      <c r="I106" s="129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30" t="s">
        <v>171</v>
      </c>
      <c r="G107" s="128">
        <v>4.03</v>
      </c>
      <c r="H107" s="128">
        <v>72.540000000000006</v>
      </c>
      <c r="I107" s="129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30" t="s">
        <v>173</v>
      </c>
      <c r="G108" s="128">
        <v>0.68</v>
      </c>
      <c r="H108" s="128">
        <v>78.88000000000001</v>
      </c>
      <c r="I108" s="129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30" t="s">
        <v>177</v>
      </c>
      <c r="G109" s="128">
        <v>1.0900000000000001</v>
      </c>
      <c r="H109" s="128">
        <v>30.520000000000003</v>
      </c>
      <c r="I109" s="129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30" t="s">
        <v>180</v>
      </c>
      <c r="G110" s="128">
        <v>1.91</v>
      </c>
      <c r="H110" s="128">
        <v>30.56</v>
      </c>
      <c r="I110" s="129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7" t="s">
        <v>184</v>
      </c>
      <c r="G111" s="128"/>
      <c r="H111" s="128">
        <v>0</v>
      </c>
      <c r="I111" s="129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30" t="s">
        <v>1318</v>
      </c>
      <c r="G112" s="128"/>
      <c r="H112" s="128">
        <v>0</v>
      </c>
      <c r="I112" s="129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30" t="s">
        <v>1319</v>
      </c>
      <c r="G113" s="128"/>
      <c r="H113" s="128">
        <v>0</v>
      </c>
      <c r="I113" s="129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30" t="s">
        <v>1320</v>
      </c>
      <c r="G114" s="128"/>
      <c r="H114" s="128">
        <v>0</v>
      </c>
      <c r="I114" s="129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7" t="s">
        <v>188</v>
      </c>
      <c r="G115" s="128"/>
      <c r="H115" s="128">
        <v>0</v>
      </c>
      <c r="I115" s="129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30" t="s">
        <v>186</v>
      </c>
      <c r="G116" s="128"/>
      <c r="H116" s="128">
        <v>0</v>
      </c>
      <c r="I116" s="129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30" t="s">
        <v>190</v>
      </c>
      <c r="G117" s="128"/>
      <c r="H117" s="128">
        <v>0</v>
      </c>
      <c r="I117" s="129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7" t="s">
        <v>92</v>
      </c>
      <c r="G118" s="128">
        <v>1401.3609854400001</v>
      </c>
      <c r="H118" s="128">
        <v>62354.994311040035</v>
      </c>
      <c r="I118" s="129">
        <v>56711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30" t="s">
        <v>1284</v>
      </c>
      <c r="G119" s="128"/>
      <c r="H119" s="128">
        <v>0</v>
      </c>
      <c r="I119" s="129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30" t="s">
        <v>439</v>
      </c>
      <c r="G120" s="128">
        <v>23.75</v>
      </c>
      <c r="H120" s="128">
        <v>498.75</v>
      </c>
      <c r="I120" s="129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30" t="s">
        <v>441</v>
      </c>
      <c r="G121" s="128">
        <v>43.75</v>
      </c>
      <c r="H121" s="128">
        <v>175</v>
      </c>
      <c r="I121" s="129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30" t="s">
        <v>442</v>
      </c>
      <c r="G122" s="128">
        <v>23.75</v>
      </c>
      <c r="H122" s="128">
        <v>712.5</v>
      </c>
      <c r="I122" s="129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30" t="s">
        <v>444</v>
      </c>
      <c r="G123" s="128">
        <v>43.75</v>
      </c>
      <c r="H123" s="128">
        <v>175</v>
      </c>
      <c r="I123" s="129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30" t="s">
        <v>457</v>
      </c>
      <c r="G124" s="128">
        <v>96.875</v>
      </c>
      <c r="H124" s="128">
        <v>484.375</v>
      </c>
      <c r="I124" s="129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30" t="s">
        <v>459</v>
      </c>
      <c r="G125" s="128">
        <v>200</v>
      </c>
      <c r="H125" s="128">
        <v>400</v>
      </c>
      <c r="I125" s="129">
        <v>2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30" t="s">
        <v>209</v>
      </c>
      <c r="G126" s="128">
        <v>6.66</v>
      </c>
      <c r="H126" s="128">
        <v>0</v>
      </c>
      <c r="I126" s="129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30" t="s">
        <v>212</v>
      </c>
      <c r="G127" s="128">
        <v>14.4</v>
      </c>
      <c r="H127" s="128">
        <v>0</v>
      </c>
      <c r="I127" s="129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30" t="s">
        <v>337</v>
      </c>
      <c r="G128" s="128">
        <v>1.26</v>
      </c>
      <c r="H128" s="128">
        <v>37.799999999999997</v>
      </c>
      <c r="I128" s="129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30" t="s">
        <v>339</v>
      </c>
      <c r="G129" s="128"/>
      <c r="H129" s="128">
        <v>0</v>
      </c>
      <c r="I129" s="129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30" t="s">
        <v>343</v>
      </c>
      <c r="G130" s="128">
        <v>0.3</v>
      </c>
      <c r="H130" s="128">
        <v>578.4</v>
      </c>
      <c r="I130" s="129">
        <v>1928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30" t="s">
        <v>307</v>
      </c>
      <c r="G131" s="128">
        <v>0.53878423999999969</v>
      </c>
      <c r="H131" s="128">
        <v>2.1551369599999988</v>
      </c>
      <c r="I131" s="129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30" t="s">
        <v>309</v>
      </c>
      <c r="G132" s="128">
        <v>0.67247999999999997</v>
      </c>
      <c r="H132" s="128">
        <v>9.4147199999999991</v>
      </c>
      <c r="I132" s="129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30" t="s">
        <v>311</v>
      </c>
      <c r="G133" s="128">
        <v>0.82379999999999998</v>
      </c>
      <c r="H133" s="128">
        <v>404.48579999999998</v>
      </c>
      <c r="I133" s="129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30" t="s">
        <v>313</v>
      </c>
      <c r="G134" s="128">
        <v>1.2661199999999999</v>
      </c>
      <c r="H134" s="128">
        <v>88.628399999999999</v>
      </c>
      <c r="I134" s="129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30" t="s">
        <v>315</v>
      </c>
      <c r="G135" s="128">
        <v>1.6967999999999999</v>
      </c>
      <c r="H135" s="128">
        <v>251.12639999999999</v>
      </c>
      <c r="I135" s="129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30" t="s">
        <v>333</v>
      </c>
      <c r="G136" s="128">
        <v>0.72</v>
      </c>
      <c r="H136" s="128">
        <v>293.03999999999996</v>
      </c>
      <c r="I136" s="129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30" t="s">
        <v>335</v>
      </c>
      <c r="G137" s="128">
        <v>0.72</v>
      </c>
      <c r="H137" s="128">
        <v>0</v>
      </c>
      <c r="I137" s="129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30" t="s">
        <v>197</v>
      </c>
      <c r="G138" s="128">
        <v>5.6280000000000001</v>
      </c>
      <c r="H138" s="128">
        <v>0</v>
      </c>
      <c r="I138" s="129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30" t="s">
        <v>200</v>
      </c>
      <c r="G139" s="128">
        <v>7.02</v>
      </c>
      <c r="H139" s="128">
        <v>0</v>
      </c>
      <c r="I139" s="129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30" t="s">
        <v>202</v>
      </c>
      <c r="G140" s="128">
        <v>11.88</v>
      </c>
      <c r="H140" s="128">
        <v>3433.32</v>
      </c>
      <c r="I140" s="129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30" t="s">
        <v>234</v>
      </c>
      <c r="G141" s="128">
        <v>0.504</v>
      </c>
      <c r="H141" s="128">
        <v>612.86400000000003</v>
      </c>
      <c r="I141" s="129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30" t="s">
        <v>287</v>
      </c>
      <c r="G142" s="128">
        <v>0.504</v>
      </c>
      <c r="H142" s="128">
        <v>27.216000000000001</v>
      </c>
      <c r="I142" s="129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30" t="s">
        <v>214</v>
      </c>
      <c r="G143" s="128">
        <v>0.504</v>
      </c>
      <c r="H143" s="128">
        <v>102.816</v>
      </c>
      <c r="I143" s="129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30" t="s">
        <v>257</v>
      </c>
      <c r="G144" s="128">
        <v>0.504</v>
      </c>
      <c r="H144" s="128">
        <v>381.52800000000002</v>
      </c>
      <c r="I144" s="129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30" t="s">
        <v>237</v>
      </c>
      <c r="G145" s="128">
        <v>0.53878423999999969</v>
      </c>
      <c r="H145" s="128">
        <v>0</v>
      </c>
      <c r="I145" s="129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30" t="s">
        <v>289</v>
      </c>
      <c r="G146" s="128">
        <v>0.53878423999999969</v>
      </c>
      <c r="H146" s="128">
        <v>631.99391351999964</v>
      </c>
      <c r="I146" s="129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30" t="s">
        <v>216</v>
      </c>
      <c r="G147" s="128">
        <v>0.53878423999999969</v>
      </c>
      <c r="H147" s="128">
        <v>330.81352335999981</v>
      </c>
      <c r="I147" s="129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30" t="s">
        <v>259</v>
      </c>
      <c r="G148" s="128">
        <v>0.53878423999999969</v>
      </c>
      <c r="H148" s="128">
        <v>891.68791719999945</v>
      </c>
      <c r="I148" s="129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30" t="s">
        <v>277</v>
      </c>
      <c r="G149" s="128">
        <v>0.53878423999999969</v>
      </c>
      <c r="H149" s="128">
        <v>0</v>
      </c>
      <c r="I149" s="129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30" t="s">
        <v>239</v>
      </c>
      <c r="G150" s="128">
        <v>0.67247999999999997</v>
      </c>
      <c r="H150" s="128">
        <v>614.64671999999996</v>
      </c>
      <c r="I150" s="129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30" t="s">
        <v>291</v>
      </c>
      <c r="G151" s="128">
        <v>0.67247999999999997</v>
      </c>
      <c r="H151" s="128">
        <v>445.18176</v>
      </c>
      <c r="I151" s="129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30" t="s">
        <v>218</v>
      </c>
      <c r="G152" s="128">
        <v>0.67247999999999997</v>
      </c>
      <c r="H152" s="128">
        <v>281.76911999999999</v>
      </c>
      <c r="I152" s="129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30" t="s">
        <v>261</v>
      </c>
      <c r="G153" s="128">
        <v>0.67247999999999997</v>
      </c>
      <c r="H153" s="128">
        <v>535.29408000000001</v>
      </c>
      <c r="I153" s="129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30" t="s">
        <v>279</v>
      </c>
      <c r="G154" s="128">
        <v>0.67247999999999997</v>
      </c>
      <c r="H154" s="128">
        <v>0</v>
      </c>
      <c r="I154" s="129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30" t="s">
        <v>241</v>
      </c>
      <c r="G155" s="128">
        <v>0.82379999999999998</v>
      </c>
      <c r="H155" s="128">
        <v>3.2951999999999999</v>
      </c>
      <c r="I155" s="129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30" t="s">
        <v>293</v>
      </c>
      <c r="G156" s="128">
        <v>0.82379999999999998</v>
      </c>
      <c r="H156" s="128">
        <v>0</v>
      </c>
      <c r="I156" s="129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30" t="s">
        <v>220</v>
      </c>
      <c r="G157" s="128">
        <v>0.82379999999999998</v>
      </c>
      <c r="H157" s="128">
        <v>0</v>
      </c>
      <c r="I157" s="129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30" t="s">
        <v>263</v>
      </c>
      <c r="G158" s="128">
        <v>0.82379999999999998</v>
      </c>
      <c r="H158" s="128">
        <v>0</v>
      </c>
      <c r="I158" s="129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30" t="s">
        <v>281</v>
      </c>
      <c r="G159" s="128">
        <v>0.82379999999999998</v>
      </c>
      <c r="H159" s="128">
        <v>0</v>
      </c>
      <c r="I159" s="129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30" t="s">
        <v>244</v>
      </c>
      <c r="G160" s="128">
        <v>1.2661199999999999</v>
      </c>
      <c r="H160" s="128">
        <v>0</v>
      </c>
      <c r="I160" s="129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30" t="s">
        <v>295</v>
      </c>
      <c r="G161" s="128">
        <v>1.2661199999999999</v>
      </c>
      <c r="H161" s="128">
        <v>7.5967199999999995</v>
      </c>
      <c r="I161" s="129">
        <v>6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30" t="s">
        <v>222</v>
      </c>
      <c r="G162" s="128">
        <v>1.2661199999999999</v>
      </c>
      <c r="H162" s="128">
        <v>0</v>
      </c>
      <c r="I162" s="129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30" t="s">
        <v>265</v>
      </c>
      <c r="G163" s="128">
        <v>1.2661199999999999</v>
      </c>
      <c r="H163" s="128">
        <v>6.3305999999999996</v>
      </c>
      <c r="I163" s="129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30" t="s">
        <v>283</v>
      </c>
      <c r="G164" s="128">
        <v>1.2661199999999999</v>
      </c>
      <c r="H164" s="128">
        <v>24.056279999999997</v>
      </c>
      <c r="I164" s="129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30" t="s">
        <v>246</v>
      </c>
      <c r="G165" s="128">
        <v>1.6967999999999999</v>
      </c>
      <c r="H165" s="128">
        <v>30.542399999999997</v>
      </c>
      <c r="I165" s="129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30" t="s">
        <v>297</v>
      </c>
      <c r="G166" s="128">
        <v>1.6967999999999999</v>
      </c>
      <c r="H166" s="128">
        <v>184.95119999999997</v>
      </c>
      <c r="I166" s="129">
        <v>109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30" t="s">
        <v>224</v>
      </c>
      <c r="G167" s="128">
        <v>1.6967999999999999</v>
      </c>
      <c r="H167" s="128">
        <v>110.29199999999999</v>
      </c>
      <c r="I167" s="129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30" t="s">
        <v>267</v>
      </c>
      <c r="G168" s="128">
        <v>1.6967999999999999</v>
      </c>
      <c r="H168" s="128">
        <v>363.11519999999996</v>
      </c>
      <c r="I168" s="129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30" t="s">
        <v>285</v>
      </c>
      <c r="G169" s="128">
        <v>1.6967999999999999</v>
      </c>
      <c r="H169" s="128">
        <v>118.776</v>
      </c>
      <c r="I169" s="129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30" t="s">
        <v>249</v>
      </c>
      <c r="G170" s="128">
        <v>2.5930799999999996</v>
      </c>
      <c r="H170" s="128">
        <v>0</v>
      </c>
      <c r="I170" s="129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30" t="s">
        <v>299</v>
      </c>
      <c r="G171" s="128">
        <v>2.5930799999999996</v>
      </c>
      <c r="H171" s="128">
        <v>77.792399999999986</v>
      </c>
      <c r="I171" s="129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30" t="s">
        <v>226</v>
      </c>
      <c r="G172" s="128">
        <v>2.5930799999999996</v>
      </c>
      <c r="H172" s="128">
        <v>49.268519999999995</v>
      </c>
      <c r="I172" s="129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30" t="s">
        <v>269</v>
      </c>
      <c r="G173" s="128">
        <v>2.5930799999999996</v>
      </c>
      <c r="H173" s="128">
        <v>77.792399999999986</v>
      </c>
      <c r="I173" s="129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30" t="s">
        <v>251</v>
      </c>
      <c r="G174" s="128">
        <v>3.48936</v>
      </c>
      <c r="H174" s="128">
        <v>188.42544000000001</v>
      </c>
      <c r="I174" s="129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30" t="s">
        <v>301</v>
      </c>
      <c r="G175" s="128">
        <v>3.48936</v>
      </c>
      <c r="H175" s="128">
        <v>104.6808</v>
      </c>
      <c r="I175" s="129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30" t="s">
        <v>228</v>
      </c>
      <c r="G176" s="128">
        <v>3.48936</v>
      </c>
      <c r="H176" s="128">
        <v>167.48928000000001</v>
      </c>
      <c r="I176" s="129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30" t="s">
        <v>271</v>
      </c>
      <c r="G177" s="128">
        <v>3.48936</v>
      </c>
      <c r="H177" s="128">
        <v>174.46799999999999</v>
      </c>
      <c r="I177" s="129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30" t="s">
        <v>253</v>
      </c>
      <c r="G178" s="128">
        <v>4.82796</v>
      </c>
      <c r="H178" s="128">
        <v>106.21512</v>
      </c>
      <c r="I178" s="129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30" t="s">
        <v>303</v>
      </c>
      <c r="G179" s="128">
        <v>4.82796</v>
      </c>
      <c r="H179" s="128">
        <v>48.279600000000002</v>
      </c>
      <c r="I179" s="129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30" t="s">
        <v>230</v>
      </c>
      <c r="G180" s="128">
        <v>4.82796</v>
      </c>
      <c r="H180" s="128">
        <v>140.01084</v>
      </c>
      <c r="I180" s="129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30" t="s">
        <v>273</v>
      </c>
      <c r="G181" s="128">
        <v>4.82796</v>
      </c>
      <c r="H181" s="128">
        <v>144.83879999999999</v>
      </c>
      <c r="I181" s="129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30" t="s">
        <v>255</v>
      </c>
      <c r="G182" s="128">
        <v>7.1093999999999999</v>
      </c>
      <c r="H182" s="128">
        <v>142.18799999999999</v>
      </c>
      <c r="I182" s="129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30" t="s">
        <v>305</v>
      </c>
      <c r="G183" s="128">
        <v>7.1093999999999999</v>
      </c>
      <c r="H183" s="128">
        <v>71.093999999999994</v>
      </c>
      <c r="I183" s="129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30" t="s">
        <v>232</v>
      </c>
      <c r="G184" s="128">
        <v>7.1093999999999999</v>
      </c>
      <c r="H184" s="128">
        <v>113.7504</v>
      </c>
      <c r="I184" s="129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30" t="s">
        <v>275</v>
      </c>
      <c r="G185" s="128">
        <v>7.1093999999999999</v>
      </c>
      <c r="H185" s="128">
        <v>142.18799999999999</v>
      </c>
      <c r="I185" s="129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30" t="s">
        <v>204</v>
      </c>
      <c r="G186" s="128">
        <v>10.199999999999999</v>
      </c>
      <c r="H186" s="128">
        <v>663</v>
      </c>
      <c r="I186" s="129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30" t="s">
        <v>207</v>
      </c>
      <c r="G187" s="128">
        <v>13.8</v>
      </c>
      <c r="H187" s="128">
        <v>1104</v>
      </c>
      <c r="I187" s="129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30" t="s">
        <v>323</v>
      </c>
      <c r="G188" s="128">
        <v>0.51600000000000001</v>
      </c>
      <c r="H188" s="128">
        <v>516</v>
      </c>
      <c r="I188" s="129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30" t="s">
        <v>329</v>
      </c>
      <c r="G189" s="128"/>
      <c r="H189" s="128">
        <v>0</v>
      </c>
      <c r="I189" s="129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30" t="s">
        <v>326</v>
      </c>
      <c r="G190" s="128">
        <v>0.51600000000000001</v>
      </c>
      <c r="H190" s="128">
        <v>6.1920000000000002</v>
      </c>
      <c r="I190" s="129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30" t="s">
        <v>328</v>
      </c>
      <c r="G191" s="128">
        <v>0.432</v>
      </c>
      <c r="H191" s="128">
        <v>184.464</v>
      </c>
      <c r="I191" s="129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30" t="s">
        <v>331</v>
      </c>
      <c r="G192" s="128"/>
      <c r="H192" s="128">
        <v>0</v>
      </c>
      <c r="I192" s="129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30" t="s">
        <v>317</v>
      </c>
      <c r="G193" s="128">
        <v>0.54</v>
      </c>
      <c r="H193" s="128">
        <v>1680.48</v>
      </c>
      <c r="I193" s="129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30" t="s">
        <v>320</v>
      </c>
      <c r="G194" s="128">
        <v>0.70799999999999996</v>
      </c>
      <c r="H194" s="128">
        <v>2504.904</v>
      </c>
      <c r="I194" s="129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30" t="s">
        <v>341</v>
      </c>
      <c r="G195" s="128">
        <v>6.3600000000000004E-2</v>
      </c>
      <c r="H195" s="128">
        <v>0</v>
      </c>
      <c r="I195" s="129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30" t="s">
        <v>427</v>
      </c>
      <c r="G196" s="128">
        <v>16.25</v>
      </c>
      <c r="H196" s="128">
        <v>0</v>
      </c>
      <c r="I196" s="129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30" t="s">
        <v>430</v>
      </c>
      <c r="G197" s="128">
        <v>60</v>
      </c>
      <c r="H197" s="128">
        <v>900</v>
      </c>
      <c r="I197" s="129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30" t="s">
        <v>452</v>
      </c>
      <c r="G198" s="128">
        <v>16.25</v>
      </c>
      <c r="H198" s="128">
        <v>113.75</v>
      </c>
      <c r="I198" s="129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30" t="s">
        <v>455</v>
      </c>
      <c r="G199" s="128">
        <v>23.75</v>
      </c>
      <c r="H199" s="128">
        <v>71.25</v>
      </c>
      <c r="I199" s="129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30" t="s">
        <v>448</v>
      </c>
      <c r="G200" s="128">
        <v>6.0625</v>
      </c>
      <c r="H200" s="128">
        <v>72.75</v>
      </c>
      <c r="I200" s="129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30" t="s">
        <v>450</v>
      </c>
      <c r="G201" s="128">
        <v>9.375</v>
      </c>
      <c r="H201" s="128">
        <v>0</v>
      </c>
      <c r="I201" s="129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30" t="s">
        <v>1283</v>
      </c>
      <c r="G202" s="128">
        <v>12.69</v>
      </c>
      <c r="H202" s="128">
        <v>101.52</v>
      </c>
      <c r="I202" s="129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30" t="s">
        <v>470</v>
      </c>
      <c r="G203" s="128"/>
      <c r="H203" s="128">
        <v>0</v>
      </c>
      <c r="I203" s="129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30" t="s">
        <v>472</v>
      </c>
      <c r="G204" s="128"/>
      <c r="H204" s="128">
        <v>0</v>
      </c>
      <c r="I204" s="129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30" t="s">
        <v>477</v>
      </c>
      <c r="G205" s="128">
        <v>4.95</v>
      </c>
      <c r="H205" s="128">
        <v>0</v>
      </c>
      <c r="I205" s="129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30" t="s">
        <v>418</v>
      </c>
      <c r="G206" s="128">
        <v>4.8000000000000001E-2</v>
      </c>
      <c r="H206" s="128">
        <v>549.072</v>
      </c>
      <c r="I206" s="129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30" t="s">
        <v>345</v>
      </c>
      <c r="G207" s="128">
        <v>0.3</v>
      </c>
      <c r="H207" s="128">
        <v>2194.7999999999997</v>
      </c>
      <c r="I207" s="129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30" t="s">
        <v>475</v>
      </c>
      <c r="G208" s="128">
        <v>17.64</v>
      </c>
      <c r="H208" s="128">
        <v>52.92</v>
      </c>
      <c r="I208" s="129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30" t="s">
        <v>480</v>
      </c>
      <c r="G209" s="128">
        <v>2.48</v>
      </c>
      <c r="H209" s="128">
        <v>57.04</v>
      </c>
      <c r="I209" s="129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30" t="s">
        <v>482</v>
      </c>
      <c r="G210" s="128">
        <v>2.97</v>
      </c>
      <c r="H210" s="128">
        <v>118.80000000000001</v>
      </c>
      <c r="I210" s="129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30" t="s">
        <v>484</v>
      </c>
      <c r="G211" s="128">
        <v>3.47</v>
      </c>
      <c r="H211" s="128">
        <v>145.74</v>
      </c>
      <c r="I211" s="129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30" t="s">
        <v>363</v>
      </c>
      <c r="G212" s="128">
        <v>2.0809199999999999</v>
      </c>
      <c r="H212" s="128">
        <v>1598.1465599999999</v>
      </c>
      <c r="I212" s="129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30" t="s">
        <v>365</v>
      </c>
      <c r="G213" s="128">
        <v>2.2555199999999997</v>
      </c>
      <c r="H213" s="128">
        <v>1096.1827199999998</v>
      </c>
      <c r="I213" s="129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30" t="s">
        <v>367</v>
      </c>
      <c r="G214" s="128">
        <v>2.5930799999999996</v>
      </c>
      <c r="H214" s="128">
        <v>1275.7953599999998</v>
      </c>
      <c r="I214" s="129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30" t="s">
        <v>369</v>
      </c>
      <c r="G215" s="128">
        <v>2.9306400000000004</v>
      </c>
      <c r="H215" s="128">
        <v>293.06400000000002</v>
      </c>
      <c r="I215" s="129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30" t="s">
        <v>394</v>
      </c>
      <c r="G216" s="128">
        <v>0.28799999999999998</v>
      </c>
      <c r="H216" s="128">
        <v>368.928</v>
      </c>
      <c r="I216" s="129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30" t="s">
        <v>371</v>
      </c>
      <c r="G217" s="128">
        <v>2.4417599999999995</v>
      </c>
      <c r="H217" s="128">
        <v>1203.7876799999997</v>
      </c>
      <c r="I217" s="129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30" t="s">
        <v>373</v>
      </c>
      <c r="G218" s="128">
        <v>2.7909599999999997</v>
      </c>
      <c r="H218" s="128">
        <v>870.77951999999993</v>
      </c>
      <c r="I218" s="129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30" t="s">
        <v>375</v>
      </c>
      <c r="G219" s="128">
        <v>3.1401599999999998</v>
      </c>
      <c r="H219" s="128">
        <v>320.29631999999998</v>
      </c>
      <c r="I219" s="129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30" t="s">
        <v>377</v>
      </c>
      <c r="G220" s="128">
        <v>3.8385600000000002</v>
      </c>
      <c r="H220" s="128">
        <v>291.73056000000003</v>
      </c>
      <c r="I220" s="129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30" t="s">
        <v>396</v>
      </c>
      <c r="G221" s="128">
        <v>0.312</v>
      </c>
      <c r="H221" s="128">
        <v>275.80799999999999</v>
      </c>
      <c r="I221" s="129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30" t="s">
        <v>355</v>
      </c>
      <c r="G222" s="128">
        <v>1.9296000000000002</v>
      </c>
      <c r="H222" s="128">
        <v>1.9296000000000002</v>
      </c>
      <c r="I222" s="129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30" t="s">
        <v>357</v>
      </c>
      <c r="G223" s="128">
        <v>2.0227200000000001</v>
      </c>
      <c r="H223" s="128">
        <v>6.0681600000000007</v>
      </c>
      <c r="I223" s="129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30" t="s">
        <v>359</v>
      </c>
      <c r="G224" s="128">
        <v>2.2089600000000003</v>
      </c>
      <c r="H224" s="128">
        <v>598.62816000000009</v>
      </c>
      <c r="I224" s="129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30" t="s">
        <v>361</v>
      </c>
      <c r="G225" s="128">
        <v>2.3835600000000001</v>
      </c>
      <c r="H225" s="128">
        <v>202.60260000000002</v>
      </c>
      <c r="I225" s="129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30" t="s">
        <v>392</v>
      </c>
      <c r="G226" s="128">
        <v>0.27600000000000002</v>
      </c>
      <c r="H226" s="128">
        <v>91.632000000000005</v>
      </c>
      <c r="I226" s="129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30" t="s">
        <v>406</v>
      </c>
      <c r="G227" s="128">
        <v>0.58799999999999997</v>
      </c>
      <c r="H227" s="128">
        <v>876.12</v>
      </c>
      <c r="I227" s="129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30" t="s">
        <v>408</v>
      </c>
      <c r="G228" s="128">
        <v>0.63600000000000001</v>
      </c>
      <c r="H228" s="128">
        <v>777.82799999999997</v>
      </c>
      <c r="I228" s="129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30" t="s">
        <v>404</v>
      </c>
      <c r="G229" s="128">
        <v>0.49199999999999999</v>
      </c>
      <c r="H229" s="128">
        <v>7.8719999999999999</v>
      </c>
      <c r="I229" s="129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30" t="s">
        <v>438</v>
      </c>
      <c r="G230" s="128">
        <v>30</v>
      </c>
      <c r="H230" s="128">
        <v>1470</v>
      </c>
      <c r="I230" s="129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30" t="s">
        <v>437</v>
      </c>
      <c r="G231" s="128">
        <v>15</v>
      </c>
      <c r="H231" s="128">
        <v>525</v>
      </c>
      <c r="I231" s="129">
        <v>35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30" t="s">
        <v>1281</v>
      </c>
      <c r="G232" s="128"/>
      <c r="H232" s="128">
        <v>0</v>
      </c>
      <c r="I232" s="129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30" t="s">
        <v>424</v>
      </c>
      <c r="G233" s="128">
        <v>4.8125</v>
      </c>
      <c r="H233" s="128">
        <v>1607.375</v>
      </c>
      <c r="I233" s="129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30" t="s">
        <v>425</v>
      </c>
      <c r="G234" s="128">
        <v>4.8125</v>
      </c>
      <c r="H234" s="128">
        <v>423.5</v>
      </c>
      <c r="I234" s="129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30" t="s">
        <v>426</v>
      </c>
      <c r="G235" s="128">
        <v>6.25</v>
      </c>
      <c r="H235" s="128">
        <v>712.5</v>
      </c>
      <c r="I235" s="129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30" t="s">
        <v>474</v>
      </c>
      <c r="G236" s="128"/>
      <c r="H236" s="128">
        <v>0</v>
      </c>
      <c r="I236" s="129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30" t="s">
        <v>349</v>
      </c>
      <c r="G237" s="128">
        <v>31.8</v>
      </c>
      <c r="H237" s="128">
        <v>318</v>
      </c>
      <c r="I237" s="129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30" t="s">
        <v>486</v>
      </c>
      <c r="G238" s="128">
        <v>3.96</v>
      </c>
      <c r="H238" s="128">
        <v>0</v>
      </c>
      <c r="I238" s="129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30" t="s">
        <v>351</v>
      </c>
      <c r="G239" s="128">
        <v>22.2</v>
      </c>
      <c r="H239" s="128">
        <v>0</v>
      </c>
      <c r="I239" s="129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30" t="s">
        <v>353</v>
      </c>
      <c r="G240" s="128">
        <v>22.2</v>
      </c>
      <c r="H240" s="128">
        <v>0</v>
      </c>
      <c r="I240" s="129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30" t="s">
        <v>446</v>
      </c>
      <c r="G241" s="128">
        <v>152.5</v>
      </c>
      <c r="H241" s="128">
        <v>1830</v>
      </c>
      <c r="I241" s="129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30" t="s">
        <v>447</v>
      </c>
      <c r="G242" s="128">
        <v>88.29</v>
      </c>
      <c r="H242" s="128">
        <v>353.16</v>
      </c>
      <c r="I242" s="129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30" t="s">
        <v>469</v>
      </c>
      <c r="G243" s="128"/>
      <c r="H243" s="128">
        <v>0</v>
      </c>
      <c r="I243" s="129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30" t="s">
        <v>466</v>
      </c>
      <c r="G244" s="128"/>
      <c r="H244" s="128">
        <v>0</v>
      </c>
      <c r="I244" s="129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30" t="s">
        <v>465</v>
      </c>
      <c r="G245" s="128">
        <v>16.25</v>
      </c>
      <c r="H245" s="128">
        <v>81.25</v>
      </c>
      <c r="I245" s="129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30" t="s">
        <v>445</v>
      </c>
      <c r="G246" s="128">
        <v>42.5</v>
      </c>
      <c r="H246" s="128">
        <v>1657.5</v>
      </c>
      <c r="I246" s="129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30" t="s">
        <v>431</v>
      </c>
      <c r="G247" s="128"/>
      <c r="H247" s="128">
        <v>0</v>
      </c>
      <c r="I247" s="129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30" t="s">
        <v>433</v>
      </c>
      <c r="G248" s="128"/>
      <c r="H248" s="128">
        <v>0</v>
      </c>
      <c r="I248" s="129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30" t="s">
        <v>1282</v>
      </c>
      <c r="G249" s="128">
        <v>22.95</v>
      </c>
      <c r="H249" s="128">
        <v>459</v>
      </c>
      <c r="I249" s="129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30" t="s">
        <v>388</v>
      </c>
      <c r="G250" s="128">
        <v>2.2320000000000002</v>
      </c>
      <c r="H250" s="128">
        <v>658.44</v>
      </c>
      <c r="I250" s="129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30" t="s">
        <v>390</v>
      </c>
      <c r="G251" s="128">
        <v>2.472</v>
      </c>
      <c r="H251" s="128">
        <v>803.4</v>
      </c>
      <c r="I251" s="129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30" t="s">
        <v>379</v>
      </c>
      <c r="G252" s="128">
        <v>1.9296000000000002</v>
      </c>
      <c r="H252" s="128">
        <v>3.8592000000000004</v>
      </c>
      <c r="I252" s="129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30" t="s">
        <v>382</v>
      </c>
      <c r="G253" s="128">
        <v>2.0227200000000001</v>
      </c>
      <c r="H253" s="128">
        <v>143.61312000000001</v>
      </c>
      <c r="I253" s="129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30" t="s">
        <v>384</v>
      </c>
      <c r="G254" s="128">
        <v>2.2089600000000003</v>
      </c>
      <c r="H254" s="128">
        <v>125.91072000000001</v>
      </c>
      <c r="I254" s="129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30" t="s">
        <v>386</v>
      </c>
      <c r="G255" s="128">
        <v>2.3835600000000001</v>
      </c>
      <c r="H255" s="128">
        <v>33.369840000000003</v>
      </c>
      <c r="I255" s="129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30" t="s">
        <v>414</v>
      </c>
      <c r="G256" s="128">
        <v>0.54</v>
      </c>
      <c r="H256" s="128">
        <v>623.16000000000008</v>
      </c>
      <c r="I256" s="129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30" t="s">
        <v>416</v>
      </c>
      <c r="G257" s="128">
        <v>0.63600000000000001</v>
      </c>
      <c r="H257" s="128">
        <v>840.79200000000003</v>
      </c>
      <c r="I257" s="129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30" t="s">
        <v>410</v>
      </c>
      <c r="G258" s="128">
        <v>0.49199999999999999</v>
      </c>
      <c r="H258" s="128">
        <v>0</v>
      </c>
      <c r="I258" s="129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30" t="s">
        <v>400</v>
      </c>
      <c r="G259" s="128">
        <v>0.156</v>
      </c>
      <c r="H259" s="128">
        <v>125.42400000000001</v>
      </c>
      <c r="I259" s="129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30" t="s">
        <v>402</v>
      </c>
      <c r="G260" s="128">
        <v>0.18</v>
      </c>
      <c r="H260" s="128">
        <v>174.42</v>
      </c>
      <c r="I260" s="129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30" t="s">
        <v>398</v>
      </c>
      <c r="G261" s="128">
        <v>0.14399999999999999</v>
      </c>
      <c r="H261" s="128">
        <v>33.263999999999996</v>
      </c>
      <c r="I261" s="129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30" t="s">
        <v>461</v>
      </c>
      <c r="G262" s="128">
        <v>6.0625</v>
      </c>
      <c r="H262" s="128">
        <v>42.4375</v>
      </c>
      <c r="I262" s="129">
        <v>7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30" t="s">
        <v>463</v>
      </c>
      <c r="G263" s="128">
        <v>9.375</v>
      </c>
      <c r="H263" s="128">
        <v>0</v>
      </c>
      <c r="I263" s="129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30" t="s">
        <v>420</v>
      </c>
      <c r="G264" s="128">
        <v>0.86399999999999999</v>
      </c>
      <c r="H264" s="128">
        <v>816.48</v>
      </c>
      <c r="I264" s="129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30" t="s">
        <v>488</v>
      </c>
      <c r="G265" s="128">
        <v>19.8</v>
      </c>
      <c r="H265" s="128">
        <v>79.2</v>
      </c>
      <c r="I265" s="129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30" t="s">
        <v>434</v>
      </c>
      <c r="G266" s="128">
        <v>8.75</v>
      </c>
      <c r="H266" s="128">
        <v>280</v>
      </c>
      <c r="I266" s="129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30" t="s">
        <v>436</v>
      </c>
      <c r="G267" s="128">
        <v>15.625</v>
      </c>
      <c r="H267" s="128">
        <v>156.25</v>
      </c>
      <c r="I267" s="129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30" t="s">
        <v>347</v>
      </c>
      <c r="G268" s="128">
        <v>3</v>
      </c>
      <c r="H268" s="128">
        <v>261</v>
      </c>
      <c r="I268" s="129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30" t="s">
        <v>422</v>
      </c>
      <c r="G269" s="128">
        <v>4.8125</v>
      </c>
      <c r="H269" s="128">
        <v>3306.1875</v>
      </c>
      <c r="I269" s="129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30" t="s">
        <v>423</v>
      </c>
      <c r="G270" s="128">
        <v>4.8125</v>
      </c>
      <c r="H270" s="128">
        <v>486.0625</v>
      </c>
      <c r="I270" s="129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30" t="s">
        <v>192</v>
      </c>
      <c r="G271" s="128">
        <v>0.31900000000000001</v>
      </c>
      <c r="H271" s="128">
        <v>0</v>
      </c>
      <c r="I271" s="129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30" t="s">
        <v>1361</v>
      </c>
      <c r="G272" s="128">
        <v>16.34</v>
      </c>
      <c r="H272" s="128">
        <v>7712.48</v>
      </c>
      <c r="I272" s="129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30" t="s">
        <v>1397</v>
      </c>
      <c r="G273" s="128">
        <v>5.6280000000000001</v>
      </c>
      <c r="H273" s="128">
        <v>11.256</v>
      </c>
      <c r="I273" s="129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30" t="s">
        <v>1398</v>
      </c>
      <c r="G274" s="128">
        <v>0.51600000000000001</v>
      </c>
      <c r="H274" s="128">
        <v>4.1280000000000001</v>
      </c>
      <c r="I274" s="129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30" t="s">
        <v>1399</v>
      </c>
      <c r="G275" s="128">
        <v>2.48</v>
      </c>
      <c r="H275" s="128">
        <v>2.48</v>
      </c>
      <c r="I275" s="129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30" t="s">
        <v>1400</v>
      </c>
      <c r="G276" s="128">
        <v>2.97</v>
      </c>
      <c r="H276" s="128">
        <v>2.97</v>
      </c>
      <c r="I276" s="129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30" t="s">
        <v>1321</v>
      </c>
      <c r="G277" s="128">
        <v>0.31900000000000001</v>
      </c>
      <c r="H277" s="128">
        <v>0</v>
      </c>
      <c r="I277" s="129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7" t="s">
        <v>492</v>
      </c>
      <c r="G278" s="128">
        <v>152.46</v>
      </c>
      <c r="H278" s="128">
        <v>152.46</v>
      </c>
      <c r="I278" s="129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30" t="s">
        <v>493</v>
      </c>
      <c r="G279" s="128">
        <v>30.195000000000004</v>
      </c>
      <c r="H279" s="128">
        <v>30.195000000000004</v>
      </c>
      <c r="I279" s="129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30" t="s">
        <v>495</v>
      </c>
      <c r="G280" s="128">
        <v>23.76</v>
      </c>
      <c r="H280" s="128">
        <v>23.76</v>
      </c>
      <c r="I280" s="129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30" t="s">
        <v>490</v>
      </c>
      <c r="G281" s="128">
        <v>98.50500000000001</v>
      </c>
      <c r="H281" s="128">
        <v>98.50500000000001</v>
      </c>
      <c r="I281" s="129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7" t="s">
        <v>499</v>
      </c>
      <c r="G282" s="128">
        <v>9645.94</v>
      </c>
      <c r="H282" s="128">
        <v>281.25</v>
      </c>
      <c r="I282" s="129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30" t="s">
        <v>506</v>
      </c>
      <c r="G283" s="128">
        <v>1350</v>
      </c>
      <c r="H283" s="128">
        <v>0</v>
      </c>
      <c r="I283" s="129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30" t="s">
        <v>508</v>
      </c>
      <c r="G284" s="128"/>
      <c r="H284" s="128">
        <v>0</v>
      </c>
      <c r="I284" s="129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30" t="s">
        <v>1254</v>
      </c>
      <c r="G285" s="128">
        <v>7609.76</v>
      </c>
      <c r="H285" s="128">
        <v>0</v>
      </c>
      <c r="I285" s="129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30" t="s">
        <v>497</v>
      </c>
      <c r="G286" s="128">
        <v>281.25</v>
      </c>
      <c r="H286" s="128">
        <v>281.25</v>
      </c>
      <c r="I286" s="129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30" t="s">
        <v>504</v>
      </c>
      <c r="G287" s="128"/>
      <c r="H287" s="128">
        <v>0</v>
      </c>
      <c r="I287" s="129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30" t="s">
        <v>501</v>
      </c>
      <c r="G288" s="128">
        <v>404.93</v>
      </c>
      <c r="H288" s="128">
        <v>0</v>
      </c>
      <c r="I288" s="129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30" t="s">
        <v>510</v>
      </c>
      <c r="G289" s="128"/>
      <c r="H289" s="128">
        <v>0</v>
      </c>
      <c r="I289" s="129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7" t="s">
        <v>513</v>
      </c>
      <c r="G290" s="128">
        <v>1300</v>
      </c>
      <c r="H290" s="128">
        <v>2600</v>
      </c>
      <c r="I290" s="129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30" t="s">
        <v>518</v>
      </c>
      <c r="G291" s="128"/>
      <c r="H291" s="128">
        <v>0</v>
      </c>
      <c r="I291" s="129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30" t="s">
        <v>521</v>
      </c>
      <c r="G292" s="128"/>
      <c r="H292" s="128">
        <v>0</v>
      </c>
      <c r="I292" s="129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30" t="s">
        <v>512</v>
      </c>
      <c r="G293" s="128"/>
      <c r="H293" s="128">
        <v>0</v>
      </c>
      <c r="I293" s="129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30" t="s">
        <v>516</v>
      </c>
      <c r="G294" s="128">
        <v>1300</v>
      </c>
      <c r="H294" s="128">
        <v>2600</v>
      </c>
      <c r="I294" s="129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7" t="s">
        <v>525</v>
      </c>
      <c r="G295" s="128"/>
      <c r="H295" s="128">
        <v>0</v>
      </c>
      <c r="I295" s="129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30" t="s">
        <v>528</v>
      </c>
      <c r="G296" s="128"/>
      <c r="H296" s="128">
        <v>0</v>
      </c>
      <c r="I296" s="129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30" t="s">
        <v>1264</v>
      </c>
      <c r="G297" s="128"/>
      <c r="H297" s="128">
        <v>0</v>
      </c>
      <c r="I297" s="129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30" t="s">
        <v>530</v>
      </c>
      <c r="G298" s="128"/>
      <c r="H298" s="128">
        <v>0</v>
      </c>
      <c r="I298" s="129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30" t="s">
        <v>523</v>
      </c>
      <c r="G299" s="128"/>
      <c r="H299" s="128">
        <v>0</v>
      </c>
      <c r="I299" s="129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7" t="s">
        <v>533</v>
      </c>
      <c r="G300" s="128">
        <v>26</v>
      </c>
      <c r="H300" s="128">
        <v>26</v>
      </c>
      <c r="I300" s="129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30" t="s">
        <v>532</v>
      </c>
      <c r="G301" s="128">
        <v>26</v>
      </c>
      <c r="H301" s="128">
        <v>26</v>
      </c>
      <c r="I301" s="129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7" t="s">
        <v>535</v>
      </c>
      <c r="G302" s="128">
        <v>1.1599999999999999</v>
      </c>
      <c r="H302" s="128">
        <v>1050</v>
      </c>
      <c r="I302" s="129">
        <v>2500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30">
        <v>638213</v>
      </c>
      <c r="G303" s="128"/>
      <c r="H303" s="128">
        <v>0</v>
      </c>
      <c r="I303" s="129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30" t="s">
        <v>1509</v>
      </c>
      <c r="G304" s="128">
        <v>0.74</v>
      </c>
      <c r="H304" s="128">
        <v>0</v>
      </c>
      <c r="I304" s="129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30" t="s">
        <v>1381</v>
      </c>
      <c r="G305" s="128">
        <v>0.42</v>
      </c>
      <c r="H305" s="128">
        <v>1050</v>
      </c>
      <c r="I305" s="129">
        <v>2500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7" t="s">
        <v>537</v>
      </c>
      <c r="G306" s="128"/>
      <c r="H306" s="128">
        <v>0</v>
      </c>
      <c r="I306" s="129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30" t="s">
        <v>1246</v>
      </c>
      <c r="G307" s="128"/>
      <c r="H307" s="128">
        <v>0</v>
      </c>
      <c r="I307" s="129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30" t="s">
        <v>1265</v>
      </c>
      <c r="G308" s="128"/>
      <c r="H308" s="128">
        <v>0</v>
      </c>
      <c r="I308" s="129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30" t="s">
        <v>536</v>
      </c>
      <c r="G309" s="128"/>
      <c r="H309" s="128">
        <v>0</v>
      </c>
      <c r="I309" s="129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7" t="s">
        <v>540</v>
      </c>
      <c r="G310" s="128">
        <v>3500</v>
      </c>
      <c r="H310" s="128">
        <v>9460</v>
      </c>
      <c r="I310" s="129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30" t="s">
        <v>1506</v>
      </c>
      <c r="G311" s="128">
        <v>520</v>
      </c>
      <c r="H311" s="128">
        <v>520</v>
      </c>
      <c r="I311" s="129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30" t="s">
        <v>1505</v>
      </c>
      <c r="G312" s="128">
        <v>1380</v>
      </c>
      <c r="H312" s="128">
        <v>4140</v>
      </c>
      <c r="I312" s="129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30" t="s">
        <v>1504</v>
      </c>
      <c r="G313" s="128">
        <v>1600</v>
      </c>
      <c r="H313" s="128">
        <v>4800</v>
      </c>
      <c r="I313" s="129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7" t="s">
        <v>745</v>
      </c>
      <c r="G314" s="128"/>
      <c r="H314" s="128">
        <v>0</v>
      </c>
      <c r="I314" s="129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30" t="s">
        <v>743</v>
      </c>
      <c r="G315" s="128"/>
      <c r="H315" s="128">
        <v>0</v>
      </c>
      <c r="I315" s="129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7" t="s">
        <v>578</v>
      </c>
      <c r="G316" s="128"/>
      <c r="H316" s="128">
        <v>0</v>
      </c>
      <c r="I316" s="129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30" t="s">
        <v>579</v>
      </c>
      <c r="G317" s="128"/>
      <c r="H317" s="128">
        <v>0</v>
      </c>
      <c r="I317" s="129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30" t="s">
        <v>581</v>
      </c>
      <c r="G318" s="128"/>
      <c r="H318" s="128">
        <v>0</v>
      </c>
      <c r="I318" s="129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30" t="s">
        <v>576</v>
      </c>
      <c r="G319" s="128"/>
      <c r="H319" s="128">
        <v>0</v>
      </c>
      <c r="I319" s="129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30" t="s">
        <v>584</v>
      </c>
      <c r="G320" s="128"/>
      <c r="H320" s="128">
        <v>0</v>
      </c>
      <c r="I320" s="129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7" t="s">
        <v>549</v>
      </c>
      <c r="G321" s="128">
        <v>3800</v>
      </c>
      <c r="H321" s="128">
        <v>0</v>
      </c>
      <c r="I321" s="129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30" t="s">
        <v>1256</v>
      </c>
      <c r="G322" s="128"/>
      <c r="H322" s="128">
        <v>0</v>
      </c>
      <c r="I322" s="129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30" t="s">
        <v>1334</v>
      </c>
      <c r="G323" s="128"/>
      <c r="H323" s="128">
        <v>0</v>
      </c>
      <c r="I323" s="129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30" t="s">
        <v>1363</v>
      </c>
      <c r="G324" s="128">
        <v>3800</v>
      </c>
      <c r="H324" s="128">
        <v>0</v>
      </c>
      <c r="I324" s="129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30" t="s">
        <v>1230</v>
      </c>
      <c r="G325" s="128"/>
      <c r="H325" s="128">
        <v>0</v>
      </c>
      <c r="I325" s="129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30" t="s">
        <v>1335</v>
      </c>
      <c r="G326" s="128"/>
      <c r="H326" s="128">
        <v>0</v>
      </c>
      <c r="I326" s="129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30" t="s">
        <v>1323</v>
      </c>
      <c r="G327" s="128"/>
      <c r="H327" s="128">
        <v>0</v>
      </c>
      <c r="I327" s="129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30" t="s">
        <v>1324</v>
      </c>
      <c r="G328" s="128"/>
      <c r="H328" s="128">
        <v>0</v>
      </c>
      <c r="I328" s="129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30" t="s">
        <v>1325</v>
      </c>
      <c r="G329" s="128"/>
      <c r="H329" s="128">
        <v>0</v>
      </c>
      <c r="I329" s="129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30" t="s">
        <v>1326</v>
      </c>
      <c r="G330" s="128"/>
      <c r="H330" s="128">
        <v>0</v>
      </c>
      <c r="I330" s="129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30" t="s">
        <v>1333</v>
      </c>
      <c r="G331" s="128"/>
      <c r="H331" s="128">
        <v>0</v>
      </c>
      <c r="I331" s="129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30" t="s">
        <v>1328</v>
      </c>
      <c r="G332" s="128"/>
      <c r="H332" s="128">
        <v>0</v>
      </c>
      <c r="I332" s="129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30" t="s">
        <v>1331</v>
      </c>
      <c r="G333" s="128"/>
      <c r="H333" s="128">
        <v>0</v>
      </c>
      <c r="I333" s="129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30" t="s">
        <v>1327</v>
      </c>
      <c r="G334" s="128"/>
      <c r="H334" s="128">
        <v>0</v>
      </c>
      <c r="I334" s="129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30" t="s">
        <v>1336</v>
      </c>
      <c r="G335" s="128"/>
      <c r="H335" s="128">
        <v>0</v>
      </c>
      <c r="I335" s="129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30" t="s">
        <v>1330</v>
      </c>
      <c r="G336" s="128"/>
      <c r="H336" s="128">
        <v>0</v>
      </c>
      <c r="I336" s="129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30" t="s">
        <v>1329</v>
      </c>
      <c r="G337" s="128"/>
      <c r="H337" s="128">
        <v>0</v>
      </c>
      <c r="I337" s="129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30" t="s">
        <v>1322</v>
      </c>
      <c r="G338" s="128"/>
      <c r="H338" s="128">
        <v>0</v>
      </c>
      <c r="I338" s="129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30" t="s">
        <v>1332</v>
      </c>
      <c r="G339" s="128"/>
      <c r="H339" s="128">
        <v>0</v>
      </c>
      <c r="I339" s="129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30" t="s">
        <v>1255</v>
      </c>
      <c r="G340" s="128"/>
      <c r="H340" s="128">
        <v>0</v>
      </c>
      <c r="I340" s="129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30" t="s">
        <v>554</v>
      </c>
      <c r="G341" s="128"/>
      <c r="H341" s="128">
        <v>0</v>
      </c>
      <c r="I341" s="129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7" t="s">
        <v>588</v>
      </c>
      <c r="G342" s="128">
        <v>30</v>
      </c>
      <c r="H342" s="128">
        <v>120</v>
      </c>
      <c r="I342" s="129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30" t="s">
        <v>586</v>
      </c>
      <c r="G343" s="128">
        <v>30</v>
      </c>
      <c r="H343" s="128">
        <v>120</v>
      </c>
      <c r="I343" s="129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7" t="s">
        <v>590</v>
      </c>
      <c r="G344" s="128"/>
      <c r="H344" s="128">
        <v>0</v>
      </c>
      <c r="I344" s="129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30">
        <v>20030658</v>
      </c>
      <c r="G345" s="128"/>
      <c r="H345" s="128">
        <v>0</v>
      </c>
      <c r="I345" s="129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7" t="s">
        <v>594</v>
      </c>
      <c r="G346" s="128">
        <v>48296.144000000008</v>
      </c>
      <c r="H346" s="128">
        <v>276322.24000000005</v>
      </c>
      <c r="I346" s="129">
        <v>867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1" t="s">
        <v>592</v>
      </c>
      <c r="G347" s="128"/>
      <c r="H347" s="128">
        <v>0</v>
      </c>
      <c r="I347" s="129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595</v>
      </c>
      <c r="G348" s="128">
        <v>25.89</v>
      </c>
      <c r="H348" s="128">
        <v>517.79999999999995</v>
      </c>
      <c r="I348" s="129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596</v>
      </c>
      <c r="G349" s="128">
        <v>39.15</v>
      </c>
      <c r="H349" s="128">
        <v>0</v>
      </c>
      <c r="I349" s="129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597</v>
      </c>
      <c r="G350" s="128">
        <v>205</v>
      </c>
      <c r="H350" s="128">
        <v>1230</v>
      </c>
      <c r="I350" s="129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599</v>
      </c>
      <c r="G351" s="128"/>
      <c r="H351" s="128">
        <v>0</v>
      </c>
      <c r="I351" s="129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1267</v>
      </c>
      <c r="G352" s="128">
        <v>190.36</v>
      </c>
      <c r="H352" s="128">
        <v>19797.440000000002</v>
      </c>
      <c r="I352" s="129">
        <v>104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605</v>
      </c>
      <c r="G353" s="128">
        <v>324.52999999999997</v>
      </c>
      <c r="H353" s="128">
        <v>324.52999999999997</v>
      </c>
      <c r="I353" s="129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1" t="s">
        <v>1243</v>
      </c>
      <c r="G354" s="128"/>
      <c r="H354" s="128">
        <v>0</v>
      </c>
      <c r="I354" s="129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607</v>
      </c>
      <c r="G355" s="128">
        <v>559.26</v>
      </c>
      <c r="H355" s="128">
        <v>559.26</v>
      </c>
      <c r="I355" s="129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1" t="s">
        <v>609</v>
      </c>
      <c r="G356" s="128"/>
      <c r="H356" s="128">
        <v>0</v>
      </c>
      <c r="I356" s="129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 t="s">
        <v>611</v>
      </c>
      <c r="G357" s="128">
        <v>249</v>
      </c>
      <c r="H357" s="128">
        <v>0</v>
      </c>
      <c r="I357" s="129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1" t="s">
        <v>613</v>
      </c>
      <c r="G358" s="128">
        <v>264.27</v>
      </c>
      <c r="H358" s="128">
        <v>6078.2099999999991</v>
      </c>
      <c r="I358" s="129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1" t="s">
        <v>615</v>
      </c>
      <c r="G359" s="128">
        <v>392.16</v>
      </c>
      <c r="H359" s="128">
        <v>41961.120000000003</v>
      </c>
      <c r="I359" s="129">
        <v>107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1" t="s">
        <v>1268</v>
      </c>
      <c r="G360" s="128"/>
      <c r="H360" s="128">
        <v>0</v>
      </c>
      <c r="I360" s="129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1" t="s">
        <v>618</v>
      </c>
      <c r="G361" s="128">
        <v>350</v>
      </c>
      <c r="H361" s="128">
        <v>0</v>
      </c>
      <c r="I361" s="129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1" t="s">
        <v>621</v>
      </c>
      <c r="G362" s="128"/>
      <c r="H362" s="128">
        <v>0</v>
      </c>
      <c r="I362" s="129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1" t="s">
        <v>623</v>
      </c>
      <c r="G363" s="128">
        <v>724.8</v>
      </c>
      <c r="H363" s="128">
        <v>0</v>
      </c>
      <c r="I363" s="129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1" t="s">
        <v>625</v>
      </c>
      <c r="G364" s="128">
        <v>525</v>
      </c>
      <c r="H364" s="128">
        <v>525</v>
      </c>
      <c r="I364" s="129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1" t="s">
        <v>627</v>
      </c>
      <c r="G365" s="128">
        <v>621.6</v>
      </c>
      <c r="H365" s="128">
        <v>48484.800000000003</v>
      </c>
      <c r="I365" s="129">
        <v>78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1" t="s">
        <v>630</v>
      </c>
      <c r="G366" s="128"/>
      <c r="H366" s="128">
        <v>0</v>
      </c>
      <c r="I366" s="129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1" t="s">
        <v>633</v>
      </c>
      <c r="G367" s="128">
        <v>813.96</v>
      </c>
      <c r="H367" s="128">
        <v>0</v>
      </c>
      <c r="I367" s="129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0" t="s">
        <v>635</v>
      </c>
      <c r="G368" s="128"/>
      <c r="H368" s="128">
        <v>0</v>
      </c>
      <c r="I368" s="129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1" t="s">
        <v>637</v>
      </c>
      <c r="G369" s="132">
        <v>17</v>
      </c>
      <c r="H369" s="132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0" t="s">
        <v>1351</v>
      </c>
      <c r="G370" s="128"/>
      <c r="H370" s="128">
        <v>0</v>
      </c>
      <c r="I370" s="129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1" t="s">
        <v>1352</v>
      </c>
      <c r="G371" s="128">
        <v>200</v>
      </c>
      <c r="H371" s="128">
        <v>400</v>
      </c>
      <c r="I371" s="129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1" t="s">
        <v>1171</v>
      </c>
      <c r="G372" s="128">
        <v>207.53</v>
      </c>
      <c r="H372" s="128">
        <v>0</v>
      </c>
      <c r="I372" s="129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0" t="s">
        <v>1486</v>
      </c>
      <c r="G373" s="128">
        <v>131.33000000000001</v>
      </c>
      <c r="H373" s="128">
        <v>55946.58</v>
      </c>
      <c r="I373" s="129">
        <v>426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1" t="s">
        <v>639</v>
      </c>
      <c r="G374" s="128">
        <v>460</v>
      </c>
      <c r="H374" s="128">
        <v>460</v>
      </c>
      <c r="I374" s="129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1" t="s">
        <v>1172</v>
      </c>
      <c r="G375" s="128">
        <v>395</v>
      </c>
      <c r="H375" s="128">
        <v>2370</v>
      </c>
      <c r="I375" s="129">
        <v>6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1" t="s">
        <v>641</v>
      </c>
      <c r="G376" s="128"/>
      <c r="H376" s="128">
        <v>0</v>
      </c>
      <c r="I376" s="129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1" t="s">
        <v>1266</v>
      </c>
      <c r="G377" s="128">
        <v>80.739999999999995</v>
      </c>
      <c r="H377" s="128">
        <v>161.47999999999999</v>
      </c>
      <c r="I377" s="129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0" t="s">
        <v>1350</v>
      </c>
      <c r="G378" s="128"/>
      <c r="H378" s="128">
        <v>0</v>
      </c>
      <c r="I378" s="129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1" t="s">
        <v>643</v>
      </c>
      <c r="G379" s="128"/>
      <c r="H379" s="128">
        <v>0</v>
      </c>
      <c r="I379" s="129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0" t="s">
        <v>688</v>
      </c>
      <c r="G380" s="128"/>
      <c r="H380" s="128">
        <v>0</v>
      </c>
      <c r="I380" s="129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1" t="s">
        <v>648</v>
      </c>
      <c r="G381" s="128">
        <v>530</v>
      </c>
      <c r="H381" s="128">
        <v>0</v>
      </c>
      <c r="I381" s="129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645</v>
      </c>
      <c r="G382" s="128">
        <v>1775</v>
      </c>
      <c r="H382" s="128">
        <v>1775</v>
      </c>
      <c r="I382" s="129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1" t="s">
        <v>650</v>
      </c>
      <c r="G383" s="128">
        <v>875.72</v>
      </c>
      <c r="H383" s="128">
        <v>0</v>
      </c>
      <c r="I383" s="129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1" t="s">
        <v>1269</v>
      </c>
      <c r="G384" s="128"/>
      <c r="H384" s="128">
        <v>0</v>
      </c>
      <c r="I384" s="129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653</v>
      </c>
      <c r="G385" s="128">
        <v>975</v>
      </c>
      <c r="H385" s="128">
        <v>0</v>
      </c>
      <c r="I385" s="129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1" t="s">
        <v>656</v>
      </c>
      <c r="G386" s="128"/>
      <c r="H386" s="128">
        <v>0</v>
      </c>
      <c r="I386" s="129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1" t="s">
        <v>660</v>
      </c>
      <c r="G387" s="128">
        <v>1323</v>
      </c>
      <c r="H387" s="128">
        <v>0</v>
      </c>
      <c r="I387" s="129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0" t="s">
        <v>1388</v>
      </c>
      <c r="G388" s="128"/>
      <c r="H388" s="128">
        <v>0</v>
      </c>
      <c r="I388" s="129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1" t="s">
        <v>666</v>
      </c>
      <c r="G389" s="128"/>
      <c r="H389" s="128">
        <v>0</v>
      </c>
      <c r="I389" s="129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663</v>
      </c>
      <c r="G390" s="128">
        <v>1348</v>
      </c>
      <c r="H390" s="128">
        <v>0</v>
      </c>
      <c r="I390" s="129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1" t="s">
        <v>668</v>
      </c>
      <c r="G391" s="128">
        <v>3000</v>
      </c>
      <c r="H391" s="128">
        <v>12000</v>
      </c>
      <c r="I391" s="129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1173</v>
      </c>
      <c r="G392" s="128">
        <v>1094.81</v>
      </c>
      <c r="H392" s="128">
        <v>0</v>
      </c>
      <c r="I392" s="129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1" t="s">
        <v>1174</v>
      </c>
      <c r="G393" s="128"/>
      <c r="H393" s="128">
        <v>0</v>
      </c>
      <c r="I393" s="129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1" t="s">
        <v>670</v>
      </c>
      <c r="G394" s="128">
        <v>5138.74</v>
      </c>
      <c r="H394" s="128">
        <v>0</v>
      </c>
      <c r="I394" s="129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1" t="s">
        <v>1175</v>
      </c>
      <c r="G395" s="128">
        <v>3961.71</v>
      </c>
      <c r="H395" s="128">
        <v>7923.42</v>
      </c>
      <c r="I395" s="129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1" t="s">
        <v>672</v>
      </c>
      <c r="G396" s="128"/>
      <c r="H396" s="128">
        <v>0</v>
      </c>
      <c r="I396" s="129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1" t="s">
        <v>675</v>
      </c>
      <c r="G397" s="128"/>
      <c r="H397" s="128">
        <v>0</v>
      </c>
      <c r="I397" s="129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1" t="s">
        <v>1176</v>
      </c>
      <c r="G398" s="128">
        <v>711.31</v>
      </c>
      <c r="H398" s="128">
        <v>711.31</v>
      </c>
      <c r="I398" s="129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1" t="s">
        <v>1270</v>
      </c>
      <c r="G399" s="128">
        <v>1692.44</v>
      </c>
      <c r="H399" s="128">
        <v>5077.32</v>
      </c>
      <c r="I399" s="129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677</v>
      </c>
      <c r="G400" s="128"/>
      <c r="H400" s="128">
        <v>0</v>
      </c>
      <c r="I400" s="129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1" t="s">
        <v>1177</v>
      </c>
      <c r="G401" s="128">
        <v>1030.18</v>
      </c>
      <c r="H401" s="128">
        <v>2060.36</v>
      </c>
      <c r="I401" s="129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1" t="s">
        <v>1271</v>
      </c>
      <c r="G402" s="128"/>
      <c r="H402" s="128">
        <v>0</v>
      </c>
      <c r="I402" s="129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1" t="s">
        <v>679</v>
      </c>
      <c r="G403" s="128">
        <v>1843.48</v>
      </c>
      <c r="H403" s="128">
        <v>11060.880000000001</v>
      </c>
      <c r="I403" s="129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1" t="s">
        <v>681</v>
      </c>
      <c r="G404" s="128">
        <v>1833</v>
      </c>
      <c r="H404" s="128">
        <v>25662</v>
      </c>
      <c r="I404" s="129">
        <v>14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1" t="s">
        <v>684</v>
      </c>
      <c r="G405" s="128">
        <v>2782.61</v>
      </c>
      <c r="H405" s="128">
        <v>19478.27</v>
      </c>
      <c r="I405" s="129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1" t="s">
        <v>686</v>
      </c>
      <c r="G406" s="128"/>
      <c r="H406" s="128">
        <v>0</v>
      </c>
      <c r="I406" s="129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1" t="s">
        <v>1170</v>
      </c>
      <c r="G407" s="128">
        <v>122.16</v>
      </c>
      <c r="H407" s="128">
        <v>244.32</v>
      </c>
      <c r="I407" s="129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0" t="s">
        <v>1500</v>
      </c>
      <c r="G408" s="128">
        <v>5680.5839999999998</v>
      </c>
      <c r="H408" s="128">
        <v>0</v>
      </c>
      <c r="I408" s="129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1" t="s">
        <v>603</v>
      </c>
      <c r="G409" s="128"/>
      <c r="H409" s="128">
        <v>0</v>
      </c>
      <c r="I409" s="129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1" t="s">
        <v>690</v>
      </c>
      <c r="G410" s="128">
        <v>12.78</v>
      </c>
      <c r="H410" s="128">
        <v>345.06</v>
      </c>
      <c r="I410" s="129">
        <v>27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1" t="s">
        <v>1353</v>
      </c>
      <c r="G411" s="128"/>
      <c r="H411" s="128">
        <v>0</v>
      </c>
      <c r="I411" s="129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1" t="s">
        <v>1337</v>
      </c>
      <c r="G412" s="128"/>
      <c r="H412" s="128">
        <v>0</v>
      </c>
      <c r="I412" s="129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1" t="s">
        <v>1338</v>
      </c>
      <c r="G413" s="128">
        <v>5125.82</v>
      </c>
      <c r="H413" s="128">
        <v>10251.64</v>
      </c>
      <c r="I413" s="129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1" t="s">
        <v>1169</v>
      </c>
      <c r="G414" s="128"/>
      <c r="H414" s="128">
        <v>0</v>
      </c>
      <c r="I414" s="129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1" t="s">
        <v>693</v>
      </c>
      <c r="G415" s="128">
        <v>458.22</v>
      </c>
      <c r="H415" s="128">
        <v>916.44</v>
      </c>
      <c r="I415" s="129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1" t="s">
        <v>600</v>
      </c>
      <c r="G416" s="128">
        <v>205</v>
      </c>
      <c r="H416" s="128">
        <v>0</v>
      </c>
      <c r="I416" s="129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7" t="s">
        <v>697</v>
      </c>
      <c r="G417" s="128">
        <v>8109.4800000000005</v>
      </c>
      <c r="H417" s="128">
        <v>45977.67</v>
      </c>
      <c r="I417" s="129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0" t="s">
        <v>695</v>
      </c>
      <c r="G418" s="128">
        <v>236</v>
      </c>
      <c r="H418" s="128">
        <v>236</v>
      </c>
      <c r="I418" s="129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0" t="s">
        <v>1379</v>
      </c>
      <c r="G419" s="128">
        <v>263</v>
      </c>
      <c r="H419" s="128">
        <v>263</v>
      </c>
      <c r="I419" s="129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0" t="s">
        <v>1386</v>
      </c>
      <c r="G420" s="128">
        <v>415</v>
      </c>
      <c r="H420" s="128">
        <v>0</v>
      </c>
      <c r="I420" s="129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0" t="s">
        <v>1247</v>
      </c>
      <c r="G421" s="128"/>
      <c r="H421" s="128">
        <v>0</v>
      </c>
      <c r="I421" s="129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0" t="s">
        <v>1248</v>
      </c>
      <c r="G422" s="128"/>
      <c r="H422" s="128">
        <v>0</v>
      </c>
      <c r="I422" s="129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0" t="s">
        <v>698</v>
      </c>
      <c r="G423" s="128">
        <v>462.33</v>
      </c>
      <c r="H423" s="128">
        <v>2311.65</v>
      </c>
      <c r="I423" s="129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0" t="s">
        <v>700</v>
      </c>
      <c r="G424" s="128">
        <v>263</v>
      </c>
      <c r="H424" s="128">
        <v>789</v>
      </c>
      <c r="I424" s="129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0" t="s">
        <v>702</v>
      </c>
      <c r="G425" s="128">
        <v>96.1</v>
      </c>
      <c r="H425" s="128">
        <v>0</v>
      </c>
      <c r="I425" s="129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0" t="s">
        <v>704</v>
      </c>
      <c r="G426" s="128">
        <v>96</v>
      </c>
      <c r="H426" s="128">
        <v>96</v>
      </c>
      <c r="I426" s="129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0" t="s">
        <v>706</v>
      </c>
      <c r="G427" s="128">
        <v>18</v>
      </c>
      <c r="H427" s="128">
        <v>36</v>
      </c>
      <c r="I427" s="129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30" t="s">
        <v>708</v>
      </c>
      <c r="G428" s="128">
        <v>30</v>
      </c>
      <c r="H428" s="128">
        <v>120</v>
      </c>
      <c r="I428" s="129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30" t="s">
        <v>711</v>
      </c>
      <c r="G429" s="128">
        <v>149.16999999999999</v>
      </c>
      <c r="H429" s="128">
        <v>0</v>
      </c>
      <c r="I429" s="129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30" t="s">
        <v>713</v>
      </c>
      <c r="G430" s="128"/>
      <c r="H430" s="128">
        <v>0</v>
      </c>
      <c r="I430" s="129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30" t="s">
        <v>1309</v>
      </c>
      <c r="G431" s="128"/>
      <c r="H431" s="128">
        <v>0</v>
      </c>
      <c r="I431" s="129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30" t="s">
        <v>715</v>
      </c>
      <c r="G432" s="128">
        <v>625</v>
      </c>
      <c r="H432" s="128">
        <v>0</v>
      </c>
      <c r="I432" s="129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30" t="s">
        <v>717</v>
      </c>
      <c r="G433" s="128">
        <v>490</v>
      </c>
      <c r="H433" s="128">
        <v>9800</v>
      </c>
      <c r="I433" s="129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30" t="s">
        <v>719</v>
      </c>
      <c r="G434" s="128">
        <v>184</v>
      </c>
      <c r="H434" s="128">
        <v>0</v>
      </c>
      <c r="I434" s="129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30" t="s">
        <v>722</v>
      </c>
      <c r="G435" s="128">
        <v>227</v>
      </c>
      <c r="H435" s="128">
        <v>1135</v>
      </c>
      <c r="I435" s="129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30" t="s">
        <v>724</v>
      </c>
      <c r="G436" s="128">
        <v>400</v>
      </c>
      <c r="H436" s="128">
        <v>1200</v>
      </c>
      <c r="I436" s="129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30" t="s">
        <v>726</v>
      </c>
      <c r="G437" s="128">
        <v>883</v>
      </c>
      <c r="H437" s="128">
        <v>3532</v>
      </c>
      <c r="I437" s="129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30" t="s">
        <v>728</v>
      </c>
      <c r="G438" s="128">
        <v>805</v>
      </c>
      <c r="H438" s="128">
        <v>7245</v>
      </c>
      <c r="I438" s="129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30" t="s">
        <v>730</v>
      </c>
      <c r="G439" s="128">
        <v>1108</v>
      </c>
      <c r="H439" s="128">
        <v>12188</v>
      </c>
      <c r="I439" s="129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30" t="s">
        <v>732</v>
      </c>
      <c r="G440" s="128">
        <v>930</v>
      </c>
      <c r="H440" s="128">
        <v>930</v>
      </c>
      <c r="I440" s="129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30" t="s">
        <v>734</v>
      </c>
      <c r="G441" s="128">
        <v>98</v>
      </c>
      <c r="H441" s="128">
        <v>1568</v>
      </c>
      <c r="I441" s="129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30" t="s">
        <v>736</v>
      </c>
      <c r="G442" s="128">
        <v>71.38</v>
      </c>
      <c r="H442" s="128">
        <v>3854.5199999999995</v>
      </c>
      <c r="I442" s="129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30" t="s">
        <v>1122</v>
      </c>
      <c r="G443" s="128">
        <v>46</v>
      </c>
      <c r="H443" s="128">
        <v>460</v>
      </c>
      <c r="I443" s="129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30" t="s">
        <v>738</v>
      </c>
      <c r="G444" s="128">
        <v>213.5</v>
      </c>
      <c r="H444" s="128">
        <v>213.5</v>
      </c>
      <c r="I444" s="129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7" t="s">
        <v>742</v>
      </c>
      <c r="G445" s="128"/>
      <c r="H445" s="128">
        <v>0</v>
      </c>
      <c r="I445" s="129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30" t="s">
        <v>740</v>
      </c>
      <c r="G446" s="128"/>
      <c r="H446" s="128">
        <v>0</v>
      </c>
      <c r="I446" s="129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7" t="s">
        <v>1158</v>
      </c>
      <c r="G447" s="128"/>
      <c r="H447" s="128">
        <v>0</v>
      </c>
      <c r="I447" s="129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30" t="s">
        <v>68</v>
      </c>
      <c r="G448" s="128"/>
      <c r="H448" s="128">
        <v>0</v>
      </c>
      <c r="I448" s="129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30" t="s">
        <v>65</v>
      </c>
      <c r="G449" s="128"/>
      <c r="H449" s="128">
        <v>0</v>
      </c>
      <c r="I449" s="129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30" t="s">
        <v>67</v>
      </c>
      <c r="G450" s="128"/>
      <c r="H450" s="128">
        <v>0</v>
      </c>
      <c r="I450" s="129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30" t="s">
        <v>63</v>
      </c>
      <c r="G451" s="128"/>
      <c r="H451" s="128">
        <v>0</v>
      </c>
      <c r="I451" s="129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30" t="s">
        <v>70</v>
      </c>
      <c r="G452" s="128"/>
      <c r="H452" s="128">
        <v>0</v>
      </c>
      <c r="I452" s="129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7" t="s">
        <v>1166</v>
      </c>
      <c r="G453" s="128"/>
      <c r="H453" s="128">
        <v>0</v>
      </c>
      <c r="I453" s="129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30" t="s">
        <v>574</v>
      </c>
      <c r="G454" s="128"/>
      <c r="H454" s="128">
        <v>0</v>
      </c>
      <c r="I454" s="129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7" t="s">
        <v>773</v>
      </c>
      <c r="G455" s="128"/>
      <c r="H455" s="128">
        <v>0</v>
      </c>
      <c r="I455" s="129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30" t="s">
        <v>1235</v>
      </c>
      <c r="G456" s="128"/>
      <c r="H456" s="128">
        <v>0</v>
      </c>
      <c r="I456" s="129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30" t="s">
        <v>1234</v>
      </c>
      <c r="G457" s="128"/>
      <c r="H457" s="128">
        <v>0</v>
      </c>
      <c r="I457" s="129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30" t="s">
        <v>1236</v>
      </c>
      <c r="G458" s="128"/>
      <c r="H458" s="128">
        <v>0</v>
      </c>
      <c r="I458" s="129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7" t="s">
        <v>1259</v>
      </c>
      <c r="G459" s="128"/>
      <c r="H459" s="128">
        <v>0</v>
      </c>
      <c r="I459" s="129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30">
        <v>3310016001</v>
      </c>
      <c r="G460" s="128"/>
      <c r="H460" s="128">
        <v>0</v>
      </c>
      <c r="I460" s="129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7" t="s">
        <v>748</v>
      </c>
      <c r="G461" s="128"/>
      <c r="H461" s="128">
        <v>0</v>
      </c>
      <c r="I461" s="129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30" t="s">
        <v>747</v>
      </c>
      <c r="G462" s="128"/>
      <c r="H462" s="128">
        <v>0</v>
      </c>
      <c r="I462" s="129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7" t="s">
        <v>1373</v>
      </c>
      <c r="G463" s="128">
        <v>475</v>
      </c>
      <c r="H463" s="128">
        <v>0</v>
      </c>
      <c r="I463" s="129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30" t="s">
        <v>1370</v>
      </c>
      <c r="G464" s="128">
        <v>475</v>
      </c>
      <c r="H464" s="128">
        <v>0</v>
      </c>
      <c r="I464" s="129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7" t="s">
        <v>1461</v>
      </c>
      <c r="G465" s="128"/>
      <c r="H465" s="128">
        <v>0</v>
      </c>
      <c r="I465" s="129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30" t="s">
        <v>1457</v>
      </c>
      <c r="G466" s="128"/>
      <c r="H466" s="128">
        <v>0</v>
      </c>
      <c r="I466" s="129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7" t="s">
        <v>1518</v>
      </c>
      <c r="G467" s="128">
        <v>260.93233218133309</v>
      </c>
      <c r="H467" s="128">
        <v>260.93233218133309</v>
      </c>
      <c r="I467" s="129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30" t="s">
        <v>1515</v>
      </c>
      <c r="G468" s="128">
        <v>125.84795848296203</v>
      </c>
      <c r="H468" s="128">
        <v>125.84795848296203</v>
      </c>
      <c r="I468" s="129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30" t="s">
        <v>1514</v>
      </c>
      <c r="G469" s="128">
        <v>135.08437369837105</v>
      </c>
      <c r="H469" s="128">
        <v>135.08437369837105</v>
      </c>
      <c r="I469" s="129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7" t="s">
        <v>1155</v>
      </c>
      <c r="G470" s="128">
        <v>88089.487317621344</v>
      </c>
      <c r="H470" s="128">
        <v>448667.50664322136</v>
      </c>
      <c r="I470" s="129">
        <v>67319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62"/>
      <c r="G471" s="62"/>
      <c r="H471" s="62"/>
      <c r="I471" s="62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62"/>
      <c r="G472" s="62"/>
      <c r="H472" s="62"/>
      <c r="I472" s="62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62"/>
      <c r="G473" s="62"/>
      <c r="H473" s="62"/>
      <c r="I473" s="62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62"/>
      <c r="G474" s="62"/>
      <c r="H474" s="62"/>
      <c r="I474" s="62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62"/>
      <c r="G475" s="62"/>
      <c r="H475" s="62"/>
      <c r="I475" s="62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K476" s="53"/>
      <c r="L476" s="53"/>
    </row>
    <row r="477" spans="1:74" x14ac:dyDescent="0.35">
      <c r="K477" s="53"/>
      <c r="L477" s="53"/>
    </row>
    <row r="478" spans="1:74" x14ac:dyDescent="0.35">
      <c r="K478" s="53"/>
      <c r="L478" s="53"/>
    </row>
  </sheetData>
  <mergeCells count="2">
    <mergeCell ref="Y1:AE1"/>
    <mergeCell ref="X2:AB2"/>
  </mergeCells>
  <pageMargins left="0.7" right="0.7" top="0.75" bottom="0.75" header="0.3" footer="0.3"/>
  <ignoredErrors>
    <ignoredError sqref="L6:L10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F432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0" width="14.26953125" style="76" customWidth="1"/>
    <col min="111" max="16384" width="8.90625" style="13"/>
  </cols>
  <sheetData>
    <row r="1" spans="1:11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1537</v>
      </c>
    </row>
    <row r="2" spans="1:11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M2*DF2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</row>
    <row r="3" spans="1:11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M3*DF3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</row>
    <row r="4" spans="1:11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</row>
    <row r="5" spans="1:11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</row>
    <row r="6" spans="1:11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</row>
    <row r="7" spans="1:11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</row>
    <row r="8" spans="1:11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</row>
    <row r="9" spans="1:11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</row>
    <row r="10" spans="1:11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</row>
    <row r="11" spans="1:11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</row>
    <row r="12" spans="1:11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</row>
    <row r="13" spans="1:11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</row>
    <row r="14" spans="1:11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</row>
    <row r="15" spans="1:11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</row>
    <row r="16" spans="1:11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</row>
    <row r="17" spans="1:11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</row>
    <row r="18" spans="1:11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</row>
    <row r="19" spans="1:11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75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</row>
    <row r="20" spans="1:11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</row>
    <row r="21" spans="1:11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</row>
    <row r="22" spans="1:11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</row>
    <row r="23" spans="1:11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</row>
    <row r="24" spans="1:11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</row>
    <row r="25" spans="1:11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</row>
    <row r="26" spans="1:11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</row>
    <row r="27" spans="1:11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</row>
    <row r="28" spans="1:110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</row>
    <row r="29" spans="1:110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</row>
    <row r="30" spans="1:110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</row>
    <row r="31" spans="1:110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</row>
    <row r="32" spans="1:110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</row>
    <row r="33" spans="1:110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</row>
    <row r="34" spans="1:110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</row>
    <row r="35" spans="1:110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</row>
    <row r="36" spans="1:110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</row>
    <row r="37" spans="1:110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</row>
    <row r="38" spans="1:110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</row>
    <row r="39" spans="1:110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</row>
    <row r="40" spans="1:110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</row>
    <row r="41" spans="1:110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</row>
    <row r="42" spans="1:110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</row>
    <row r="43" spans="1:110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</row>
    <row r="44" spans="1:110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</row>
    <row r="45" spans="1:110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</row>
    <row r="46" spans="1:110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</row>
    <row r="47" spans="1:110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</row>
    <row r="48" spans="1:110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</row>
    <row r="49" spans="1:110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</row>
    <row r="50" spans="1:110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</row>
    <row r="51" spans="1:110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</row>
    <row r="52" spans="1:110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</row>
    <row r="53" spans="1:110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</row>
    <row r="54" spans="1:110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</row>
    <row r="55" spans="1:110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</row>
    <row r="56" spans="1:110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</row>
    <row r="57" spans="1:110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</row>
    <row r="58" spans="1:110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</row>
    <row r="59" spans="1:110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</row>
    <row r="60" spans="1:110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</row>
    <row r="61" spans="1:110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</row>
    <row r="62" spans="1:110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</row>
    <row r="63" spans="1:110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</row>
    <row r="64" spans="1:110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</row>
    <row r="65" spans="1:110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</row>
    <row r="66" spans="1:110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</row>
    <row r="67" spans="1:110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M67*DF67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</row>
    <row r="68" spans="1:110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</row>
    <row r="69" spans="1:110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</row>
    <row r="70" spans="1:110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</row>
    <row r="71" spans="1:110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</row>
    <row r="72" spans="1:110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</row>
    <row r="73" spans="1:110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460.65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</row>
    <row r="74" spans="1:110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30.599999999999998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</row>
    <row r="75" spans="1:110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</row>
    <row r="76" spans="1:110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</row>
    <row r="77" spans="1:110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</row>
    <row r="78" spans="1:110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</row>
    <row r="79" spans="1:110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</row>
    <row r="80" spans="1:110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</row>
    <row r="81" spans="1:110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</row>
    <row r="82" spans="1:110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</row>
    <row r="83" spans="1:110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</row>
    <row r="84" spans="1:110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</row>
    <row r="85" spans="1:110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</row>
    <row r="86" spans="1:110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</row>
    <row r="87" spans="1:110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</row>
    <row r="88" spans="1:110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</row>
    <row r="89" spans="1:110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</row>
    <row r="90" spans="1:110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</row>
    <row r="91" spans="1:110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</row>
    <row r="92" spans="1:110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</row>
    <row r="93" spans="1:110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</row>
    <row r="94" spans="1:110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</row>
    <row r="95" spans="1:110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</row>
    <row r="96" spans="1:110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</row>
    <row r="97" spans="1:110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</row>
    <row r="98" spans="1:110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</row>
    <row r="99" spans="1:110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</row>
    <row r="100" spans="1:110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</row>
    <row r="101" spans="1:110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</row>
    <row r="102" spans="1:110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</row>
    <row r="103" spans="1:110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</row>
    <row r="104" spans="1:110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</row>
    <row r="105" spans="1:110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</row>
    <row r="106" spans="1:110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</row>
    <row r="107" spans="1:110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</row>
    <row r="108" spans="1:110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</row>
    <row r="109" spans="1:110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</row>
    <row r="110" spans="1:110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</row>
    <row r="111" spans="1:110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</row>
    <row r="112" spans="1:110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</row>
    <row r="113" spans="1:110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</row>
    <row r="114" spans="1:110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</row>
    <row r="115" spans="1:110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</row>
    <row r="116" spans="1:110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</row>
    <row r="117" spans="1:110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</row>
    <row r="118" spans="1:110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</row>
    <row r="119" spans="1:110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</row>
    <row r="120" spans="1:110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</row>
    <row r="121" spans="1:110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</row>
    <row r="122" spans="1:110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</row>
    <row r="123" spans="1:110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</row>
    <row r="124" spans="1:110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</row>
    <row r="125" spans="1:110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</row>
    <row r="126" spans="1:110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</row>
    <row r="127" spans="1:110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</row>
    <row r="128" spans="1:110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</row>
    <row r="129" spans="1:110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</row>
    <row r="130" spans="1:110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</row>
    <row r="131" spans="1:110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M131*DF131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</row>
    <row r="132" spans="1:110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</row>
    <row r="133" spans="1:110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</row>
    <row r="134" spans="1:110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</row>
    <row r="135" spans="1:110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</row>
    <row r="136" spans="1:110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</row>
    <row r="137" spans="1:110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</row>
    <row r="138" spans="1:110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</row>
    <row r="139" spans="1:110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</row>
    <row r="140" spans="1:110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</row>
    <row r="141" spans="1:110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</row>
    <row r="142" spans="1:110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</row>
    <row r="143" spans="1:110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</row>
    <row r="144" spans="1:110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</row>
    <row r="145" spans="1:110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</row>
    <row r="146" spans="1:110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</row>
    <row r="147" spans="1:110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</row>
    <row r="148" spans="1:110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</row>
    <row r="149" spans="1:110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</row>
    <row r="150" spans="1:110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</row>
    <row r="151" spans="1:110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</row>
    <row r="152" spans="1:110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</row>
    <row r="153" spans="1:110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</row>
    <row r="154" spans="1:110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</row>
    <row r="155" spans="1:110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</row>
    <row r="156" spans="1:110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</row>
    <row r="157" spans="1:110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</row>
    <row r="158" spans="1:110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7.5967199999999995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</row>
    <row r="159" spans="1:110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184.95119999999997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</row>
    <row r="160" spans="1:110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</row>
    <row r="161" spans="1:110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</row>
    <row r="162" spans="1:110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</row>
    <row r="163" spans="1:110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</row>
    <row r="164" spans="1:110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</row>
    <row r="165" spans="1:110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</row>
    <row r="166" spans="1:110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</row>
    <row r="167" spans="1:110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</row>
    <row r="168" spans="1:110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</row>
    <row r="169" spans="1:110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</row>
    <row r="170" spans="1:110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</row>
    <row r="171" spans="1:110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</row>
    <row r="172" spans="1:110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</row>
    <row r="173" spans="1:110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</row>
    <row r="174" spans="1:110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</row>
    <row r="175" spans="1:110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</row>
    <row r="176" spans="1:110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</row>
    <row r="177" spans="1:110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</row>
    <row r="178" spans="1:110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</row>
    <row r="179" spans="1:110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</row>
    <row r="180" spans="1:110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</row>
    <row r="181" spans="1:110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</row>
    <row r="182" spans="1:110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578.4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</row>
    <row r="183" spans="1:110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</row>
    <row r="184" spans="1:110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</row>
    <row r="185" spans="1:110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</row>
    <row r="186" spans="1:110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</row>
    <row r="187" spans="1:110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</row>
    <row r="188" spans="1:110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</row>
    <row r="189" spans="1:110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</row>
    <row r="190" spans="1:110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</row>
    <row r="191" spans="1:110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</row>
    <row r="192" spans="1:110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</row>
    <row r="193" spans="1:110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</row>
    <row r="194" spans="1:110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</row>
    <row r="195" spans="1:110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M195*DF195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</row>
    <row r="196" spans="1:110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</row>
    <row r="197" spans="1:110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</row>
    <row r="198" spans="1:110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</row>
    <row r="199" spans="1:110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</row>
    <row r="200" spans="1:110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</row>
    <row r="201" spans="1:110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</row>
    <row r="202" spans="1:110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</row>
    <row r="203" spans="1:110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</row>
    <row r="204" spans="1:110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</row>
    <row r="205" spans="1:110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</row>
    <row r="206" spans="1:110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</row>
    <row r="207" spans="1:110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</row>
    <row r="208" spans="1:110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</row>
    <row r="209" spans="1:110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</row>
    <row r="210" spans="1:110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</row>
    <row r="211" spans="1:110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</row>
    <row r="212" spans="1:110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</row>
    <row r="213" spans="1:110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</row>
    <row r="214" spans="1:110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</row>
    <row r="215" spans="1:110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</row>
    <row r="216" spans="1:110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</row>
    <row r="217" spans="1:110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</row>
    <row r="218" spans="1:110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</row>
    <row r="219" spans="1:110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</row>
    <row r="220" spans="1:110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</row>
    <row r="221" spans="1:110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</row>
    <row r="222" spans="1:110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</row>
    <row r="223" spans="1:110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</row>
    <row r="224" spans="1:110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</row>
    <row r="225" spans="1:110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</row>
    <row r="226" spans="1:110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</row>
    <row r="227" spans="1:110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</row>
    <row r="228" spans="1:110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</row>
    <row r="229" spans="1:110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</row>
    <row r="230" spans="1:110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</row>
    <row r="231" spans="1:110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525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</row>
    <row r="232" spans="1:110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</row>
    <row r="233" spans="1:110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</row>
    <row r="234" spans="1:110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</row>
    <row r="235" spans="1:110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</row>
    <row r="236" spans="1:110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</row>
    <row r="237" spans="1:110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</row>
    <row r="238" spans="1:110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</row>
    <row r="239" spans="1:110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</row>
    <row r="240" spans="1:110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</row>
    <row r="241" spans="1:110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</row>
    <row r="242" spans="1:110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</row>
    <row r="243" spans="1:110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</row>
    <row r="244" spans="1:110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</row>
    <row r="245" spans="1:110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</row>
    <row r="246" spans="1:110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</row>
    <row r="247" spans="1:110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</row>
    <row r="248" spans="1:110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400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2</v>
      </c>
      <c r="AZ248" s="72">
        <v>2</v>
      </c>
      <c r="BA248" s="72">
        <v>2</v>
      </c>
      <c r="BB248" s="72">
        <v>2</v>
      </c>
      <c r="BC248" s="72">
        <v>2</v>
      </c>
      <c r="BD248" s="72">
        <v>2</v>
      </c>
      <c r="BE248" s="72">
        <v>2</v>
      </c>
      <c r="BF248" s="72">
        <v>2</v>
      </c>
      <c r="BG248" s="72">
        <v>2</v>
      </c>
      <c r="BH248" s="72">
        <v>2</v>
      </c>
      <c r="BI248" s="72">
        <v>2</v>
      </c>
      <c r="BJ248" s="72">
        <v>2</v>
      </c>
      <c r="BK248" s="72">
        <v>2</v>
      </c>
      <c r="BL248" s="72">
        <v>2</v>
      </c>
      <c r="BM248" s="72">
        <v>2</v>
      </c>
      <c r="BN248" s="72">
        <v>2</v>
      </c>
      <c r="BO248" s="72">
        <v>2</v>
      </c>
      <c r="BP248" s="72">
        <v>2</v>
      </c>
      <c r="BQ248" s="72">
        <v>2</v>
      </c>
      <c r="BR248" s="72">
        <v>2</v>
      </c>
      <c r="BS248" s="72">
        <v>2</v>
      </c>
      <c r="BT248" s="72">
        <v>2</v>
      </c>
      <c r="BU248" s="72">
        <v>2</v>
      </c>
      <c r="BV248" s="72">
        <v>2</v>
      </c>
      <c r="BW248" s="72">
        <v>2</v>
      </c>
      <c r="BX248" s="72">
        <v>2</v>
      </c>
      <c r="BY248" s="72">
        <v>2</v>
      </c>
      <c r="BZ248" s="72">
        <v>2</v>
      </c>
      <c r="CA248" s="72">
        <v>2</v>
      </c>
      <c r="CB248" s="72">
        <v>2</v>
      </c>
      <c r="CC248" s="72">
        <v>2</v>
      </c>
      <c r="CD248" s="72">
        <v>2</v>
      </c>
      <c r="CE248" s="72">
        <v>2</v>
      </c>
      <c r="CF248" s="72">
        <v>2</v>
      </c>
      <c r="CG248" s="72">
        <v>2</v>
      </c>
      <c r="CH248" s="72">
        <v>2</v>
      </c>
      <c r="CI248" s="72">
        <v>2</v>
      </c>
      <c r="CJ248" s="72">
        <v>2</v>
      </c>
      <c r="CK248" s="72">
        <v>2</v>
      </c>
      <c r="CL248" s="72">
        <v>2</v>
      </c>
      <c r="CM248" s="72">
        <v>2</v>
      </c>
      <c r="CN248" s="72">
        <v>2</v>
      </c>
      <c r="CO248" s="72">
        <v>2</v>
      </c>
      <c r="CP248" s="72">
        <v>2</v>
      </c>
      <c r="CQ248" s="72">
        <v>2</v>
      </c>
      <c r="CR248" s="72">
        <v>2</v>
      </c>
      <c r="CS248" s="72">
        <v>2</v>
      </c>
      <c r="CT248" s="72">
        <v>2</v>
      </c>
      <c r="CU248" s="72">
        <v>2</v>
      </c>
      <c r="CV248" s="72">
        <v>2</v>
      </c>
      <c r="CW248" s="72">
        <v>2</v>
      </c>
      <c r="CX248" s="72">
        <v>2</v>
      </c>
      <c r="CY248" s="72">
        <v>2</v>
      </c>
      <c r="CZ248" s="72">
        <v>2</v>
      </c>
      <c r="DA248" s="72">
        <v>2</v>
      </c>
      <c r="DB248" s="72">
        <v>2</v>
      </c>
      <c r="DC248" s="72">
        <v>2</v>
      </c>
      <c r="DD248" s="72">
        <v>2</v>
      </c>
      <c r="DE248" s="72">
        <v>2</v>
      </c>
      <c r="DF248" s="72">
        <v>2</v>
      </c>
    </row>
    <row r="249" spans="1:110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42.4375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</row>
    <row r="250" spans="1:110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</row>
    <row r="251" spans="1:110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</row>
    <row r="252" spans="1:110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</row>
    <row r="253" spans="1:110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</row>
    <row r="254" spans="1:110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</row>
    <row r="255" spans="1:110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</row>
    <row r="256" spans="1:110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</row>
    <row r="257" spans="1:110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</row>
    <row r="258" spans="1:110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</row>
    <row r="259" spans="1:110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M259*DF259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</row>
    <row r="260" spans="1:110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</row>
    <row r="261" spans="1:110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</row>
    <row r="262" spans="1:110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</row>
    <row r="263" spans="1:110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</row>
    <row r="264" spans="1:110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</row>
    <row r="265" spans="1:110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</row>
    <row r="266" spans="1:110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</row>
    <row r="267" spans="1:110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</row>
    <row r="268" spans="1:110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</row>
    <row r="269" spans="1:110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</row>
    <row r="270" spans="1:110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</row>
    <row r="271" spans="1:110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</row>
    <row r="272" spans="1:110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</row>
    <row r="273" spans="1:110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</row>
    <row r="274" spans="1:110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</row>
    <row r="275" spans="1:110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</row>
    <row r="276" spans="1:110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</row>
    <row r="277" spans="1:110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</row>
    <row r="278" spans="1:110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</row>
    <row r="279" spans="1:110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</row>
    <row r="280" spans="1:110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</row>
    <row r="281" spans="1:110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</row>
    <row r="282" spans="1:110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</row>
    <row r="283" spans="1:110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</row>
    <row r="284" spans="1:110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</row>
    <row r="285" spans="1:110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</row>
    <row r="286" spans="1:110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</row>
    <row r="287" spans="1:110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</row>
    <row r="288" spans="1:110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</row>
    <row r="289" spans="1:110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</row>
    <row r="290" spans="1:110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</row>
    <row r="291" spans="1:110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</row>
    <row r="292" spans="1:110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1050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</row>
    <row r="293" spans="1:110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</row>
    <row r="294" spans="1:110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</row>
    <row r="295" spans="1:110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</row>
    <row r="296" spans="1:110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</row>
    <row r="297" spans="1:110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</row>
    <row r="298" spans="1:110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</row>
    <row r="299" spans="1:110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</row>
    <row r="300" spans="1:110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</row>
    <row r="301" spans="1:110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</row>
    <row r="302" spans="1:110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</row>
    <row r="303" spans="1:110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</row>
    <row r="304" spans="1:110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</row>
    <row r="305" spans="1:110" x14ac:dyDescent="0.35">
      <c r="A305" s="7"/>
      <c r="B305" s="8" t="s">
        <v>1230</v>
      </c>
      <c r="C305" s="9" t="s">
        <v>555</v>
      </c>
      <c r="D305" s="10" t="s">
        <v>549</v>
      </c>
      <c r="E305" s="8" t="s">
        <v>1215</v>
      </c>
      <c r="F305" s="10">
        <v>1002</v>
      </c>
      <c r="G305" s="10" t="s">
        <v>503</v>
      </c>
      <c r="H305" s="10" t="s">
        <v>41</v>
      </c>
      <c r="I305" s="11">
        <v>1</v>
      </c>
      <c r="J305" s="10"/>
      <c r="K305" s="10" t="s">
        <v>556</v>
      </c>
      <c r="L305" s="8"/>
      <c r="M305" s="12"/>
      <c r="N305" s="12">
        <f t="shared" si="5"/>
        <v>0</v>
      </c>
      <c r="O305" s="11">
        <v>4</v>
      </c>
      <c r="P305" s="11">
        <v>4</v>
      </c>
      <c r="Q305" s="11">
        <v>4</v>
      </c>
      <c r="R305" s="11">
        <v>4</v>
      </c>
      <c r="S305" s="11">
        <v>4</v>
      </c>
      <c r="T305" s="11">
        <v>4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  <c r="DF305" s="72">
        <v>1</v>
      </c>
    </row>
    <row r="306" spans="1:110" x14ac:dyDescent="0.35">
      <c r="A306" s="7"/>
      <c r="B306" s="8" t="s">
        <v>1230</v>
      </c>
      <c r="C306" s="9" t="s">
        <v>557</v>
      </c>
      <c r="D306" s="10" t="s">
        <v>549</v>
      </c>
      <c r="E306" s="8" t="s">
        <v>1215</v>
      </c>
      <c r="F306" s="10">
        <v>1006</v>
      </c>
      <c r="G306" s="10" t="s">
        <v>503</v>
      </c>
      <c r="H306" s="10" t="s">
        <v>41</v>
      </c>
      <c r="I306" s="11">
        <v>3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14</v>
      </c>
      <c r="P306" s="11">
        <v>14</v>
      </c>
      <c r="Q306" s="11">
        <v>14</v>
      </c>
      <c r="R306" s="11">
        <v>14</v>
      </c>
      <c r="S306" s="11">
        <v>10</v>
      </c>
      <c r="T306" s="11">
        <v>10</v>
      </c>
      <c r="U306" s="11">
        <v>6</v>
      </c>
      <c r="V306" s="11">
        <v>6</v>
      </c>
      <c r="W306" s="11">
        <v>6</v>
      </c>
      <c r="X306" s="11">
        <v>6</v>
      </c>
      <c r="Y306" s="11">
        <v>6</v>
      </c>
      <c r="Z306" s="11">
        <v>6</v>
      </c>
      <c r="AA306" s="11">
        <v>6</v>
      </c>
      <c r="AB306" s="11">
        <v>6</v>
      </c>
      <c r="AC306" s="11">
        <v>6</v>
      </c>
      <c r="AD306" s="11">
        <v>6</v>
      </c>
      <c r="AE306" s="11">
        <v>3</v>
      </c>
      <c r="AF306" s="11">
        <v>3</v>
      </c>
      <c r="AG306" s="11">
        <v>3</v>
      </c>
      <c r="AH306" s="11">
        <v>3</v>
      </c>
      <c r="AI306" s="11">
        <v>3</v>
      </c>
      <c r="AJ306" s="11">
        <v>3</v>
      </c>
      <c r="AK306" s="11">
        <v>3</v>
      </c>
      <c r="AL306" s="11">
        <v>3</v>
      </c>
      <c r="AM306" s="11">
        <v>3</v>
      </c>
      <c r="AN306" s="72">
        <v>3</v>
      </c>
      <c r="AO306" s="72">
        <v>3</v>
      </c>
      <c r="AP306" s="72">
        <v>3</v>
      </c>
      <c r="AQ306" s="72">
        <v>3</v>
      </c>
      <c r="AR306" s="72">
        <v>3</v>
      </c>
      <c r="AS306" s="72">
        <v>3</v>
      </c>
      <c r="AT306" s="72">
        <v>3</v>
      </c>
      <c r="AU306" s="72">
        <v>3</v>
      </c>
      <c r="AV306" s="72">
        <v>3</v>
      </c>
      <c r="AW306" s="72">
        <v>3</v>
      </c>
      <c r="AX306" s="72">
        <v>3</v>
      </c>
      <c r="AY306" s="72">
        <v>3</v>
      </c>
      <c r="AZ306" s="72">
        <v>3</v>
      </c>
      <c r="BA306" s="72">
        <v>3</v>
      </c>
      <c r="BB306" s="72">
        <v>3</v>
      </c>
      <c r="BC306" s="72">
        <v>3</v>
      </c>
      <c r="BD306" s="72">
        <v>3</v>
      </c>
      <c r="BE306" s="72">
        <v>3</v>
      </c>
      <c r="BF306" s="72">
        <v>3</v>
      </c>
      <c r="BG306" s="72">
        <v>3</v>
      </c>
      <c r="BH306" s="72">
        <v>3</v>
      </c>
      <c r="BI306" s="72">
        <v>3</v>
      </c>
      <c r="BJ306" s="72">
        <v>3</v>
      </c>
      <c r="BK306" s="72">
        <v>3</v>
      </c>
      <c r="BL306" s="72">
        <v>3</v>
      </c>
      <c r="BM306" s="72">
        <v>3</v>
      </c>
      <c r="BN306" s="72">
        <v>3</v>
      </c>
      <c r="BO306" s="72">
        <v>3</v>
      </c>
      <c r="BP306" s="72">
        <v>3</v>
      </c>
      <c r="BQ306" s="72">
        <v>3</v>
      </c>
      <c r="BR306" s="72">
        <v>3</v>
      </c>
      <c r="BS306" s="72">
        <v>3</v>
      </c>
      <c r="BT306" s="72">
        <v>3</v>
      </c>
      <c r="BU306" s="72">
        <v>3</v>
      </c>
      <c r="BV306" s="72">
        <v>3</v>
      </c>
      <c r="BW306" s="72">
        <v>3</v>
      </c>
      <c r="BX306" s="72">
        <v>3</v>
      </c>
      <c r="BY306" s="72">
        <v>3</v>
      </c>
      <c r="BZ306" s="72">
        <v>3</v>
      </c>
      <c r="CA306" s="72">
        <v>3</v>
      </c>
      <c r="CB306" s="72">
        <v>3</v>
      </c>
      <c r="CC306" s="72">
        <v>3</v>
      </c>
      <c r="CD306" s="72">
        <v>3</v>
      </c>
      <c r="CE306" s="72">
        <v>3</v>
      </c>
      <c r="CF306" s="72">
        <v>3</v>
      </c>
      <c r="CG306" s="72">
        <v>3</v>
      </c>
      <c r="CH306" s="72">
        <v>3</v>
      </c>
      <c r="CI306" s="72">
        <v>3</v>
      </c>
      <c r="CJ306" s="72">
        <v>3</v>
      </c>
      <c r="CK306" s="72">
        <v>3</v>
      </c>
      <c r="CL306" s="72">
        <v>3</v>
      </c>
      <c r="CM306" s="72">
        <v>3</v>
      </c>
      <c r="CN306" s="72">
        <v>3</v>
      </c>
      <c r="CO306" s="72">
        <v>3</v>
      </c>
      <c r="CP306" s="72">
        <v>3</v>
      </c>
      <c r="CQ306" s="72">
        <v>3</v>
      </c>
      <c r="CR306" s="72">
        <v>3</v>
      </c>
      <c r="CS306" s="72">
        <v>3</v>
      </c>
      <c r="CT306" s="72">
        <v>3</v>
      </c>
      <c r="CU306" s="72">
        <v>3</v>
      </c>
      <c r="CV306" s="72">
        <v>3</v>
      </c>
      <c r="CW306" s="72">
        <v>3</v>
      </c>
      <c r="CX306" s="72">
        <v>3</v>
      </c>
      <c r="CY306" s="72">
        <v>3</v>
      </c>
      <c r="CZ306" s="72">
        <v>3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</row>
    <row r="307" spans="1:110" x14ac:dyDescent="0.35">
      <c r="A307" s="7"/>
      <c r="B307" s="92" t="s">
        <v>1323</v>
      </c>
      <c r="C307" s="9" t="s">
        <v>558</v>
      </c>
      <c r="D307" s="10" t="s">
        <v>549</v>
      </c>
      <c r="E307" s="8" t="s">
        <v>1209</v>
      </c>
      <c r="F307" s="10">
        <v>1101</v>
      </c>
      <c r="G307" s="10" t="s">
        <v>40</v>
      </c>
      <c r="H307" s="10" t="s">
        <v>41</v>
      </c>
      <c r="I307" s="11">
        <v>61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61</v>
      </c>
      <c r="P307" s="11">
        <v>61</v>
      </c>
      <c r="Q307" s="11">
        <v>61</v>
      </c>
      <c r="R307" s="11">
        <v>61</v>
      </c>
      <c r="S307" s="11">
        <v>61</v>
      </c>
      <c r="T307" s="11">
        <v>61</v>
      </c>
      <c r="U307" s="11">
        <v>61</v>
      </c>
      <c r="V307" s="11">
        <v>61</v>
      </c>
      <c r="W307" s="11">
        <v>61</v>
      </c>
      <c r="X307" s="11">
        <v>61</v>
      </c>
      <c r="Y307" s="11">
        <v>61</v>
      </c>
      <c r="Z307" s="11">
        <v>61</v>
      </c>
      <c r="AA307" s="11">
        <v>61</v>
      </c>
      <c r="AB307" s="11">
        <v>61</v>
      </c>
      <c r="AC307" s="11">
        <v>61</v>
      </c>
      <c r="AD307" s="11">
        <v>61</v>
      </c>
      <c r="AE307" s="11">
        <v>61</v>
      </c>
      <c r="AF307" s="11">
        <v>61</v>
      </c>
      <c r="AG307" s="11">
        <v>61</v>
      </c>
      <c r="AH307" s="11">
        <v>61</v>
      </c>
      <c r="AI307" s="11">
        <v>61</v>
      </c>
      <c r="AJ307" s="11">
        <v>61</v>
      </c>
      <c r="AK307" s="11">
        <v>61</v>
      </c>
      <c r="AL307" s="11">
        <v>61</v>
      </c>
      <c r="AM307" s="11">
        <v>61</v>
      </c>
      <c r="AN307" s="72">
        <v>61</v>
      </c>
      <c r="AO307" s="72">
        <v>61</v>
      </c>
      <c r="AP307" s="72">
        <v>61</v>
      </c>
      <c r="AQ307" s="72">
        <v>61</v>
      </c>
      <c r="AR307" s="72">
        <v>61</v>
      </c>
      <c r="AS307" s="72">
        <v>61</v>
      </c>
      <c r="AT307" s="72">
        <v>61</v>
      </c>
      <c r="AU307" s="72">
        <v>61</v>
      </c>
      <c r="AV307" s="72">
        <v>61</v>
      </c>
      <c r="AW307" s="72">
        <v>61</v>
      </c>
      <c r="AX307" s="72">
        <v>61</v>
      </c>
      <c r="AY307" s="72">
        <v>61</v>
      </c>
      <c r="AZ307" s="72">
        <v>61</v>
      </c>
      <c r="BA307" s="72">
        <v>61</v>
      </c>
      <c r="BB307" s="72">
        <v>61</v>
      </c>
      <c r="BC307" s="72">
        <v>61</v>
      </c>
      <c r="BD307" s="72">
        <v>61</v>
      </c>
      <c r="BE307" s="72">
        <v>61</v>
      </c>
      <c r="BF307" s="72">
        <v>61</v>
      </c>
      <c r="BG307" s="72">
        <v>61</v>
      </c>
      <c r="BH307" s="72">
        <v>61</v>
      </c>
      <c r="BI307" s="72">
        <v>61</v>
      </c>
      <c r="BJ307" s="72">
        <v>61</v>
      </c>
      <c r="BK307" s="72">
        <v>61</v>
      </c>
      <c r="BL307" s="72">
        <v>61</v>
      </c>
      <c r="BM307" s="72">
        <v>61</v>
      </c>
      <c r="BN307" s="72">
        <v>61</v>
      </c>
      <c r="BO307" s="72">
        <v>61</v>
      </c>
      <c r="BP307" s="72">
        <v>61</v>
      </c>
      <c r="BQ307" s="72">
        <v>61</v>
      </c>
      <c r="BR307" s="72">
        <v>61</v>
      </c>
      <c r="BS307" s="72">
        <v>61</v>
      </c>
      <c r="BT307" s="72">
        <v>61</v>
      </c>
      <c r="BU307" s="72">
        <v>61</v>
      </c>
      <c r="BV307" s="72">
        <v>61</v>
      </c>
      <c r="BW307" s="72">
        <v>61</v>
      </c>
      <c r="BX307" s="72">
        <v>61</v>
      </c>
      <c r="BY307" s="72">
        <v>61</v>
      </c>
      <c r="BZ307" s="72">
        <v>61</v>
      </c>
      <c r="CA307" s="72">
        <v>61</v>
      </c>
      <c r="CB307" s="72">
        <v>61</v>
      </c>
      <c r="CC307" s="72">
        <v>61</v>
      </c>
      <c r="CD307" s="72">
        <v>61</v>
      </c>
      <c r="CE307" s="72">
        <v>61</v>
      </c>
      <c r="CF307" s="72">
        <v>61</v>
      </c>
      <c r="CG307" s="72">
        <v>61</v>
      </c>
      <c r="CH307" s="72">
        <v>61</v>
      </c>
      <c r="CI307" s="72">
        <v>61</v>
      </c>
      <c r="CJ307" s="72">
        <v>61</v>
      </c>
      <c r="CK307" s="72">
        <v>61</v>
      </c>
      <c r="CL307" s="72">
        <v>61</v>
      </c>
      <c r="CM307" s="72">
        <v>61</v>
      </c>
      <c r="CN307" s="72">
        <v>61</v>
      </c>
      <c r="CO307" s="72">
        <v>61</v>
      </c>
      <c r="CP307" s="72">
        <v>61</v>
      </c>
      <c r="CQ307" s="72">
        <v>61</v>
      </c>
      <c r="CR307" s="72">
        <v>61</v>
      </c>
      <c r="CS307" s="72">
        <v>61</v>
      </c>
      <c r="CT307" s="72">
        <v>61</v>
      </c>
      <c r="CU307" s="72">
        <v>61</v>
      </c>
      <c r="CV307" s="72">
        <v>61</v>
      </c>
      <c r="CW307" s="72">
        <v>61</v>
      </c>
      <c r="CX307" s="72">
        <v>61</v>
      </c>
      <c r="CY307" s="72">
        <v>61</v>
      </c>
      <c r="CZ307" s="72">
        <v>61</v>
      </c>
      <c r="DA307" s="72">
        <v>61</v>
      </c>
      <c r="DB307" s="72">
        <v>61</v>
      </c>
      <c r="DC307" s="72">
        <v>61</v>
      </c>
      <c r="DD307" s="72">
        <v>61</v>
      </c>
      <c r="DE307" s="72">
        <v>61</v>
      </c>
      <c r="DF307" s="72">
        <v>61</v>
      </c>
    </row>
    <row r="308" spans="1:110" x14ac:dyDescent="0.35">
      <c r="A308" s="7"/>
      <c r="B308" s="92" t="s">
        <v>1324</v>
      </c>
      <c r="C308" s="9" t="s">
        <v>559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53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53</v>
      </c>
      <c r="P308" s="11">
        <v>53</v>
      </c>
      <c r="Q308" s="11">
        <v>53</v>
      </c>
      <c r="R308" s="11">
        <v>53</v>
      </c>
      <c r="S308" s="11">
        <v>53</v>
      </c>
      <c r="T308" s="11">
        <v>53</v>
      </c>
      <c r="U308" s="11">
        <v>53</v>
      </c>
      <c r="V308" s="11">
        <v>53</v>
      </c>
      <c r="W308" s="11">
        <v>53</v>
      </c>
      <c r="X308" s="11">
        <v>53</v>
      </c>
      <c r="Y308" s="11">
        <v>53</v>
      </c>
      <c r="Z308" s="11">
        <v>53</v>
      </c>
      <c r="AA308" s="11">
        <v>53</v>
      </c>
      <c r="AB308" s="11">
        <v>53</v>
      </c>
      <c r="AC308" s="11">
        <v>53</v>
      </c>
      <c r="AD308" s="11">
        <v>53</v>
      </c>
      <c r="AE308" s="11">
        <v>53</v>
      </c>
      <c r="AF308" s="11">
        <v>53</v>
      </c>
      <c r="AG308" s="11">
        <v>53</v>
      </c>
      <c r="AH308" s="11">
        <v>53</v>
      </c>
      <c r="AI308" s="11">
        <v>53</v>
      </c>
      <c r="AJ308" s="11">
        <v>53</v>
      </c>
      <c r="AK308" s="11">
        <v>53</v>
      </c>
      <c r="AL308" s="11">
        <v>53</v>
      </c>
      <c r="AM308" s="11">
        <v>53</v>
      </c>
      <c r="AN308" s="72">
        <v>53</v>
      </c>
      <c r="AO308" s="72">
        <v>53</v>
      </c>
      <c r="AP308" s="72">
        <v>53</v>
      </c>
      <c r="AQ308" s="72">
        <v>53</v>
      </c>
      <c r="AR308" s="72">
        <v>53</v>
      </c>
      <c r="AS308" s="72">
        <v>53</v>
      </c>
      <c r="AT308" s="72">
        <v>53</v>
      </c>
      <c r="AU308" s="72">
        <v>53</v>
      </c>
      <c r="AV308" s="72">
        <v>53</v>
      </c>
      <c r="AW308" s="72">
        <v>53</v>
      </c>
      <c r="AX308" s="72">
        <v>53</v>
      </c>
      <c r="AY308" s="72">
        <v>53</v>
      </c>
      <c r="AZ308" s="72">
        <v>53</v>
      </c>
      <c r="BA308" s="72">
        <v>53</v>
      </c>
      <c r="BB308" s="72">
        <v>53</v>
      </c>
      <c r="BC308" s="72">
        <v>53</v>
      </c>
      <c r="BD308" s="72">
        <v>53</v>
      </c>
      <c r="BE308" s="72">
        <v>53</v>
      </c>
      <c r="BF308" s="72">
        <v>53</v>
      </c>
      <c r="BG308" s="72">
        <v>53</v>
      </c>
      <c r="BH308" s="72">
        <v>53</v>
      </c>
      <c r="BI308" s="72">
        <v>53</v>
      </c>
      <c r="BJ308" s="72">
        <v>53</v>
      </c>
      <c r="BK308" s="72">
        <v>53</v>
      </c>
      <c r="BL308" s="72">
        <v>53</v>
      </c>
      <c r="BM308" s="72">
        <v>53</v>
      </c>
      <c r="BN308" s="72">
        <v>53</v>
      </c>
      <c r="BO308" s="72">
        <v>53</v>
      </c>
      <c r="BP308" s="72">
        <v>53</v>
      </c>
      <c r="BQ308" s="72">
        <v>53</v>
      </c>
      <c r="BR308" s="72">
        <v>53</v>
      </c>
      <c r="BS308" s="72">
        <v>53</v>
      </c>
      <c r="BT308" s="72">
        <v>53</v>
      </c>
      <c r="BU308" s="72">
        <v>53</v>
      </c>
      <c r="BV308" s="72">
        <v>53</v>
      </c>
      <c r="BW308" s="72">
        <v>53</v>
      </c>
      <c r="BX308" s="72">
        <v>53</v>
      </c>
      <c r="BY308" s="72">
        <v>53</v>
      </c>
      <c r="BZ308" s="72">
        <v>53</v>
      </c>
      <c r="CA308" s="72">
        <v>53</v>
      </c>
      <c r="CB308" s="72">
        <v>53</v>
      </c>
      <c r="CC308" s="72">
        <v>53</v>
      </c>
      <c r="CD308" s="72">
        <v>53</v>
      </c>
      <c r="CE308" s="72">
        <v>53</v>
      </c>
      <c r="CF308" s="72">
        <v>53</v>
      </c>
      <c r="CG308" s="72">
        <v>53</v>
      </c>
      <c r="CH308" s="72">
        <v>53</v>
      </c>
      <c r="CI308" s="72">
        <v>53</v>
      </c>
      <c r="CJ308" s="72">
        <v>53</v>
      </c>
      <c r="CK308" s="72">
        <v>53</v>
      </c>
      <c r="CL308" s="72">
        <v>53</v>
      </c>
      <c r="CM308" s="72">
        <v>53</v>
      </c>
      <c r="CN308" s="72">
        <v>53</v>
      </c>
      <c r="CO308" s="72">
        <v>53</v>
      </c>
      <c r="CP308" s="72">
        <v>53</v>
      </c>
      <c r="CQ308" s="72">
        <v>53</v>
      </c>
      <c r="CR308" s="72">
        <v>53</v>
      </c>
      <c r="CS308" s="72">
        <v>53</v>
      </c>
      <c r="CT308" s="72">
        <v>53</v>
      </c>
      <c r="CU308" s="72">
        <v>53</v>
      </c>
      <c r="CV308" s="72">
        <v>53</v>
      </c>
      <c r="CW308" s="72">
        <v>53</v>
      </c>
      <c r="CX308" s="72">
        <v>53</v>
      </c>
      <c r="CY308" s="72">
        <v>53</v>
      </c>
      <c r="CZ308" s="72">
        <v>53</v>
      </c>
      <c r="DA308" s="72">
        <v>53</v>
      </c>
      <c r="DB308" s="72">
        <v>53</v>
      </c>
      <c r="DC308" s="72">
        <v>53</v>
      </c>
      <c r="DD308" s="72">
        <v>53</v>
      </c>
      <c r="DE308" s="72">
        <v>53</v>
      </c>
      <c r="DF308" s="72">
        <v>53</v>
      </c>
    </row>
    <row r="309" spans="1:110" x14ac:dyDescent="0.35">
      <c r="A309" s="7"/>
      <c r="B309" s="92" t="s">
        <v>1325</v>
      </c>
      <c r="C309" s="9" t="s">
        <v>560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28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28</v>
      </c>
      <c r="P309" s="11">
        <v>28</v>
      </c>
      <c r="Q309" s="11">
        <v>28</v>
      </c>
      <c r="R309" s="11">
        <v>28</v>
      </c>
      <c r="S309" s="11">
        <v>28</v>
      </c>
      <c r="T309" s="11">
        <v>28</v>
      </c>
      <c r="U309" s="11">
        <v>28</v>
      </c>
      <c r="V309" s="11">
        <v>28</v>
      </c>
      <c r="W309" s="11">
        <v>28</v>
      </c>
      <c r="X309" s="11">
        <v>28</v>
      </c>
      <c r="Y309" s="11">
        <v>28</v>
      </c>
      <c r="Z309" s="11">
        <v>28</v>
      </c>
      <c r="AA309" s="11">
        <v>28</v>
      </c>
      <c r="AB309" s="11">
        <v>28</v>
      </c>
      <c r="AC309" s="11">
        <v>28</v>
      </c>
      <c r="AD309" s="11">
        <v>28</v>
      </c>
      <c r="AE309" s="11">
        <v>28</v>
      </c>
      <c r="AF309" s="11">
        <v>28</v>
      </c>
      <c r="AG309" s="11">
        <v>28</v>
      </c>
      <c r="AH309" s="11">
        <v>28</v>
      </c>
      <c r="AI309" s="11">
        <v>28</v>
      </c>
      <c r="AJ309" s="11">
        <v>28</v>
      </c>
      <c r="AK309" s="11">
        <v>28</v>
      </c>
      <c r="AL309" s="11">
        <v>28</v>
      </c>
      <c r="AM309" s="11">
        <v>28</v>
      </c>
      <c r="AN309" s="72">
        <v>28</v>
      </c>
      <c r="AO309" s="72">
        <v>28</v>
      </c>
      <c r="AP309" s="72">
        <v>28</v>
      </c>
      <c r="AQ309" s="72">
        <v>28</v>
      </c>
      <c r="AR309" s="72">
        <v>28</v>
      </c>
      <c r="AS309" s="72">
        <v>28</v>
      </c>
      <c r="AT309" s="72">
        <v>28</v>
      </c>
      <c r="AU309" s="72">
        <v>28</v>
      </c>
      <c r="AV309" s="72">
        <v>28</v>
      </c>
      <c r="AW309" s="72">
        <v>28</v>
      </c>
      <c r="AX309" s="72">
        <v>28</v>
      </c>
      <c r="AY309" s="72">
        <v>28</v>
      </c>
      <c r="AZ309" s="72">
        <v>28</v>
      </c>
      <c r="BA309" s="72">
        <v>28</v>
      </c>
      <c r="BB309" s="72">
        <v>28</v>
      </c>
      <c r="BC309" s="72">
        <v>28</v>
      </c>
      <c r="BD309" s="72">
        <v>28</v>
      </c>
      <c r="BE309" s="72">
        <v>28</v>
      </c>
      <c r="BF309" s="72">
        <v>28</v>
      </c>
      <c r="BG309" s="72">
        <v>28</v>
      </c>
      <c r="BH309" s="72">
        <v>28</v>
      </c>
      <c r="BI309" s="72">
        <v>28</v>
      </c>
      <c r="BJ309" s="72">
        <v>28</v>
      </c>
      <c r="BK309" s="72">
        <v>28</v>
      </c>
      <c r="BL309" s="72">
        <v>28</v>
      </c>
      <c r="BM309" s="72">
        <v>28</v>
      </c>
      <c r="BN309" s="72">
        <v>28</v>
      </c>
      <c r="BO309" s="72">
        <v>28</v>
      </c>
      <c r="BP309" s="72">
        <v>28</v>
      </c>
      <c r="BQ309" s="72">
        <v>28</v>
      </c>
      <c r="BR309" s="72">
        <v>28</v>
      </c>
      <c r="BS309" s="72">
        <v>28</v>
      </c>
      <c r="BT309" s="72">
        <v>28</v>
      </c>
      <c r="BU309" s="72">
        <v>28</v>
      </c>
      <c r="BV309" s="72">
        <v>28</v>
      </c>
      <c r="BW309" s="72">
        <v>28</v>
      </c>
      <c r="BX309" s="72">
        <v>28</v>
      </c>
      <c r="BY309" s="72">
        <v>28</v>
      </c>
      <c r="BZ309" s="72">
        <v>28</v>
      </c>
      <c r="CA309" s="72">
        <v>28</v>
      </c>
      <c r="CB309" s="72">
        <v>28</v>
      </c>
      <c r="CC309" s="72">
        <v>28</v>
      </c>
      <c r="CD309" s="72">
        <v>28</v>
      </c>
      <c r="CE309" s="72">
        <v>28</v>
      </c>
      <c r="CF309" s="72">
        <v>28</v>
      </c>
      <c r="CG309" s="72">
        <v>28</v>
      </c>
      <c r="CH309" s="72">
        <v>28</v>
      </c>
      <c r="CI309" s="72">
        <v>28</v>
      </c>
      <c r="CJ309" s="72">
        <v>28</v>
      </c>
      <c r="CK309" s="72">
        <v>28</v>
      </c>
      <c r="CL309" s="72">
        <v>28</v>
      </c>
      <c r="CM309" s="72">
        <v>28</v>
      </c>
      <c r="CN309" s="72">
        <v>28</v>
      </c>
      <c r="CO309" s="72">
        <v>28</v>
      </c>
      <c r="CP309" s="72">
        <v>28</v>
      </c>
      <c r="CQ309" s="72">
        <v>28</v>
      </c>
      <c r="CR309" s="72">
        <v>28</v>
      </c>
      <c r="CS309" s="72">
        <v>28</v>
      </c>
      <c r="CT309" s="72">
        <v>28</v>
      </c>
      <c r="CU309" s="72">
        <v>28</v>
      </c>
      <c r="CV309" s="72">
        <v>28</v>
      </c>
      <c r="CW309" s="72">
        <v>28</v>
      </c>
      <c r="CX309" s="72">
        <v>28</v>
      </c>
      <c r="CY309" s="72">
        <v>28</v>
      </c>
      <c r="CZ309" s="72">
        <v>28</v>
      </c>
      <c r="DA309" s="72">
        <v>28</v>
      </c>
      <c r="DB309" s="72">
        <v>28</v>
      </c>
      <c r="DC309" s="72">
        <v>28</v>
      </c>
      <c r="DD309" s="72">
        <v>28</v>
      </c>
      <c r="DE309" s="72">
        <v>28</v>
      </c>
      <c r="DF309" s="72">
        <v>28</v>
      </c>
    </row>
    <row r="310" spans="1:110" x14ac:dyDescent="0.35">
      <c r="A310" s="7"/>
      <c r="B310" s="92" t="s">
        <v>1326</v>
      </c>
      <c r="C310" s="9" t="s">
        <v>561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267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267</v>
      </c>
      <c r="P310" s="11">
        <v>267</v>
      </c>
      <c r="Q310" s="11">
        <v>267</v>
      </c>
      <c r="R310" s="11">
        <v>267</v>
      </c>
      <c r="S310" s="11">
        <v>267</v>
      </c>
      <c r="T310" s="11">
        <v>267</v>
      </c>
      <c r="U310" s="11">
        <v>267</v>
      </c>
      <c r="V310" s="11">
        <v>267</v>
      </c>
      <c r="W310" s="11">
        <v>267</v>
      </c>
      <c r="X310" s="11">
        <v>267</v>
      </c>
      <c r="Y310" s="11">
        <v>267</v>
      </c>
      <c r="Z310" s="11">
        <v>267</v>
      </c>
      <c r="AA310" s="11">
        <v>267</v>
      </c>
      <c r="AB310" s="11">
        <v>267</v>
      </c>
      <c r="AC310" s="11">
        <v>267</v>
      </c>
      <c r="AD310" s="11">
        <v>267</v>
      </c>
      <c r="AE310" s="11">
        <v>267</v>
      </c>
      <c r="AF310" s="11">
        <v>267</v>
      </c>
      <c r="AG310" s="11">
        <v>267</v>
      </c>
      <c r="AH310" s="11">
        <v>267</v>
      </c>
      <c r="AI310" s="11">
        <v>267</v>
      </c>
      <c r="AJ310" s="11">
        <v>267</v>
      </c>
      <c r="AK310" s="11">
        <v>267</v>
      </c>
      <c r="AL310" s="11">
        <v>267</v>
      </c>
      <c r="AM310" s="11">
        <v>267</v>
      </c>
      <c r="AN310" s="72">
        <v>267</v>
      </c>
      <c r="AO310" s="72">
        <v>267</v>
      </c>
      <c r="AP310" s="72">
        <v>267</v>
      </c>
      <c r="AQ310" s="72">
        <v>267</v>
      </c>
      <c r="AR310" s="72">
        <v>267</v>
      </c>
      <c r="AS310" s="72">
        <v>267</v>
      </c>
      <c r="AT310" s="72">
        <v>267</v>
      </c>
      <c r="AU310" s="72">
        <v>267</v>
      </c>
      <c r="AV310" s="72">
        <v>267</v>
      </c>
      <c r="AW310" s="72">
        <v>267</v>
      </c>
      <c r="AX310" s="72">
        <v>267</v>
      </c>
      <c r="AY310" s="72">
        <v>267</v>
      </c>
      <c r="AZ310" s="72">
        <v>267</v>
      </c>
      <c r="BA310" s="72">
        <v>267</v>
      </c>
      <c r="BB310" s="72">
        <v>267</v>
      </c>
      <c r="BC310" s="72">
        <v>267</v>
      </c>
      <c r="BD310" s="72">
        <v>267</v>
      </c>
      <c r="BE310" s="72">
        <v>267</v>
      </c>
      <c r="BF310" s="72">
        <v>267</v>
      </c>
      <c r="BG310" s="72">
        <v>267</v>
      </c>
      <c r="BH310" s="72">
        <v>267</v>
      </c>
      <c r="BI310" s="72">
        <v>267</v>
      </c>
      <c r="BJ310" s="72">
        <v>267</v>
      </c>
      <c r="BK310" s="72">
        <v>267</v>
      </c>
      <c r="BL310" s="72">
        <v>267</v>
      </c>
      <c r="BM310" s="72">
        <v>267</v>
      </c>
      <c r="BN310" s="72">
        <v>267</v>
      </c>
      <c r="BO310" s="72">
        <v>267</v>
      </c>
      <c r="BP310" s="72">
        <v>267</v>
      </c>
      <c r="BQ310" s="72">
        <v>267</v>
      </c>
      <c r="BR310" s="72">
        <v>267</v>
      </c>
      <c r="BS310" s="72">
        <v>267</v>
      </c>
      <c r="BT310" s="72">
        <v>267</v>
      </c>
      <c r="BU310" s="72">
        <v>267</v>
      </c>
      <c r="BV310" s="72">
        <v>267</v>
      </c>
      <c r="BW310" s="72">
        <v>267</v>
      </c>
      <c r="BX310" s="72">
        <v>267</v>
      </c>
      <c r="BY310" s="72">
        <v>267</v>
      </c>
      <c r="BZ310" s="72">
        <v>267</v>
      </c>
      <c r="CA310" s="72">
        <v>267</v>
      </c>
      <c r="CB310" s="72">
        <v>267</v>
      </c>
      <c r="CC310" s="72">
        <v>267</v>
      </c>
      <c r="CD310" s="72">
        <v>267</v>
      </c>
      <c r="CE310" s="72">
        <v>267</v>
      </c>
      <c r="CF310" s="72">
        <v>267</v>
      </c>
      <c r="CG310" s="72">
        <v>267</v>
      </c>
      <c r="CH310" s="72">
        <v>267</v>
      </c>
      <c r="CI310" s="72">
        <v>267</v>
      </c>
      <c r="CJ310" s="72">
        <v>267</v>
      </c>
      <c r="CK310" s="72">
        <v>267</v>
      </c>
      <c r="CL310" s="72">
        <v>267</v>
      </c>
      <c r="CM310" s="72">
        <v>267</v>
      </c>
      <c r="CN310" s="72">
        <v>267</v>
      </c>
      <c r="CO310" s="72">
        <v>267</v>
      </c>
      <c r="CP310" s="72">
        <v>267</v>
      </c>
      <c r="CQ310" s="72">
        <v>267</v>
      </c>
      <c r="CR310" s="72">
        <v>267</v>
      </c>
      <c r="CS310" s="72">
        <v>267</v>
      </c>
      <c r="CT310" s="72">
        <v>267</v>
      </c>
      <c r="CU310" s="72">
        <v>267</v>
      </c>
      <c r="CV310" s="72">
        <v>267</v>
      </c>
      <c r="CW310" s="72">
        <v>267</v>
      </c>
      <c r="CX310" s="72">
        <v>267</v>
      </c>
      <c r="CY310" s="72">
        <v>267</v>
      </c>
      <c r="CZ310" s="72">
        <v>267</v>
      </c>
      <c r="DA310" s="72">
        <v>267</v>
      </c>
      <c r="DB310" s="72">
        <v>267</v>
      </c>
      <c r="DC310" s="72">
        <v>267</v>
      </c>
      <c r="DD310" s="72">
        <v>267</v>
      </c>
      <c r="DE310" s="72">
        <v>267</v>
      </c>
      <c r="DF310" s="72">
        <v>267</v>
      </c>
    </row>
    <row r="311" spans="1:110" x14ac:dyDescent="0.35">
      <c r="A311" s="7"/>
      <c r="B311" s="92" t="s">
        <v>1327</v>
      </c>
      <c r="C311" s="8" t="s">
        <v>562</v>
      </c>
      <c r="D311" s="10" t="s">
        <v>549</v>
      </c>
      <c r="E311" s="8" t="s">
        <v>1219</v>
      </c>
      <c r="F311" s="10">
        <v>1102</v>
      </c>
      <c r="G311" s="10" t="s">
        <v>40</v>
      </c>
      <c r="H311" s="10" t="s">
        <v>41</v>
      </c>
      <c r="I311" s="11">
        <v>2</v>
      </c>
      <c r="J311" s="10"/>
      <c r="K311" s="10" t="s">
        <v>563</v>
      </c>
      <c r="L311" s="8"/>
      <c r="M311" s="12"/>
      <c r="N311" s="12">
        <f t="shared" si="5"/>
        <v>0</v>
      </c>
      <c r="O311" s="11">
        <v>2</v>
      </c>
      <c r="P311" s="11">
        <v>2</v>
      </c>
      <c r="Q311" s="11">
        <v>2</v>
      </c>
      <c r="R311" s="11">
        <v>2</v>
      </c>
      <c r="S311" s="11">
        <v>2</v>
      </c>
      <c r="T311" s="11">
        <v>2</v>
      </c>
      <c r="U311" s="11">
        <v>2</v>
      </c>
      <c r="V311" s="11">
        <v>2</v>
      </c>
      <c r="W311" s="11">
        <v>2</v>
      </c>
      <c r="X311" s="11">
        <v>2</v>
      </c>
      <c r="Y311" s="11">
        <v>2</v>
      </c>
      <c r="Z311" s="11">
        <v>2</v>
      </c>
      <c r="AA311" s="11">
        <v>2</v>
      </c>
      <c r="AB311" s="11">
        <v>2</v>
      </c>
      <c r="AC311" s="11">
        <v>2</v>
      </c>
      <c r="AD311" s="11">
        <v>2</v>
      </c>
      <c r="AE311" s="11">
        <v>2</v>
      </c>
      <c r="AF311" s="11">
        <v>2</v>
      </c>
      <c r="AG311" s="11">
        <v>2</v>
      </c>
      <c r="AH311" s="11">
        <v>2</v>
      </c>
      <c r="AI311" s="11">
        <v>2</v>
      </c>
      <c r="AJ311" s="11">
        <v>2</v>
      </c>
      <c r="AK311" s="11">
        <v>2</v>
      </c>
      <c r="AL311" s="11">
        <v>2</v>
      </c>
      <c r="AM311" s="11">
        <v>2</v>
      </c>
      <c r="AN311" s="72">
        <v>2</v>
      </c>
      <c r="AO311" s="72">
        <v>2</v>
      </c>
      <c r="AP311" s="72">
        <v>2</v>
      </c>
      <c r="AQ311" s="72">
        <v>2</v>
      </c>
      <c r="AR311" s="72">
        <v>2</v>
      </c>
      <c r="AS311" s="72">
        <v>2</v>
      </c>
      <c r="AT311" s="72">
        <v>2</v>
      </c>
      <c r="AU311" s="72">
        <v>2</v>
      </c>
      <c r="AV311" s="72">
        <v>2</v>
      </c>
      <c r="AW311" s="72">
        <v>2</v>
      </c>
      <c r="AX311" s="72">
        <v>2</v>
      </c>
      <c r="AY311" s="72">
        <v>2</v>
      </c>
      <c r="AZ311" s="72">
        <v>2</v>
      </c>
      <c r="BA311" s="72">
        <v>2</v>
      </c>
      <c r="BB311" s="72">
        <v>2</v>
      </c>
      <c r="BC311" s="72">
        <v>2</v>
      </c>
      <c r="BD311" s="72">
        <v>2</v>
      </c>
      <c r="BE311" s="72">
        <v>2</v>
      </c>
      <c r="BF311" s="72">
        <v>2</v>
      </c>
      <c r="BG311" s="72">
        <v>2</v>
      </c>
      <c r="BH311" s="72">
        <v>3</v>
      </c>
      <c r="BI311" s="72">
        <v>3</v>
      </c>
      <c r="BJ311" s="72">
        <v>3</v>
      </c>
      <c r="BK311" s="72">
        <v>3</v>
      </c>
      <c r="BL311" s="72">
        <v>3</v>
      </c>
      <c r="BM311" s="72">
        <v>3</v>
      </c>
      <c r="BN311" s="72">
        <v>3</v>
      </c>
      <c r="BO311" s="72">
        <v>3</v>
      </c>
      <c r="BP311" s="72">
        <v>3</v>
      </c>
      <c r="BQ311" s="72">
        <v>3</v>
      </c>
      <c r="BR311" s="72">
        <v>3</v>
      </c>
      <c r="BS311" s="72">
        <v>3</v>
      </c>
      <c r="BT311" s="72">
        <v>3</v>
      </c>
      <c r="BU311" s="72">
        <v>3</v>
      </c>
      <c r="BV311" s="72">
        <v>3</v>
      </c>
      <c r="BW311" s="72">
        <v>3</v>
      </c>
      <c r="BX311" s="72">
        <v>3</v>
      </c>
      <c r="BY311" s="72">
        <v>3</v>
      </c>
      <c r="BZ311" s="72">
        <v>3</v>
      </c>
      <c r="CA311" s="72">
        <v>3</v>
      </c>
      <c r="CB311" s="72">
        <v>3</v>
      </c>
      <c r="CC311" s="72">
        <v>3</v>
      </c>
      <c r="CD311" s="72">
        <v>3</v>
      </c>
      <c r="CE311" s="72">
        <v>3</v>
      </c>
      <c r="CF311" s="72">
        <v>3</v>
      </c>
      <c r="CG311" s="72">
        <v>3</v>
      </c>
      <c r="CH311" s="72">
        <v>3</v>
      </c>
      <c r="CI311" s="72">
        <v>3</v>
      </c>
      <c r="CJ311" s="72">
        <v>3</v>
      </c>
      <c r="CK311" s="72">
        <v>3</v>
      </c>
      <c r="CL311" s="72">
        <v>3</v>
      </c>
      <c r="CM311" s="72">
        <v>3</v>
      </c>
      <c r="CN311" s="72">
        <v>3</v>
      </c>
      <c r="CO311" s="72">
        <v>3</v>
      </c>
      <c r="CP311" s="72">
        <v>3</v>
      </c>
      <c r="CQ311" s="72">
        <v>3</v>
      </c>
      <c r="CR311" s="72">
        <v>3</v>
      </c>
      <c r="CS311" s="72">
        <v>3</v>
      </c>
      <c r="CT311" s="72">
        <v>3</v>
      </c>
      <c r="CU311" s="72">
        <v>3</v>
      </c>
      <c r="CV311" s="72">
        <v>3</v>
      </c>
      <c r="CW311" s="72">
        <v>3</v>
      </c>
      <c r="CX311" s="72">
        <v>3</v>
      </c>
      <c r="CY311" s="72">
        <v>3</v>
      </c>
      <c r="CZ311" s="72">
        <v>3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</row>
    <row r="312" spans="1:110" x14ac:dyDescent="0.35">
      <c r="A312" s="7"/>
      <c r="B312" s="92" t="s">
        <v>1328</v>
      </c>
      <c r="C312" s="8" t="s">
        <v>564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2</v>
      </c>
      <c r="BI312" s="72">
        <v>2</v>
      </c>
      <c r="BJ312" s="72">
        <v>2</v>
      </c>
      <c r="BK312" s="72">
        <v>2</v>
      </c>
      <c r="BL312" s="72">
        <v>2</v>
      </c>
      <c r="BM312" s="72">
        <v>2</v>
      </c>
      <c r="BN312" s="72">
        <v>2</v>
      </c>
      <c r="BO312" s="72">
        <v>2</v>
      </c>
      <c r="BP312" s="72">
        <v>2</v>
      </c>
      <c r="BQ312" s="72">
        <v>2</v>
      </c>
      <c r="BR312" s="72">
        <v>2</v>
      </c>
      <c r="BS312" s="72">
        <v>2</v>
      </c>
      <c r="BT312" s="72">
        <v>2</v>
      </c>
      <c r="BU312" s="72">
        <v>2</v>
      </c>
      <c r="BV312" s="72">
        <v>2</v>
      </c>
      <c r="BW312" s="72">
        <v>2</v>
      </c>
      <c r="BX312" s="72">
        <v>2</v>
      </c>
      <c r="BY312" s="72">
        <v>2</v>
      </c>
      <c r="BZ312" s="72">
        <v>2</v>
      </c>
      <c r="CA312" s="72">
        <v>2</v>
      </c>
      <c r="CB312" s="72">
        <v>2</v>
      </c>
      <c r="CC312" s="72">
        <v>2</v>
      </c>
      <c r="CD312" s="72">
        <v>2</v>
      </c>
      <c r="CE312" s="72">
        <v>2</v>
      </c>
      <c r="CF312" s="72">
        <v>2</v>
      </c>
      <c r="CG312" s="72">
        <v>2</v>
      </c>
      <c r="CH312" s="72">
        <v>2</v>
      </c>
      <c r="CI312" s="72">
        <v>2</v>
      </c>
      <c r="CJ312" s="72">
        <v>2</v>
      </c>
      <c r="CK312" s="72">
        <v>2</v>
      </c>
      <c r="CL312" s="72">
        <v>2</v>
      </c>
      <c r="CM312" s="72">
        <v>2</v>
      </c>
      <c r="CN312" s="72">
        <v>2</v>
      </c>
      <c r="CO312" s="72">
        <v>2</v>
      </c>
      <c r="CP312" s="72">
        <v>2</v>
      </c>
      <c r="CQ312" s="72">
        <v>2</v>
      </c>
      <c r="CR312" s="72">
        <v>2</v>
      </c>
      <c r="CS312" s="72">
        <v>2</v>
      </c>
      <c r="CT312" s="72">
        <v>2</v>
      </c>
      <c r="CU312" s="72">
        <v>2</v>
      </c>
      <c r="CV312" s="72">
        <v>2</v>
      </c>
      <c r="CW312" s="72">
        <v>2</v>
      </c>
      <c r="CX312" s="72">
        <v>2</v>
      </c>
      <c r="CY312" s="72">
        <v>2</v>
      </c>
      <c r="CZ312" s="72">
        <v>2</v>
      </c>
      <c r="DA312" s="72">
        <v>2</v>
      </c>
      <c r="DB312" s="72">
        <v>2</v>
      </c>
      <c r="DC312" s="72">
        <v>2</v>
      </c>
      <c r="DD312" s="72">
        <v>2</v>
      </c>
      <c r="DE312" s="72">
        <v>2</v>
      </c>
      <c r="DF312" s="72">
        <v>2</v>
      </c>
    </row>
    <row r="313" spans="1:110" x14ac:dyDescent="0.35">
      <c r="A313" s="7"/>
      <c r="B313" s="92" t="s">
        <v>1329</v>
      </c>
      <c r="C313" s="8" t="s">
        <v>565</v>
      </c>
      <c r="D313" s="10" t="s">
        <v>549</v>
      </c>
      <c r="E313" s="8" t="s">
        <v>1208</v>
      </c>
      <c r="F313" s="10">
        <v>1102</v>
      </c>
      <c r="G313" s="10" t="s">
        <v>40</v>
      </c>
      <c r="H313" s="10" t="s">
        <v>41</v>
      </c>
      <c r="I313" s="11">
        <v>7</v>
      </c>
      <c r="J313" s="10"/>
      <c r="K313" s="10" t="s">
        <v>566</v>
      </c>
      <c r="L313" s="8"/>
      <c r="M313" s="12"/>
      <c r="N313" s="12">
        <f t="shared" si="5"/>
        <v>0</v>
      </c>
      <c r="O313" s="11">
        <v>7</v>
      </c>
      <c r="P313" s="11">
        <v>7</v>
      </c>
      <c r="Q313" s="11">
        <v>7</v>
      </c>
      <c r="R313" s="11">
        <v>7</v>
      </c>
      <c r="S313" s="11">
        <v>7</v>
      </c>
      <c r="T313" s="11">
        <v>7</v>
      </c>
      <c r="U313" s="11">
        <v>7</v>
      </c>
      <c r="V313" s="11">
        <v>7</v>
      </c>
      <c r="W313" s="11">
        <v>7</v>
      </c>
      <c r="X313" s="11">
        <v>7</v>
      </c>
      <c r="Y313" s="11">
        <v>7</v>
      </c>
      <c r="Z313" s="11">
        <v>7</v>
      </c>
      <c r="AA313" s="11">
        <v>7</v>
      </c>
      <c r="AB313" s="11">
        <v>7</v>
      </c>
      <c r="AC313" s="11">
        <v>7</v>
      </c>
      <c r="AD313" s="11">
        <v>7</v>
      </c>
      <c r="AE313" s="11">
        <v>7</v>
      </c>
      <c r="AF313" s="11">
        <v>7</v>
      </c>
      <c r="AG313" s="11">
        <v>7</v>
      </c>
      <c r="AH313" s="11">
        <v>7</v>
      </c>
      <c r="AI313" s="11">
        <v>7</v>
      </c>
      <c r="AJ313" s="11">
        <v>7</v>
      </c>
      <c r="AK313" s="11">
        <v>7</v>
      </c>
      <c r="AL313" s="11">
        <v>7</v>
      </c>
      <c r="AM313" s="11">
        <v>7</v>
      </c>
      <c r="AN313" s="72">
        <v>7</v>
      </c>
      <c r="AO313" s="72">
        <v>7</v>
      </c>
      <c r="AP313" s="72">
        <v>7</v>
      </c>
      <c r="AQ313" s="72">
        <v>7</v>
      </c>
      <c r="AR313" s="72">
        <v>7</v>
      </c>
      <c r="AS313" s="72">
        <v>7</v>
      </c>
      <c r="AT313" s="72">
        <v>7</v>
      </c>
      <c r="AU313" s="72">
        <v>7</v>
      </c>
      <c r="AV313" s="72">
        <v>7</v>
      </c>
      <c r="AW313" s="72">
        <v>7</v>
      </c>
      <c r="AX313" s="72">
        <v>7</v>
      </c>
      <c r="AY313" s="72">
        <v>7</v>
      </c>
      <c r="AZ313" s="72">
        <v>7</v>
      </c>
      <c r="BA313" s="72">
        <v>7</v>
      </c>
      <c r="BB313" s="72">
        <v>7</v>
      </c>
      <c r="BC313" s="72">
        <v>7</v>
      </c>
      <c r="BD313" s="72">
        <v>7</v>
      </c>
      <c r="BE313" s="72">
        <v>7</v>
      </c>
      <c r="BF313" s="72">
        <v>7</v>
      </c>
      <c r="BG313" s="72">
        <v>7</v>
      </c>
      <c r="BH313" s="72">
        <v>7</v>
      </c>
      <c r="BI313" s="72">
        <v>7</v>
      </c>
      <c r="BJ313" s="72">
        <v>7</v>
      </c>
      <c r="BK313" s="72">
        <v>7</v>
      </c>
      <c r="BL313" s="72">
        <v>7</v>
      </c>
      <c r="BM313" s="72">
        <v>7</v>
      </c>
      <c r="BN313" s="72">
        <v>7</v>
      </c>
      <c r="BO313" s="72">
        <v>7</v>
      </c>
      <c r="BP313" s="72">
        <v>7</v>
      </c>
      <c r="BQ313" s="72">
        <v>7</v>
      </c>
      <c r="BR313" s="72">
        <v>7</v>
      </c>
      <c r="BS313" s="72">
        <v>7</v>
      </c>
      <c r="BT313" s="72">
        <v>7</v>
      </c>
      <c r="BU313" s="72">
        <v>7</v>
      </c>
      <c r="BV313" s="72">
        <v>7</v>
      </c>
      <c r="BW313" s="72">
        <v>7</v>
      </c>
      <c r="BX313" s="72">
        <v>7</v>
      </c>
      <c r="BY313" s="72">
        <v>7</v>
      </c>
      <c r="BZ313" s="72">
        <v>7</v>
      </c>
      <c r="CA313" s="72">
        <v>7</v>
      </c>
      <c r="CB313" s="72">
        <v>7</v>
      </c>
      <c r="CC313" s="72">
        <v>7</v>
      </c>
      <c r="CD313" s="72">
        <v>7</v>
      </c>
      <c r="CE313" s="72">
        <v>7</v>
      </c>
      <c r="CF313" s="72">
        <v>7</v>
      </c>
      <c r="CG313" s="72">
        <v>7</v>
      </c>
      <c r="CH313" s="72">
        <v>7</v>
      </c>
      <c r="CI313" s="72">
        <v>7</v>
      </c>
      <c r="CJ313" s="72">
        <v>7</v>
      </c>
      <c r="CK313" s="72">
        <v>7</v>
      </c>
      <c r="CL313" s="72">
        <v>7</v>
      </c>
      <c r="CM313" s="72">
        <v>7</v>
      </c>
      <c r="CN313" s="72">
        <v>7</v>
      </c>
      <c r="CO313" s="72">
        <v>7</v>
      </c>
      <c r="CP313" s="72">
        <v>7</v>
      </c>
      <c r="CQ313" s="72">
        <v>7</v>
      </c>
      <c r="CR313" s="72">
        <v>7</v>
      </c>
      <c r="CS313" s="72">
        <v>7</v>
      </c>
      <c r="CT313" s="72">
        <v>7</v>
      </c>
      <c r="CU313" s="72">
        <v>7</v>
      </c>
      <c r="CV313" s="72">
        <v>7</v>
      </c>
      <c r="CW313" s="72">
        <v>7</v>
      </c>
      <c r="CX313" s="72">
        <v>7</v>
      </c>
      <c r="CY313" s="72">
        <v>7</v>
      </c>
      <c r="CZ313" s="72">
        <v>7</v>
      </c>
      <c r="DA313" s="72">
        <v>7</v>
      </c>
      <c r="DB313" s="72">
        <v>7</v>
      </c>
      <c r="DC313" s="72">
        <v>7</v>
      </c>
      <c r="DD313" s="72">
        <v>7</v>
      </c>
      <c r="DE313" s="72">
        <v>7</v>
      </c>
      <c r="DF313" s="72">
        <v>7</v>
      </c>
    </row>
    <row r="314" spans="1:110" x14ac:dyDescent="0.35">
      <c r="A314" s="7"/>
      <c r="B314" s="92" t="s">
        <v>1330</v>
      </c>
      <c r="C314" s="8" t="s">
        <v>567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5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5</v>
      </c>
      <c r="P314" s="11">
        <v>5</v>
      </c>
      <c r="Q314" s="11">
        <v>5</v>
      </c>
      <c r="R314" s="11">
        <v>5</v>
      </c>
      <c r="S314" s="11">
        <v>5</v>
      </c>
      <c r="T314" s="11">
        <v>5</v>
      </c>
      <c r="U314" s="11">
        <v>5</v>
      </c>
      <c r="V314" s="11">
        <v>5</v>
      </c>
      <c r="W314" s="11">
        <v>5</v>
      </c>
      <c r="X314" s="11">
        <v>5</v>
      </c>
      <c r="Y314" s="11">
        <v>5</v>
      </c>
      <c r="Z314" s="11">
        <v>5</v>
      </c>
      <c r="AA314" s="11">
        <v>5</v>
      </c>
      <c r="AB314" s="11">
        <v>5</v>
      </c>
      <c r="AC314" s="11">
        <v>5</v>
      </c>
      <c r="AD314" s="11">
        <v>5</v>
      </c>
      <c r="AE314" s="11">
        <v>5</v>
      </c>
      <c r="AF314" s="11">
        <v>5</v>
      </c>
      <c r="AG314" s="11">
        <v>5</v>
      </c>
      <c r="AH314" s="11">
        <v>5</v>
      </c>
      <c r="AI314" s="11">
        <v>5</v>
      </c>
      <c r="AJ314" s="11">
        <v>5</v>
      </c>
      <c r="AK314" s="11">
        <v>5</v>
      </c>
      <c r="AL314" s="11">
        <v>5</v>
      </c>
      <c r="AM314" s="11">
        <v>5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5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5</v>
      </c>
      <c r="BT314" s="72">
        <v>5</v>
      </c>
      <c r="BU314" s="72">
        <v>5</v>
      </c>
      <c r="BV314" s="72">
        <v>5</v>
      </c>
      <c r="BW314" s="72">
        <v>5</v>
      </c>
      <c r="BX314" s="72">
        <v>5</v>
      </c>
      <c r="BY314" s="72">
        <v>5</v>
      </c>
      <c r="BZ314" s="72">
        <v>5</v>
      </c>
      <c r="CA314" s="72">
        <v>5</v>
      </c>
      <c r="CB314" s="72">
        <v>5</v>
      </c>
      <c r="CC314" s="72">
        <v>5</v>
      </c>
      <c r="CD314" s="72">
        <v>5</v>
      </c>
      <c r="CE314" s="72">
        <v>5</v>
      </c>
      <c r="CF314" s="72">
        <v>5</v>
      </c>
      <c r="CG314" s="72">
        <v>5</v>
      </c>
      <c r="CH314" s="72">
        <v>5</v>
      </c>
      <c r="CI314" s="72">
        <v>5</v>
      </c>
      <c r="CJ314" s="72">
        <v>5</v>
      </c>
      <c r="CK314" s="72">
        <v>5</v>
      </c>
      <c r="CL314" s="72">
        <v>5</v>
      </c>
      <c r="CM314" s="72">
        <v>5</v>
      </c>
      <c r="CN314" s="72">
        <v>5</v>
      </c>
      <c r="CO314" s="72">
        <v>5</v>
      </c>
      <c r="CP314" s="72">
        <v>5</v>
      </c>
      <c r="CQ314" s="72">
        <v>5</v>
      </c>
      <c r="CR314" s="72">
        <v>5</v>
      </c>
      <c r="CS314" s="72">
        <v>5</v>
      </c>
      <c r="CT314" s="72">
        <v>5</v>
      </c>
      <c r="CU314" s="72">
        <v>5</v>
      </c>
      <c r="CV314" s="72">
        <v>5</v>
      </c>
      <c r="CW314" s="72">
        <v>5</v>
      </c>
      <c r="CX314" s="72">
        <v>5</v>
      </c>
      <c r="CY314" s="72">
        <v>5</v>
      </c>
      <c r="CZ314" s="72">
        <v>5</v>
      </c>
      <c r="DA314" s="72">
        <v>5</v>
      </c>
      <c r="DB314" s="72">
        <v>5</v>
      </c>
      <c r="DC314" s="72">
        <v>5</v>
      </c>
      <c r="DD314" s="72">
        <v>5</v>
      </c>
      <c r="DE314" s="72">
        <v>5</v>
      </c>
      <c r="DF314" s="72">
        <v>5</v>
      </c>
    </row>
    <row r="315" spans="1:110" x14ac:dyDescent="0.35">
      <c r="A315" s="7"/>
      <c r="B315" s="92" t="s">
        <v>1331</v>
      </c>
      <c r="C315" s="8" t="s">
        <v>568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10</v>
      </c>
      <c r="J315" s="10"/>
      <c r="K315" s="10"/>
      <c r="L315" s="8"/>
      <c r="M315" s="12"/>
      <c r="N315" s="12">
        <f t="shared" si="5"/>
        <v>0</v>
      </c>
      <c r="O315" s="11">
        <v>10</v>
      </c>
      <c r="P315" s="11">
        <v>10</v>
      </c>
      <c r="Q315" s="11">
        <v>10</v>
      </c>
      <c r="R315" s="11">
        <v>10</v>
      </c>
      <c r="S315" s="11">
        <v>10</v>
      </c>
      <c r="T315" s="11">
        <v>10</v>
      </c>
      <c r="U315" s="11">
        <v>10</v>
      </c>
      <c r="V315" s="11">
        <v>10</v>
      </c>
      <c r="W315" s="11">
        <v>10</v>
      </c>
      <c r="X315" s="11">
        <v>10</v>
      </c>
      <c r="Y315" s="11">
        <v>10</v>
      </c>
      <c r="Z315" s="11">
        <v>10</v>
      </c>
      <c r="AA315" s="11">
        <v>10</v>
      </c>
      <c r="AB315" s="11">
        <v>10</v>
      </c>
      <c r="AC315" s="11">
        <v>10</v>
      </c>
      <c r="AD315" s="11">
        <v>10</v>
      </c>
      <c r="AE315" s="11">
        <v>10</v>
      </c>
      <c r="AF315" s="11">
        <v>10</v>
      </c>
      <c r="AG315" s="11">
        <v>10</v>
      </c>
      <c r="AH315" s="11">
        <v>10</v>
      </c>
      <c r="AI315" s="11">
        <v>10</v>
      </c>
      <c r="AJ315" s="11">
        <v>10</v>
      </c>
      <c r="AK315" s="11">
        <v>10</v>
      </c>
      <c r="AL315" s="11">
        <v>10</v>
      </c>
      <c r="AM315" s="11">
        <v>10</v>
      </c>
      <c r="AN315" s="72">
        <v>10</v>
      </c>
      <c r="AO315" s="72">
        <v>10</v>
      </c>
      <c r="AP315" s="72">
        <v>10</v>
      </c>
      <c r="AQ315" s="72">
        <v>10</v>
      </c>
      <c r="AR315" s="72">
        <v>10</v>
      </c>
      <c r="AS315" s="72">
        <v>10</v>
      </c>
      <c r="AT315" s="72">
        <v>10</v>
      </c>
      <c r="AU315" s="72">
        <v>10</v>
      </c>
      <c r="AV315" s="72">
        <v>10</v>
      </c>
      <c r="AW315" s="72">
        <v>10</v>
      </c>
      <c r="AX315" s="72">
        <v>10</v>
      </c>
      <c r="AY315" s="72">
        <v>10</v>
      </c>
      <c r="AZ315" s="72">
        <v>10</v>
      </c>
      <c r="BA315" s="72">
        <v>10</v>
      </c>
      <c r="BB315" s="72">
        <v>10</v>
      </c>
      <c r="BC315" s="72">
        <v>10</v>
      </c>
      <c r="BD315" s="72">
        <v>10</v>
      </c>
      <c r="BE315" s="72">
        <v>10</v>
      </c>
      <c r="BF315" s="72">
        <v>10</v>
      </c>
      <c r="BG315" s="72">
        <v>10</v>
      </c>
      <c r="BH315" s="72">
        <v>10</v>
      </c>
      <c r="BI315" s="72">
        <v>10</v>
      </c>
      <c r="BJ315" s="72">
        <v>10</v>
      </c>
      <c r="BK315" s="72">
        <v>10</v>
      </c>
      <c r="BL315" s="72">
        <v>10</v>
      </c>
      <c r="BM315" s="72">
        <v>10</v>
      </c>
      <c r="BN315" s="72">
        <v>10</v>
      </c>
      <c r="BO315" s="72">
        <v>10</v>
      </c>
      <c r="BP315" s="72">
        <v>10</v>
      </c>
      <c r="BQ315" s="72">
        <v>10</v>
      </c>
      <c r="BR315" s="72">
        <v>10</v>
      </c>
      <c r="BS315" s="72">
        <v>10</v>
      </c>
      <c r="BT315" s="72">
        <v>10</v>
      </c>
      <c r="BU315" s="72">
        <v>10</v>
      </c>
      <c r="BV315" s="72">
        <v>10</v>
      </c>
      <c r="BW315" s="72">
        <v>10</v>
      </c>
      <c r="BX315" s="72">
        <v>10</v>
      </c>
      <c r="BY315" s="72">
        <v>10</v>
      </c>
      <c r="BZ315" s="72">
        <v>10</v>
      </c>
      <c r="CA315" s="72">
        <v>10</v>
      </c>
      <c r="CB315" s="72">
        <v>10</v>
      </c>
      <c r="CC315" s="72">
        <v>10</v>
      </c>
      <c r="CD315" s="72">
        <v>10</v>
      </c>
      <c r="CE315" s="72">
        <v>10</v>
      </c>
      <c r="CF315" s="72">
        <v>10</v>
      </c>
      <c r="CG315" s="72">
        <v>10</v>
      </c>
      <c r="CH315" s="72">
        <v>10</v>
      </c>
      <c r="CI315" s="72">
        <v>10</v>
      </c>
      <c r="CJ315" s="72">
        <v>10</v>
      </c>
      <c r="CK315" s="72">
        <v>10</v>
      </c>
      <c r="CL315" s="72">
        <v>10</v>
      </c>
      <c r="CM315" s="72">
        <v>10</v>
      </c>
      <c r="CN315" s="72">
        <v>10</v>
      </c>
      <c r="CO315" s="72">
        <v>10</v>
      </c>
      <c r="CP315" s="72">
        <v>10</v>
      </c>
      <c r="CQ315" s="72">
        <v>10</v>
      </c>
      <c r="CR315" s="72">
        <v>10</v>
      </c>
      <c r="CS315" s="72">
        <v>10</v>
      </c>
      <c r="CT315" s="72">
        <v>10</v>
      </c>
      <c r="CU315" s="72">
        <v>10</v>
      </c>
      <c r="CV315" s="72">
        <v>10</v>
      </c>
      <c r="CW315" s="72">
        <v>10</v>
      </c>
      <c r="CX315" s="72">
        <v>10</v>
      </c>
      <c r="CY315" s="72">
        <v>10</v>
      </c>
      <c r="CZ315" s="72">
        <v>10</v>
      </c>
      <c r="DA315" s="72">
        <v>10</v>
      </c>
      <c r="DB315" s="72">
        <v>10</v>
      </c>
      <c r="DC315" s="72">
        <v>10</v>
      </c>
      <c r="DD315" s="72">
        <v>10</v>
      </c>
      <c r="DE315" s="72">
        <v>10</v>
      </c>
      <c r="DF315" s="72">
        <v>10</v>
      </c>
    </row>
    <row r="316" spans="1:110" x14ac:dyDescent="0.35">
      <c r="A316" s="7"/>
      <c r="B316" s="92" t="s">
        <v>1332</v>
      </c>
      <c r="C316" s="9" t="s">
        <v>569</v>
      </c>
      <c r="D316" s="10" t="s">
        <v>549</v>
      </c>
      <c r="E316" s="8" t="s">
        <v>1215</v>
      </c>
      <c r="F316" s="10">
        <v>1104</v>
      </c>
      <c r="G316" s="10" t="s">
        <v>40</v>
      </c>
      <c r="H316" s="10" t="s">
        <v>41</v>
      </c>
      <c r="I316" s="11">
        <v>223</v>
      </c>
      <c r="J316" s="10"/>
      <c r="K316" s="10" t="s">
        <v>556</v>
      </c>
      <c r="L316" s="8"/>
      <c r="M316" s="12"/>
      <c r="N316" s="12">
        <f t="shared" si="5"/>
        <v>0</v>
      </c>
      <c r="O316" s="11">
        <v>223</v>
      </c>
      <c r="P316" s="11">
        <v>223</v>
      </c>
      <c r="Q316" s="11">
        <v>223</v>
      </c>
      <c r="R316" s="11">
        <v>223</v>
      </c>
      <c r="S316" s="11">
        <v>223</v>
      </c>
      <c r="T316" s="11">
        <v>223</v>
      </c>
      <c r="U316" s="11">
        <v>223</v>
      </c>
      <c r="V316" s="11">
        <v>223</v>
      </c>
      <c r="W316" s="11">
        <v>223</v>
      </c>
      <c r="X316" s="11">
        <v>223</v>
      </c>
      <c r="Y316" s="11">
        <v>223</v>
      </c>
      <c r="Z316" s="11">
        <v>223</v>
      </c>
      <c r="AA316" s="11">
        <v>223</v>
      </c>
      <c r="AB316" s="11">
        <v>223</v>
      </c>
      <c r="AC316" s="11">
        <v>223</v>
      </c>
      <c r="AD316" s="11">
        <v>223</v>
      </c>
      <c r="AE316" s="11">
        <v>223</v>
      </c>
      <c r="AF316" s="11">
        <v>223</v>
      </c>
      <c r="AG316" s="11">
        <v>223</v>
      </c>
      <c r="AH316" s="11">
        <v>223</v>
      </c>
      <c r="AI316" s="11">
        <v>223</v>
      </c>
      <c r="AJ316" s="11">
        <v>223</v>
      </c>
      <c r="AK316" s="11">
        <v>223</v>
      </c>
      <c r="AL316" s="11">
        <v>223</v>
      </c>
      <c r="AM316" s="11">
        <v>223</v>
      </c>
      <c r="AN316" s="72">
        <v>223</v>
      </c>
      <c r="AO316" s="72">
        <v>223</v>
      </c>
      <c r="AP316" s="72">
        <v>223</v>
      </c>
      <c r="AQ316" s="72">
        <v>223</v>
      </c>
      <c r="AR316" s="72">
        <v>223</v>
      </c>
      <c r="AS316" s="72">
        <v>223</v>
      </c>
      <c r="AT316" s="72">
        <v>223</v>
      </c>
      <c r="AU316" s="72">
        <v>223</v>
      </c>
      <c r="AV316" s="72">
        <v>223</v>
      </c>
      <c r="AW316" s="72">
        <v>223</v>
      </c>
      <c r="AX316" s="72">
        <v>223</v>
      </c>
      <c r="AY316" s="72">
        <v>223</v>
      </c>
      <c r="AZ316" s="72">
        <v>223</v>
      </c>
      <c r="BA316" s="72">
        <v>223</v>
      </c>
      <c r="BB316" s="72">
        <v>223</v>
      </c>
      <c r="BC316" s="72">
        <v>223</v>
      </c>
      <c r="BD316" s="72">
        <v>223</v>
      </c>
      <c r="BE316" s="72">
        <v>223</v>
      </c>
      <c r="BF316" s="72">
        <v>223</v>
      </c>
      <c r="BG316" s="72">
        <v>223</v>
      </c>
      <c r="BH316" s="72">
        <v>223</v>
      </c>
      <c r="BI316" s="72">
        <v>223</v>
      </c>
      <c r="BJ316" s="72">
        <v>223</v>
      </c>
      <c r="BK316" s="72">
        <v>223</v>
      </c>
      <c r="BL316" s="72">
        <v>223</v>
      </c>
      <c r="BM316" s="72">
        <v>223</v>
      </c>
      <c r="BN316" s="72">
        <v>223</v>
      </c>
      <c r="BO316" s="72">
        <v>223</v>
      </c>
      <c r="BP316" s="72">
        <v>223</v>
      </c>
      <c r="BQ316" s="72">
        <v>223</v>
      </c>
      <c r="BR316" s="72">
        <v>223</v>
      </c>
      <c r="BS316" s="72">
        <v>223</v>
      </c>
      <c r="BT316" s="72">
        <v>223</v>
      </c>
      <c r="BU316" s="72">
        <v>223</v>
      </c>
      <c r="BV316" s="72">
        <v>223</v>
      </c>
      <c r="BW316" s="72">
        <v>223</v>
      </c>
      <c r="BX316" s="72">
        <v>223</v>
      </c>
      <c r="BY316" s="72">
        <v>223</v>
      </c>
      <c r="BZ316" s="72">
        <v>223</v>
      </c>
      <c r="CA316" s="72">
        <v>223</v>
      </c>
      <c r="CB316" s="72">
        <v>223</v>
      </c>
      <c r="CC316" s="72">
        <v>223</v>
      </c>
      <c r="CD316" s="72">
        <v>223</v>
      </c>
      <c r="CE316" s="72">
        <v>223</v>
      </c>
      <c r="CF316" s="72">
        <v>223</v>
      </c>
      <c r="CG316" s="72">
        <v>223</v>
      </c>
      <c r="CH316" s="72">
        <v>223</v>
      </c>
      <c r="CI316" s="72">
        <v>223</v>
      </c>
      <c r="CJ316" s="72">
        <v>223</v>
      </c>
      <c r="CK316" s="72">
        <v>223</v>
      </c>
      <c r="CL316" s="72">
        <v>223</v>
      </c>
      <c r="CM316" s="72">
        <v>223</v>
      </c>
      <c r="CN316" s="72">
        <v>223</v>
      </c>
      <c r="CO316" s="72">
        <v>223</v>
      </c>
      <c r="CP316" s="72">
        <v>223</v>
      </c>
      <c r="CQ316" s="72">
        <v>223</v>
      </c>
      <c r="CR316" s="72">
        <v>223</v>
      </c>
      <c r="CS316" s="72">
        <v>223</v>
      </c>
      <c r="CT316" s="72">
        <v>223</v>
      </c>
      <c r="CU316" s="72">
        <v>223</v>
      </c>
      <c r="CV316" s="72">
        <v>223</v>
      </c>
      <c r="CW316" s="72">
        <v>223</v>
      </c>
      <c r="CX316" s="72">
        <v>223</v>
      </c>
      <c r="CY316" s="72">
        <v>223</v>
      </c>
      <c r="CZ316" s="72">
        <v>223</v>
      </c>
      <c r="DA316" s="72">
        <v>223</v>
      </c>
      <c r="DB316" s="72">
        <v>223</v>
      </c>
      <c r="DC316" s="72">
        <v>223</v>
      </c>
      <c r="DD316" s="72">
        <v>223</v>
      </c>
      <c r="DE316" s="72">
        <v>223</v>
      </c>
      <c r="DF316" s="72">
        <v>223</v>
      </c>
    </row>
    <row r="317" spans="1:110" x14ac:dyDescent="0.35">
      <c r="A317" s="7"/>
      <c r="B317" s="92" t="s">
        <v>1333</v>
      </c>
      <c r="C317" s="9" t="s">
        <v>570</v>
      </c>
      <c r="D317" s="10" t="s">
        <v>549</v>
      </c>
      <c r="E317" s="8" t="s">
        <v>1215</v>
      </c>
      <c r="F317" s="10">
        <v>1103</v>
      </c>
      <c r="G317" s="10" t="s">
        <v>40</v>
      </c>
      <c r="H317" s="10" t="s">
        <v>41</v>
      </c>
      <c r="I317" s="11">
        <v>7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7</v>
      </c>
      <c r="P317" s="11">
        <v>7</v>
      </c>
      <c r="Q317" s="11">
        <v>7</v>
      </c>
      <c r="R317" s="11">
        <v>7</v>
      </c>
      <c r="S317" s="11">
        <v>7</v>
      </c>
      <c r="T317" s="11">
        <v>7</v>
      </c>
      <c r="U317" s="11">
        <v>7</v>
      </c>
      <c r="V317" s="11">
        <v>7</v>
      </c>
      <c r="W317" s="11">
        <v>7</v>
      </c>
      <c r="X317" s="11">
        <v>7</v>
      </c>
      <c r="Y317" s="11">
        <v>7</v>
      </c>
      <c r="Z317" s="11">
        <v>7</v>
      </c>
      <c r="AA317" s="11">
        <v>7</v>
      </c>
      <c r="AB317" s="11">
        <v>7</v>
      </c>
      <c r="AC317" s="11">
        <v>7</v>
      </c>
      <c r="AD317" s="11">
        <v>7</v>
      </c>
      <c r="AE317" s="11">
        <v>7</v>
      </c>
      <c r="AF317" s="11">
        <v>7</v>
      </c>
      <c r="AG317" s="11">
        <v>7</v>
      </c>
      <c r="AH317" s="11">
        <v>7</v>
      </c>
      <c r="AI317" s="11">
        <v>7</v>
      </c>
      <c r="AJ317" s="11">
        <v>7</v>
      </c>
      <c r="AK317" s="11">
        <v>7</v>
      </c>
      <c r="AL317" s="11">
        <v>7</v>
      </c>
      <c r="AM317" s="11">
        <v>7</v>
      </c>
      <c r="AN317" s="72">
        <v>7</v>
      </c>
      <c r="AO317" s="72">
        <v>7</v>
      </c>
      <c r="AP317" s="72">
        <v>7</v>
      </c>
      <c r="AQ317" s="72">
        <v>7</v>
      </c>
      <c r="AR317" s="72">
        <v>7</v>
      </c>
      <c r="AS317" s="72">
        <v>7</v>
      </c>
      <c r="AT317" s="72">
        <v>7</v>
      </c>
      <c r="AU317" s="72">
        <v>7</v>
      </c>
      <c r="AV317" s="72">
        <v>7</v>
      </c>
      <c r="AW317" s="72">
        <v>7</v>
      </c>
      <c r="AX317" s="72">
        <v>7</v>
      </c>
      <c r="AY317" s="72">
        <v>7</v>
      </c>
      <c r="AZ317" s="72">
        <v>7</v>
      </c>
      <c r="BA317" s="72">
        <v>7</v>
      </c>
      <c r="BB317" s="72">
        <v>7</v>
      </c>
      <c r="BC317" s="72">
        <v>7</v>
      </c>
      <c r="BD317" s="72">
        <v>7</v>
      </c>
      <c r="BE317" s="72">
        <v>7</v>
      </c>
      <c r="BF317" s="72">
        <v>7</v>
      </c>
      <c r="BG317" s="72">
        <v>7</v>
      </c>
      <c r="BH317" s="72">
        <v>7</v>
      </c>
      <c r="BI317" s="72">
        <v>7</v>
      </c>
      <c r="BJ317" s="72">
        <v>7</v>
      </c>
      <c r="BK317" s="72">
        <v>7</v>
      </c>
      <c r="BL317" s="72">
        <v>7</v>
      </c>
      <c r="BM317" s="72">
        <v>7</v>
      </c>
      <c r="BN317" s="72">
        <v>7</v>
      </c>
      <c r="BO317" s="72">
        <v>7</v>
      </c>
      <c r="BP317" s="72">
        <v>7</v>
      </c>
      <c r="BQ317" s="72">
        <v>7</v>
      </c>
      <c r="BR317" s="72">
        <v>7</v>
      </c>
      <c r="BS317" s="72">
        <v>7</v>
      </c>
      <c r="BT317" s="72">
        <v>7</v>
      </c>
      <c r="BU317" s="72">
        <v>7</v>
      </c>
      <c r="BV317" s="72">
        <v>7</v>
      </c>
      <c r="BW317" s="72">
        <v>7</v>
      </c>
      <c r="BX317" s="72">
        <v>7</v>
      </c>
      <c r="BY317" s="72">
        <v>7</v>
      </c>
      <c r="BZ317" s="72">
        <v>7</v>
      </c>
      <c r="CA317" s="72">
        <v>7</v>
      </c>
      <c r="CB317" s="72">
        <v>7</v>
      </c>
      <c r="CC317" s="72">
        <v>7</v>
      </c>
      <c r="CD317" s="72">
        <v>7</v>
      </c>
      <c r="CE317" s="72">
        <v>7</v>
      </c>
      <c r="CF317" s="72">
        <v>7</v>
      </c>
      <c r="CG317" s="72">
        <v>7</v>
      </c>
      <c r="CH317" s="72">
        <v>7</v>
      </c>
      <c r="CI317" s="72">
        <v>7</v>
      </c>
      <c r="CJ317" s="72">
        <v>7</v>
      </c>
      <c r="CK317" s="72">
        <v>7</v>
      </c>
      <c r="CL317" s="72">
        <v>7</v>
      </c>
      <c r="CM317" s="72">
        <v>7</v>
      </c>
      <c r="CN317" s="72">
        <v>7</v>
      </c>
      <c r="CO317" s="72">
        <v>7</v>
      </c>
      <c r="CP317" s="72">
        <v>7</v>
      </c>
      <c r="CQ317" s="72">
        <v>7</v>
      </c>
      <c r="CR317" s="72">
        <v>7</v>
      </c>
      <c r="CS317" s="72">
        <v>7</v>
      </c>
      <c r="CT317" s="72">
        <v>7</v>
      </c>
      <c r="CU317" s="72">
        <v>7</v>
      </c>
      <c r="CV317" s="72">
        <v>7</v>
      </c>
      <c r="CW317" s="72">
        <v>7</v>
      </c>
      <c r="CX317" s="72">
        <v>7</v>
      </c>
      <c r="CY317" s="72">
        <v>7</v>
      </c>
      <c r="CZ317" s="72">
        <v>7</v>
      </c>
      <c r="DA317" s="72">
        <v>7</v>
      </c>
      <c r="DB317" s="72">
        <v>7</v>
      </c>
      <c r="DC317" s="72">
        <v>7</v>
      </c>
      <c r="DD317" s="72">
        <v>7</v>
      </c>
      <c r="DE317" s="72">
        <v>7</v>
      </c>
      <c r="DF317" s="72">
        <v>7</v>
      </c>
    </row>
    <row r="318" spans="1:110" x14ac:dyDescent="0.35">
      <c r="A318" s="7"/>
      <c r="B318" s="92" t="s">
        <v>1334</v>
      </c>
      <c r="C318" s="9" t="s">
        <v>571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1</v>
      </c>
      <c r="J318" s="10"/>
      <c r="K318" s="10" t="s">
        <v>153</v>
      </c>
      <c r="L318" s="8"/>
      <c r="M318" s="12"/>
      <c r="N318" s="12">
        <f t="shared" si="5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</row>
    <row r="319" spans="1:110" x14ac:dyDescent="0.35">
      <c r="A319" s="7"/>
      <c r="B319" s="92" t="s">
        <v>1335</v>
      </c>
      <c r="C319" s="9" t="s">
        <v>572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556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</row>
    <row r="320" spans="1:110" x14ac:dyDescent="0.35">
      <c r="A320" s="7"/>
      <c r="B320" s="92" t="s">
        <v>1336</v>
      </c>
      <c r="C320" s="8" t="s">
        <v>573</v>
      </c>
      <c r="D320" s="10" t="s">
        <v>549</v>
      </c>
      <c r="E320" s="8" t="s">
        <v>1208</v>
      </c>
      <c r="F320" s="10">
        <v>1102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</row>
    <row r="321" spans="1:110" x14ac:dyDescent="0.35">
      <c r="A321" s="7"/>
      <c r="B321" s="8" t="s">
        <v>1230</v>
      </c>
      <c r="C321" s="8" t="s">
        <v>1165</v>
      </c>
      <c r="D321" s="10" t="s">
        <v>549</v>
      </c>
      <c r="E321" s="8" t="s">
        <v>1215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2"/>
      <c r="N321" s="12">
        <f t="shared" si="5"/>
        <v>0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>
        <v>10</v>
      </c>
      <c r="AL321" s="11">
        <v>0</v>
      </c>
      <c r="AM321" s="11">
        <v>0</v>
      </c>
      <c r="AN321" s="72">
        <v>0</v>
      </c>
      <c r="AO321" s="72">
        <v>0</v>
      </c>
      <c r="AP321" s="72">
        <v>0</v>
      </c>
      <c r="AQ321" s="72">
        <v>0</v>
      </c>
      <c r="AR321" s="72">
        <v>0</v>
      </c>
      <c r="AS321" s="72">
        <v>0</v>
      </c>
      <c r="AT321" s="72">
        <v>0</v>
      </c>
      <c r="AU321" s="72">
        <v>0</v>
      </c>
      <c r="AV321" s="72">
        <v>0</v>
      </c>
      <c r="AW321" s="72">
        <v>0</v>
      </c>
      <c r="AX321" s="72">
        <v>0</v>
      </c>
      <c r="AY321" s="72">
        <v>0</v>
      </c>
      <c r="AZ321" s="72">
        <v>0</v>
      </c>
      <c r="BA321" s="72">
        <v>0</v>
      </c>
      <c r="BB321" s="72">
        <v>0</v>
      </c>
      <c r="BC321" s="72">
        <v>0</v>
      </c>
      <c r="BD321" s="72">
        <v>0</v>
      </c>
      <c r="BE321" s="72">
        <v>0</v>
      </c>
      <c r="BF321" s="72">
        <v>0</v>
      </c>
      <c r="BG321" s="72">
        <v>0</v>
      </c>
      <c r="BH321" s="72">
        <v>0</v>
      </c>
      <c r="BI321" s="72">
        <v>0</v>
      </c>
      <c r="BJ321" s="72">
        <v>0</v>
      </c>
      <c r="BK321" s="72">
        <v>0</v>
      </c>
      <c r="BL321" s="72">
        <v>0</v>
      </c>
      <c r="BM321" s="72">
        <v>0</v>
      </c>
      <c r="BN321" s="72">
        <v>0</v>
      </c>
      <c r="BO321" s="72">
        <v>0</v>
      </c>
      <c r="BP321" s="72">
        <v>0</v>
      </c>
      <c r="BQ321" s="72">
        <v>0</v>
      </c>
      <c r="BR321" s="72">
        <v>0</v>
      </c>
      <c r="BS321" s="72">
        <v>0</v>
      </c>
      <c r="BT321" s="72">
        <v>0</v>
      </c>
      <c r="BU321" s="72">
        <v>0</v>
      </c>
      <c r="BV321" s="72">
        <v>0</v>
      </c>
      <c r="BW321" s="72">
        <v>0</v>
      </c>
      <c r="BX321" s="72">
        <v>0</v>
      </c>
      <c r="BY321" s="72">
        <v>0</v>
      </c>
      <c r="BZ321" s="72">
        <v>0</v>
      </c>
      <c r="CA321" s="72">
        <v>0</v>
      </c>
      <c r="CB321" s="72">
        <v>0</v>
      </c>
      <c r="CC321" s="72">
        <v>0</v>
      </c>
      <c r="CD321" s="72">
        <v>0</v>
      </c>
      <c r="CE321" s="72">
        <v>0</v>
      </c>
      <c r="CF321" s="72">
        <v>0</v>
      </c>
      <c r="CG321" s="72">
        <v>0</v>
      </c>
      <c r="CH321" s="72">
        <v>0</v>
      </c>
      <c r="CI321" s="72">
        <v>0</v>
      </c>
      <c r="CJ321" s="72">
        <v>0</v>
      </c>
      <c r="CK321" s="72">
        <v>0</v>
      </c>
      <c r="CL321" s="72">
        <v>0</v>
      </c>
      <c r="CM321" s="72">
        <v>0</v>
      </c>
      <c r="CN321" s="72">
        <v>0</v>
      </c>
      <c r="CO321" s="72">
        <v>0</v>
      </c>
      <c r="CP321" s="72">
        <v>0</v>
      </c>
      <c r="CQ321" s="72">
        <v>0</v>
      </c>
      <c r="CR321" s="72">
        <v>0</v>
      </c>
      <c r="CS321" s="72">
        <v>0</v>
      </c>
      <c r="CT321" s="72">
        <v>0</v>
      </c>
      <c r="CU321" s="72">
        <v>0</v>
      </c>
      <c r="CV321" s="72">
        <v>0</v>
      </c>
      <c r="CW321" s="72">
        <v>0</v>
      </c>
      <c r="CX321" s="72">
        <v>0</v>
      </c>
      <c r="CY321" s="72">
        <v>0</v>
      </c>
      <c r="CZ321" s="72">
        <v>0</v>
      </c>
      <c r="DA321" s="72">
        <v>0</v>
      </c>
      <c r="DB321" s="72">
        <v>0</v>
      </c>
      <c r="DC321" s="72">
        <v>0</v>
      </c>
      <c r="DD321" s="72">
        <v>0</v>
      </c>
      <c r="DE321" s="72">
        <v>0</v>
      </c>
      <c r="DF321" s="72">
        <v>0</v>
      </c>
    </row>
    <row r="322" spans="1:110" x14ac:dyDescent="0.35">
      <c r="A322" s="7"/>
      <c r="B322" s="8" t="s">
        <v>574</v>
      </c>
      <c r="C322" s="8" t="s">
        <v>575</v>
      </c>
      <c r="D322" s="10" t="s">
        <v>1166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7</v>
      </c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</row>
    <row r="323" spans="1:110" x14ac:dyDescent="0.35">
      <c r="A323" s="7"/>
      <c r="B323" s="8" t="s">
        <v>576</v>
      </c>
      <c r="C323" s="8" t="s">
        <v>577</v>
      </c>
      <c r="D323" s="10" t="s">
        <v>578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0</v>
      </c>
      <c r="J323" s="10"/>
      <c r="K323" s="10" t="s">
        <v>42</v>
      </c>
      <c r="L323" s="8"/>
      <c r="M323" s="12"/>
      <c r="N323" s="12">
        <f t="shared" ref="N323:N386" si="6">M323*DF323</f>
        <v>0</v>
      </c>
      <c r="O323" s="11"/>
      <c r="P323" s="11"/>
      <c r="Q323" s="11"/>
      <c r="R323" s="11"/>
      <c r="S323" s="11"/>
      <c r="T323" s="11"/>
      <c r="U323" s="11">
        <v>0</v>
      </c>
      <c r="V323" s="11">
        <v>0</v>
      </c>
      <c r="W323" s="11">
        <v>0</v>
      </c>
      <c r="X323" s="11">
        <v>0</v>
      </c>
      <c r="Y323" s="11">
        <v>0</v>
      </c>
      <c r="Z323" s="11">
        <v>0</v>
      </c>
      <c r="AA323" s="11">
        <v>0</v>
      </c>
      <c r="AB323" s="11">
        <v>0</v>
      </c>
      <c r="AC323" s="11">
        <v>0</v>
      </c>
      <c r="AD323" s="11">
        <v>0</v>
      </c>
      <c r="AE323" s="11">
        <v>0</v>
      </c>
      <c r="AF323" s="11">
        <v>0</v>
      </c>
      <c r="AG323" s="11">
        <v>0</v>
      </c>
      <c r="AH323" s="11">
        <v>0</v>
      </c>
      <c r="AI323" s="11">
        <v>0</v>
      </c>
      <c r="AJ323" s="11">
        <v>0</v>
      </c>
      <c r="AK323" s="11">
        <v>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</row>
    <row r="324" spans="1:110" x14ac:dyDescent="0.35">
      <c r="A324" s="7"/>
      <c r="B324" s="8" t="s">
        <v>579</v>
      </c>
      <c r="C324" s="8" t="s">
        <v>580</v>
      </c>
      <c r="D324" s="10" t="s">
        <v>578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4</v>
      </c>
      <c r="J324" s="10"/>
      <c r="K324" s="10" t="s">
        <v>42</v>
      </c>
      <c r="L324" s="8"/>
      <c r="M324" s="12"/>
      <c r="N324" s="12">
        <f t="shared" si="6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>
        <v>4</v>
      </c>
      <c r="AA324" s="11">
        <v>4</v>
      </c>
      <c r="AB324" s="11">
        <v>4</v>
      </c>
      <c r="AC324" s="11">
        <v>4</v>
      </c>
      <c r="AD324" s="11">
        <v>4</v>
      </c>
      <c r="AE324" s="11">
        <v>4</v>
      </c>
      <c r="AF324" s="11">
        <v>4</v>
      </c>
      <c r="AG324" s="11">
        <v>4</v>
      </c>
      <c r="AH324" s="11">
        <v>4</v>
      </c>
      <c r="AI324" s="11">
        <v>4</v>
      </c>
      <c r="AJ324" s="11">
        <v>4</v>
      </c>
      <c r="AK324" s="11">
        <v>4</v>
      </c>
      <c r="AL324" s="11">
        <v>4</v>
      </c>
      <c r="AM324" s="11">
        <v>4</v>
      </c>
      <c r="AN324" s="72">
        <v>4</v>
      </c>
      <c r="AO324" s="72">
        <v>4</v>
      </c>
      <c r="AP324" s="72">
        <v>4</v>
      </c>
      <c r="AQ324" s="72">
        <v>4</v>
      </c>
      <c r="AR324" s="72">
        <v>4</v>
      </c>
      <c r="AS324" s="72">
        <v>4</v>
      </c>
      <c r="AT324" s="72">
        <v>4</v>
      </c>
      <c r="AU324" s="72">
        <v>4</v>
      </c>
      <c r="AV324" s="72">
        <v>4</v>
      </c>
      <c r="AW324" s="72">
        <v>4</v>
      </c>
      <c r="AX324" s="72">
        <v>4</v>
      </c>
      <c r="AY324" s="72">
        <v>4</v>
      </c>
      <c r="AZ324" s="72">
        <v>4</v>
      </c>
      <c r="BA324" s="72">
        <v>4</v>
      </c>
      <c r="BB324" s="72">
        <v>4</v>
      </c>
      <c r="BC324" s="72">
        <v>4</v>
      </c>
      <c r="BD324" s="72">
        <v>4</v>
      </c>
      <c r="BE324" s="72">
        <v>4</v>
      </c>
      <c r="BF324" s="72">
        <v>4</v>
      </c>
      <c r="BG324" s="72">
        <v>4</v>
      </c>
      <c r="BH324" s="72">
        <v>4</v>
      </c>
      <c r="BI324" s="72">
        <v>4</v>
      </c>
      <c r="BJ324" s="72">
        <v>4</v>
      </c>
      <c r="BK324" s="72">
        <v>4</v>
      </c>
      <c r="BL324" s="72">
        <v>4</v>
      </c>
      <c r="BM324" s="72">
        <v>4</v>
      </c>
      <c r="BN324" s="72">
        <v>4</v>
      </c>
      <c r="BO324" s="72">
        <v>4</v>
      </c>
      <c r="BP324" s="72">
        <v>4</v>
      </c>
      <c r="BQ324" s="72">
        <v>4</v>
      </c>
      <c r="BR324" s="72">
        <v>4</v>
      </c>
      <c r="BS324" s="72">
        <v>4</v>
      </c>
      <c r="BT324" s="72">
        <v>4</v>
      </c>
      <c r="BU324" s="72">
        <v>4</v>
      </c>
      <c r="BV324" s="72">
        <v>4</v>
      </c>
      <c r="BW324" s="72">
        <v>4</v>
      </c>
      <c r="BX324" s="72">
        <v>4</v>
      </c>
      <c r="BY324" s="72">
        <v>4</v>
      </c>
      <c r="BZ324" s="72">
        <v>4</v>
      </c>
      <c r="CA324" s="72">
        <v>4</v>
      </c>
      <c r="CB324" s="72">
        <v>4</v>
      </c>
      <c r="CC324" s="72">
        <v>4</v>
      </c>
      <c r="CD324" s="72">
        <v>4</v>
      </c>
      <c r="CE324" s="72">
        <v>4</v>
      </c>
      <c r="CF324" s="72">
        <v>4</v>
      </c>
      <c r="CG324" s="72">
        <v>4</v>
      </c>
      <c r="CH324" s="72">
        <v>4</v>
      </c>
      <c r="CI324" s="72">
        <v>4</v>
      </c>
      <c r="CJ324" s="72">
        <v>4</v>
      </c>
      <c r="CK324" s="72">
        <v>4</v>
      </c>
      <c r="CL324" s="72">
        <v>4</v>
      </c>
      <c r="CM324" s="72">
        <v>4</v>
      </c>
      <c r="CN324" s="72">
        <v>4</v>
      </c>
      <c r="CO324" s="72">
        <v>4</v>
      </c>
      <c r="CP324" s="72">
        <v>4</v>
      </c>
      <c r="CQ324" s="72">
        <v>4</v>
      </c>
      <c r="CR324" s="72">
        <v>4</v>
      </c>
      <c r="CS324" s="72">
        <v>4</v>
      </c>
      <c r="CT324" s="72">
        <v>4</v>
      </c>
      <c r="CU324" s="72">
        <v>4</v>
      </c>
      <c r="CV324" s="72">
        <v>4</v>
      </c>
      <c r="CW324" s="72">
        <v>4</v>
      </c>
      <c r="CX324" s="72">
        <v>4</v>
      </c>
      <c r="CY324" s="72">
        <v>4</v>
      </c>
      <c r="CZ324" s="72">
        <v>4</v>
      </c>
      <c r="DA324" s="72">
        <v>4</v>
      </c>
      <c r="DB324" s="72">
        <v>4</v>
      </c>
      <c r="DC324" s="72">
        <v>4</v>
      </c>
      <c r="DD324" s="72">
        <v>4</v>
      </c>
      <c r="DE324" s="72">
        <v>4</v>
      </c>
      <c r="DF324" s="72">
        <v>4</v>
      </c>
    </row>
    <row r="325" spans="1:110" x14ac:dyDescent="0.35">
      <c r="A325" s="7"/>
      <c r="B325" s="8" t="s">
        <v>581</v>
      </c>
      <c r="C325" s="8" t="s">
        <v>582</v>
      </c>
      <c r="D325" s="10" t="s">
        <v>578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/>
      <c r="J325" s="10">
        <v>4</v>
      </c>
      <c r="K325" s="10" t="s">
        <v>42</v>
      </c>
      <c r="L325" s="8" t="s">
        <v>583</v>
      </c>
      <c r="M325" s="12"/>
      <c r="N325" s="12">
        <f t="shared" si="6"/>
        <v>0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>
        <v>0</v>
      </c>
      <c r="BI325" s="72">
        <v>0</v>
      </c>
      <c r="BJ325" s="72">
        <v>0</v>
      </c>
      <c r="BK325" s="72">
        <v>0</v>
      </c>
      <c r="BL325" s="72">
        <v>0</v>
      </c>
      <c r="BM325" s="72">
        <v>0</v>
      </c>
      <c r="BN325" s="72">
        <v>0</v>
      </c>
      <c r="BO325" s="72">
        <v>0</v>
      </c>
      <c r="BP325" s="72">
        <v>0</v>
      </c>
      <c r="BQ325" s="72">
        <v>0</v>
      </c>
      <c r="BR325" s="72">
        <v>0</v>
      </c>
      <c r="BS325" s="72">
        <v>0</v>
      </c>
      <c r="BT325" s="72">
        <v>0</v>
      </c>
      <c r="BU325" s="72">
        <v>0</v>
      </c>
      <c r="BV325" s="72">
        <v>0</v>
      </c>
      <c r="BW325" s="72">
        <v>0</v>
      </c>
      <c r="BX325" s="72">
        <v>0</v>
      </c>
      <c r="BY325" s="72">
        <v>0</v>
      </c>
      <c r="BZ325" s="72">
        <v>0</v>
      </c>
      <c r="CA325" s="72">
        <v>0</v>
      </c>
      <c r="CB325" s="72">
        <v>0</v>
      </c>
      <c r="CC325" s="72">
        <v>0</v>
      </c>
      <c r="CD325" s="72">
        <v>0</v>
      </c>
      <c r="CE325" s="72">
        <v>0</v>
      </c>
      <c r="CF325" s="72">
        <v>0</v>
      </c>
      <c r="CG325" s="72">
        <v>0</v>
      </c>
      <c r="CH325" s="72">
        <v>0</v>
      </c>
      <c r="CI325" s="72">
        <v>0</v>
      </c>
      <c r="CJ325" s="72">
        <v>0</v>
      </c>
      <c r="CK325" s="72">
        <v>0</v>
      </c>
      <c r="CL325" s="72">
        <v>0</v>
      </c>
      <c r="CM325" s="72">
        <v>0</v>
      </c>
      <c r="CN325" s="72">
        <v>0</v>
      </c>
      <c r="CO325" s="72">
        <v>0</v>
      </c>
      <c r="CP325" s="72">
        <v>0</v>
      </c>
      <c r="CQ325" s="72">
        <v>0</v>
      </c>
      <c r="CR325" s="72">
        <v>0</v>
      </c>
      <c r="CS325" s="72">
        <v>0</v>
      </c>
      <c r="CT325" s="72">
        <v>0</v>
      </c>
      <c r="CU325" s="72">
        <v>0</v>
      </c>
      <c r="CV325" s="72">
        <v>0</v>
      </c>
      <c r="CW325" s="72">
        <v>0</v>
      </c>
      <c r="CX325" s="72">
        <v>0</v>
      </c>
      <c r="CY325" s="72">
        <v>0</v>
      </c>
      <c r="CZ325" s="72">
        <v>0</v>
      </c>
      <c r="DA325" s="72">
        <v>0</v>
      </c>
      <c r="DB325" s="72">
        <v>0</v>
      </c>
      <c r="DC325" s="72">
        <v>0</v>
      </c>
      <c r="DD325" s="72">
        <v>0</v>
      </c>
      <c r="DE325" s="72">
        <v>0</v>
      </c>
      <c r="DF325" s="72">
        <v>0</v>
      </c>
    </row>
    <row r="326" spans="1:110" x14ac:dyDescent="0.35">
      <c r="A326" s="7"/>
      <c r="B326" s="8" t="s">
        <v>584</v>
      </c>
      <c r="C326" s="8" t="s">
        <v>585</v>
      </c>
      <c r="D326" s="10" t="s">
        <v>578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/>
      <c r="J326" s="10">
        <v>4</v>
      </c>
      <c r="K326" s="10" t="s">
        <v>42</v>
      </c>
      <c r="L326" s="8" t="s">
        <v>583</v>
      </c>
      <c r="M326" s="12"/>
      <c r="N326" s="12">
        <f t="shared" si="6"/>
        <v>0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>
        <v>0</v>
      </c>
      <c r="BI326" s="72">
        <v>0</v>
      </c>
      <c r="BJ326" s="72">
        <v>0</v>
      </c>
      <c r="BK326" s="72">
        <v>0</v>
      </c>
      <c r="BL326" s="72">
        <v>0</v>
      </c>
      <c r="BM326" s="72">
        <v>0</v>
      </c>
      <c r="BN326" s="72">
        <v>0</v>
      </c>
      <c r="BO326" s="72">
        <v>0</v>
      </c>
      <c r="BP326" s="72">
        <v>0</v>
      </c>
      <c r="BQ326" s="72">
        <v>0</v>
      </c>
      <c r="BR326" s="72">
        <v>0</v>
      </c>
      <c r="BS326" s="72">
        <v>0</v>
      </c>
      <c r="BT326" s="72">
        <v>0</v>
      </c>
      <c r="BU326" s="72">
        <v>0</v>
      </c>
      <c r="BV326" s="72">
        <v>0</v>
      </c>
      <c r="BW326" s="72">
        <v>0</v>
      </c>
      <c r="BX326" s="72">
        <v>0</v>
      </c>
      <c r="BY326" s="72">
        <v>0</v>
      </c>
      <c r="BZ326" s="72">
        <v>0</v>
      </c>
      <c r="CA326" s="72">
        <v>0</v>
      </c>
      <c r="CB326" s="72">
        <v>0</v>
      </c>
      <c r="CC326" s="72">
        <v>0</v>
      </c>
      <c r="CD326" s="72">
        <v>0</v>
      </c>
      <c r="CE326" s="72">
        <v>0</v>
      </c>
      <c r="CF326" s="72">
        <v>0</v>
      </c>
      <c r="CG326" s="72">
        <v>0</v>
      </c>
      <c r="CH326" s="72">
        <v>0</v>
      </c>
      <c r="CI326" s="72">
        <v>0</v>
      </c>
      <c r="CJ326" s="72">
        <v>0</v>
      </c>
      <c r="CK326" s="72">
        <v>0</v>
      </c>
      <c r="CL326" s="72">
        <v>0</v>
      </c>
      <c r="CM326" s="72">
        <v>0</v>
      </c>
      <c r="CN326" s="72">
        <v>0</v>
      </c>
      <c r="CO326" s="72">
        <v>0</v>
      </c>
      <c r="CP326" s="72">
        <v>0</v>
      </c>
      <c r="CQ326" s="72">
        <v>0</v>
      </c>
      <c r="CR326" s="72">
        <v>0</v>
      </c>
      <c r="CS326" s="72">
        <v>0</v>
      </c>
      <c r="CT326" s="72">
        <v>0</v>
      </c>
      <c r="CU326" s="72">
        <v>0</v>
      </c>
      <c r="CV326" s="72">
        <v>0</v>
      </c>
      <c r="CW326" s="72">
        <v>0</v>
      </c>
      <c r="CX326" s="72">
        <v>0</v>
      </c>
      <c r="CY326" s="72">
        <v>0</v>
      </c>
      <c r="CZ326" s="72">
        <v>0</v>
      </c>
      <c r="DA326" s="72">
        <v>0</v>
      </c>
      <c r="DB326" s="72">
        <v>0</v>
      </c>
      <c r="DC326" s="72">
        <v>0</v>
      </c>
      <c r="DD326" s="72">
        <v>0</v>
      </c>
      <c r="DE326" s="72">
        <v>0</v>
      </c>
      <c r="DF326" s="72">
        <v>0</v>
      </c>
    </row>
    <row r="327" spans="1:110" x14ac:dyDescent="0.35">
      <c r="A327" s="7"/>
      <c r="B327" s="8" t="s">
        <v>586</v>
      </c>
      <c r="C327" s="7" t="s">
        <v>587</v>
      </c>
      <c r="D327" s="10" t="s">
        <v>588</v>
      </c>
      <c r="E327" s="8" t="s">
        <v>1206</v>
      </c>
      <c r="F327" s="10">
        <v>1002</v>
      </c>
      <c r="G327" s="10" t="s">
        <v>40</v>
      </c>
      <c r="H327" s="10" t="s">
        <v>41</v>
      </c>
      <c r="I327" s="11">
        <v>4</v>
      </c>
      <c r="J327" s="10"/>
      <c r="K327" s="10" t="s">
        <v>42</v>
      </c>
      <c r="L327" s="8"/>
      <c r="M327" s="12">
        <v>30</v>
      </c>
      <c r="N327" s="12">
        <f t="shared" si="6"/>
        <v>120</v>
      </c>
      <c r="O327" s="11">
        <v>4</v>
      </c>
      <c r="P327" s="11">
        <v>4</v>
      </c>
      <c r="Q327" s="11">
        <v>4</v>
      </c>
      <c r="R327" s="11">
        <v>4</v>
      </c>
      <c r="S327" s="11">
        <v>4</v>
      </c>
      <c r="T327" s="11">
        <v>4</v>
      </c>
      <c r="U327" s="11">
        <v>4</v>
      </c>
      <c r="V327" s="11">
        <v>4</v>
      </c>
      <c r="W327" s="11">
        <v>4</v>
      </c>
      <c r="X327" s="11">
        <v>4</v>
      </c>
      <c r="Y327" s="11">
        <v>4</v>
      </c>
      <c r="Z327" s="11">
        <v>4</v>
      </c>
      <c r="AA327" s="11">
        <v>4</v>
      </c>
      <c r="AB327" s="11">
        <v>4</v>
      </c>
      <c r="AC327" s="11">
        <v>4</v>
      </c>
      <c r="AD327" s="11">
        <v>4</v>
      </c>
      <c r="AE327" s="11">
        <v>4</v>
      </c>
      <c r="AF327" s="11">
        <v>4</v>
      </c>
      <c r="AG327" s="11">
        <v>4</v>
      </c>
      <c r="AH327" s="11">
        <v>4</v>
      </c>
      <c r="AI327" s="11">
        <v>4</v>
      </c>
      <c r="AJ327" s="11">
        <v>4</v>
      </c>
      <c r="AK327" s="11">
        <v>4</v>
      </c>
      <c r="AL327" s="11">
        <v>4</v>
      </c>
      <c r="AM327" s="11">
        <v>4</v>
      </c>
      <c r="AN327" s="72">
        <v>4</v>
      </c>
      <c r="AO327" s="72">
        <v>4</v>
      </c>
      <c r="AP327" s="72">
        <v>4</v>
      </c>
      <c r="AQ327" s="72">
        <v>4</v>
      </c>
      <c r="AR327" s="72">
        <v>4</v>
      </c>
      <c r="AS327" s="72">
        <v>4</v>
      </c>
      <c r="AT327" s="72">
        <v>4</v>
      </c>
      <c r="AU327" s="72">
        <v>4</v>
      </c>
      <c r="AV327" s="72">
        <v>4</v>
      </c>
      <c r="AW327" s="72">
        <v>4</v>
      </c>
      <c r="AX327" s="72">
        <v>4</v>
      </c>
      <c r="AY327" s="72">
        <v>4</v>
      </c>
      <c r="AZ327" s="72">
        <v>4</v>
      </c>
      <c r="BA327" s="72">
        <v>4</v>
      </c>
      <c r="BB327" s="72">
        <v>4</v>
      </c>
      <c r="BC327" s="72">
        <v>4</v>
      </c>
      <c r="BD327" s="72">
        <v>4</v>
      </c>
      <c r="BE327" s="72">
        <v>4</v>
      </c>
      <c r="BF327" s="72">
        <v>4</v>
      </c>
      <c r="BG327" s="72">
        <v>4</v>
      </c>
      <c r="BH327" s="72">
        <v>4</v>
      </c>
      <c r="BI327" s="72">
        <v>4</v>
      </c>
      <c r="BJ327" s="72">
        <v>4</v>
      </c>
      <c r="BK327" s="72">
        <v>4</v>
      </c>
      <c r="BL327" s="72">
        <v>4</v>
      </c>
      <c r="BM327" s="72">
        <v>4</v>
      </c>
      <c r="BN327" s="72">
        <v>4</v>
      </c>
      <c r="BO327" s="72">
        <v>4</v>
      </c>
      <c r="BP327" s="72">
        <v>4</v>
      </c>
      <c r="BQ327" s="72">
        <v>4</v>
      </c>
      <c r="BR327" s="72">
        <v>4</v>
      </c>
      <c r="BS327" s="72">
        <v>4</v>
      </c>
      <c r="BT327" s="72">
        <v>4</v>
      </c>
      <c r="BU327" s="72">
        <v>4</v>
      </c>
      <c r="BV327" s="72">
        <v>4</v>
      </c>
      <c r="BW327" s="72">
        <v>4</v>
      </c>
      <c r="BX327" s="72">
        <v>4</v>
      </c>
      <c r="BY327" s="72">
        <v>4</v>
      </c>
      <c r="BZ327" s="72">
        <v>4</v>
      </c>
      <c r="CA327" s="72">
        <v>4</v>
      </c>
      <c r="CB327" s="72">
        <v>4</v>
      </c>
      <c r="CC327" s="72">
        <v>4</v>
      </c>
      <c r="CD327" s="72">
        <v>4</v>
      </c>
      <c r="CE327" s="72">
        <v>4</v>
      </c>
      <c r="CF327" s="72">
        <v>4</v>
      </c>
      <c r="CG327" s="72">
        <v>4</v>
      </c>
      <c r="CH327" s="72">
        <v>4</v>
      </c>
      <c r="CI327" s="72">
        <v>4</v>
      </c>
      <c r="CJ327" s="72">
        <v>4</v>
      </c>
      <c r="CK327" s="72">
        <v>4</v>
      </c>
      <c r="CL327" s="72">
        <v>4</v>
      </c>
      <c r="CM327" s="72">
        <v>4</v>
      </c>
      <c r="CN327" s="72">
        <v>4</v>
      </c>
      <c r="CO327" s="72">
        <v>4</v>
      </c>
      <c r="CP327" s="72">
        <v>4</v>
      </c>
      <c r="CQ327" s="72">
        <v>4</v>
      </c>
      <c r="CR327" s="72">
        <v>4</v>
      </c>
      <c r="CS327" s="72">
        <v>4</v>
      </c>
      <c r="CT327" s="72">
        <v>4</v>
      </c>
      <c r="CU327" s="72">
        <v>4</v>
      </c>
      <c r="CV327" s="72">
        <v>4</v>
      </c>
      <c r="CW327" s="72">
        <v>4</v>
      </c>
      <c r="CX327" s="72">
        <v>4</v>
      </c>
      <c r="CY327" s="72">
        <v>4</v>
      </c>
      <c r="CZ327" s="72">
        <v>4</v>
      </c>
      <c r="DA327" s="72">
        <v>4</v>
      </c>
      <c r="DB327" s="72">
        <v>4</v>
      </c>
      <c r="DC327" s="72">
        <v>4</v>
      </c>
      <c r="DD327" s="72">
        <v>4</v>
      </c>
      <c r="DE327" s="72">
        <v>4</v>
      </c>
      <c r="DF327" s="72">
        <v>4</v>
      </c>
    </row>
    <row r="328" spans="1:110" x14ac:dyDescent="0.35">
      <c r="A328" s="7"/>
      <c r="B328" s="77" t="s">
        <v>1514</v>
      </c>
      <c r="C328" s="118" t="s">
        <v>1517</v>
      </c>
      <c r="D328" s="97" t="s">
        <v>1518</v>
      </c>
      <c r="E328" s="92" t="s">
        <v>1519</v>
      </c>
      <c r="F328" s="10"/>
      <c r="G328" s="10" t="s">
        <v>40</v>
      </c>
      <c r="H328" s="10" t="s">
        <v>41</v>
      </c>
      <c r="I328" s="11"/>
      <c r="J328" s="10"/>
      <c r="K328" s="10"/>
      <c r="L328" s="8"/>
      <c r="M328" s="12">
        <v>135.08437369837105</v>
      </c>
      <c r="N328" s="12">
        <f t="shared" si="6"/>
        <v>135.08437369837105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  <c r="DF328" s="72">
        <v>1</v>
      </c>
    </row>
    <row r="329" spans="1:110" x14ac:dyDescent="0.35">
      <c r="A329" s="7"/>
      <c r="B329" s="77" t="s">
        <v>1515</v>
      </c>
      <c r="C329" s="118" t="s">
        <v>1520</v>
      </c>
      <c r="D329" s="97" t="s">
        <v>1518</v>
      </c>
      <c r="E329" s="92" t="s">
        <v>1519</v>
      </c>
      <c r="F329" s="10"/>
      <c r="G329" s="10" t="s">
        <v>40</v>
      </c>
      <c r="H329" s="10" t="s">
        <v>41</v>
      </c>
      <c r="I329" s="11"/>
      <c r="J329" s="10"/>
      <c r="K329" s="10"/>
      <c r="L329" s="8"/>
      <c r="M329" s="12">
        <v>125.84795848296203</v>
      </c>
      <c r="N329" s="12">
        <f t="shared" si="6"/>
        <v>125.84795848296203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</row>
    <row r="330" spans="1:110" x14ac:dyDescent="0.35">
      <c r="A330" s="7"/>
      <c r="B330" s="8">
        <v>20030658</v>
      </c>
      <c r="C330" s="9" t="s">
        <v>589</v>
      </c>
      <c r="D330" s="10" t="s">
        <v>590</v>
      </c>
      <c r="E330" s="8" t="s">
        <v>1228</v>
      </c>
      <c r="F330" s="10">
        <v>1105</v>
      </c>
      <c r="G330" s="10" t="s">
        <v>40</v>
      </c>
      <c r="H330" s="10" t="s">
        <v>95</v>
      </c>
      <c r="I330" s="11">
        <v>3000</v>
      </c>
      <c r="J330" s="10"/>
      <c r="K330" s="10" t="s">
        <v>591</v>
      </c>
      <c r="L330" s="8" t="s">
        <v>189</v>
      </c>
      <c r="M330" s="12"/>
      <c r="N330" s="12">
        <f t="shared" si="6"/>
        <v>0</v>
      </c>
      <c r="O330" s="11">
        <v>3000</v>
      </c>
      <c r="P330" s="11">
        <v>3000</v>
      </c>
      <c r="Q330" s="11">
        <v>3000</v>
      </c>
      <c r="R330" s="11">
        <v>3000</v>
      </c>
      <c r="S330" s="11">
        <v>3000</v>
      </c>
      <c r="T330" s="11">
        <v>3000</v>
      </c>
      <c r="U330" s="11">
        <v>3000</v>
      </c>
      <c r="V330" s="11">
        <v>3000</v>
      </c>
      <c r="W330" s="11">
        <v>3000</v>
      </c>
      <c r="X330" s="11">
        <v>3000</v>
      </c>
      <c r="Y330" s="11">
        <v>3000</v>
      </c>
      <c r="Z330" s="11">
        <v>3000</v>
      </c>
      <c r="AA330" s="11">
        <v>3000</v>
      </c>
      <c r="AB330" s="11">
        <v>3000</v>
      </c>
      <c r="AC330" s="11">
        <v>3000</v>
      </c>
      <c r="AD330" s="11">
        <v>3000</v>
      </c>
      <c r="AE330" s="11">
        <v>3000</v>
      </c>
      <c r="AF330" s="11">
        <v>3000</v>
      </c>
      <c r="AG330" s="11">
        <v>3000</v>
      </c>
      <c r="AH330" s="11">
        <v>3000</v>
      </c>
      <c r="AI330" s="11">
        <v>3000</v>
      </c>
      <c r="AJ330" s="11">
        <v>3000</v>
      </c>
      <c r="AK330" s="11">
        <v>3000</v>
      </c>
      <c r="AL330" s="11">
        <v>3000</v>
      </c>
      <c r="AM330" s="11">
        <v>3000</v>
      </c>
      <c r="AN330" s="72">
        <v>3000</v>
      </c>
      <c r="AO330" s="72">
        <v>3000</v>
      </c>
      <c r="AP330" s="72">
        <v>3000</v>
      </c>
      <c r="AQ330" s="72">
        <v>3000</v>
      </c>
      <c r="AR330" s="72">
        <v>3000</v>
      </c>
      <c r="AS330" s="72">
        <v>3000</v>
      </c>
      <c r="AT330" s="72">
        <v>3000</v>
      </c>
      <c r="AU330" s="72">
        <v>3000</v>
      </c>
      <c r="AV330" s="72">
        <v>3000</v>
      </c>
      <c r="AW330" s="72">
        <v>3000</v>
      </c>
      <c r="AX330" s="72">
        <v>3000</v>
      </c>
      <c r="AY330" s="72">
        <v>3000</v>
      </c>
      <c r="AZ330" s="72">
        <v>3000</v>
      </c>
      <c r="BA330" s="72">
        <v>3000</v>
      </c>
      <c r="BB330" s="72">
        <v>3000</v>
      </c>
      <c r="BC330" s="72">
        <v>3000</v>
      </c>
      <c r="BD330" s="72">
        <v>3000</v>
      </c>
      <c r="BE330" s="72">
        <v>3000</v>
      </c>
      <c r="BF330" s="72">
        <v>3000</v>
      </c>
      <c r="BG330" s="72">
        <v>3000</v>
      </c>
      <c r="BH330" s="72">
        <v>3000</v>
      </c>
      <c r="BI330" s="72">
        <v>3000</v>
      </c>
      <c r="BJ330" s="72">
        <v>3000</v>
      </c>
      <c r="BK330" s="72">
        <v>3000</v>
      </c>
      <c r="BL330" s="72">
        <v>3000</v>
      </c>
      <c r="BM330" s="72">
        <v>3000</v>
      </c>
      <c r="BN330" s="72">
        <v>3000</v>
      </c>
      <c r="BO330" s="72">
        <v>3000</v>
      </c>
      <c r="BP330" s="72">
        <v>3000</v>
      </c>
      <c r="BQ330" s="72">
        <v>3000</v>
      </c>
      <c r="BR330" s="72">
        <v>3000</v>
      </c>
      <c r="BS330" s="72">
        <v>3000</v>
      </c>
      <c r="BT330" s="72">
        <v>3000</v>
      </c>
      <c r="BU330" s="72">
        <v>3000</v>
      </c>
      <c r="BV330" s="72">
        <v>3000</v>
      </c>
      <c r="BW330" s="72">
        <v>3000</v>
      </c>
      <c r="BX330" s="72">
        <v>3000</v>
      </c>
      <c r="BY330" s="72">
        <v>3000</v>
      </c>
      <c r="BZ330" s="72">
        <v>3000</v>
      </c>
      <c r="CA330" s="72">
        <v>3000</v>
      </c>
      <c r="CB330" s="72">
        <v>3000</v>
      </c>
      <c r="CC330" s="72">
        <v>3000</v>
      </c>
      <c r="CD330" s="72">
        <v>3000</v>
      </c>
      <c r="CE330" s="72">
        <v>3000</v>
      </c>
      <c r="CF330" s="72">
        <v>3000</v>
      </c>
      <c r="CG330" s="72">
        <v>3000</v>
      </c>
      <c r="CH330" s="72">
        <v>3000</v>
      </c>
      <c r="CI330" s="72">
        <v>3000</v>
      </c>
      <c r="CJ330" s="72">
        <v>3000</v>
      </c>
      <c r="CK330" s="72">
        <v>3000</v>
      </c>
      <c r="CL330" s="72">
        <v>3000</v>
      </c>
      <c r="CM330" s="72">
        <v>3000</v>
      </c>
      <c r="CN330" s="72">
        <v>3000</v>
      </c>
      <c r="CO330" s="72">
        <v>3000</v>
      </c>
      <c r="CP330" s="72">
        <v>3000</v>
      </c>
      <c r="CQ330" s="72">
        <v>3000</v>
      </c>
      <c r="CR330" s="72">
        <v>3000</v>
      </c>
      <c r="CS330" s="72">
        <v>3000</v>
      </c>
      <c r="CT330" s="72">
        <v>3000</v>
      </c>
      <c r="CU330" s="72">
        <v>3000</v>
      </c>
      <c r="CV330" s="72">
        <v>3000</v>
      </c>
      <c r="CW330" s="72">
        <v>3000</v>
      </c>
      <c r="CX330" s="72">
        <v>3000</v>
      </c>
      <c r="CY330" s="72">
        <v>3000</v>
      </c>
      <c r="CZ330" s="72">
        <v>3000</v>
      </c>
      <c r="DA330" s="72">
        <v>3000</v>
      </c>
      <c r="DB330" s="72">
        <v>3000</v>
      </c>
      <c r="DC330" s="72">
        <v>3000</v>
      </c>
      <c r="DD330" s="72">
        <f>3000-107</f>
        <v>2893</v>
      </c>
      <c r="DE330" s="72">
        <f>3000-107</f>
        <v>2893</v>
      </c>
      <c r="DF330" s="72">
        <f>3000-107</f>
        <v>2893</v>
      </c>
    </row>
    <row r="331" spans="1:110" x14ac:dyDescent="0.35">
      <c r="A331" s="7"/>
      <c r="B331" s="77" t="s">
        <v>1370</v>
      </c>
      <c r="C331" s="9" t="s">
        <v>1372</v>
      </c>
      <c r="D331" s="10" t="s">
        <v>1373</v>
      </c>
      <c r="E331" s="8" t="s">
        <v>1374</v>
      </c>
      <c r="F331" s="10"/>
      <c r="G331" s="10"/>
      <c r="H331" s="10" t="s">
        <v>41</v>
      </c>
      <c r="I331" s="11"/>
      <c r="J331" s="10"/>
      <c r="K331" s="10"/>
      <c r="L331" s="8"/>
      <c r="M331" s="12">
        <v>475</v>
      </c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</row>
    <row r="332" spans="1:110" x14ac:dyDescent="0.35">
      <c r="A332" s="7"/>
      <c r="B332" s="21" t="s">
        <v>592</v>
      </c>
      <c r="C332" s="22" t="s">
        <v>593</v>
      </c>
      <c r="D332" s="23" t="s">
        <v>594</v>
      </c>
      <c r="E332" s="21" t="s">
        <v>1221</v>
      </c>
      <c r="F332" s="23">
        <v>1006</v>
      </c>
      <c r="G332" s="10" t="s">
        <v>40</v>
      </c>
      <c r="H332" s="10" t="s">
        <v>41</v>
      </c>
      <c r="I332" s="11">
        <v>2</v>
      </c>
      <c r="J332" s="23"/>
      <c r="K332" s="10"/>
      <c r="L332" s="8"/>
      <c r="M332" s="12"/>
      <c r="N332" s="12">
        <f t="shared" si="6"/>
        <v>0</v>
      </c>
      <c r="O332" s="11">
        <v>2</v>
      </c>
      <c r="P332" s="11">
        <v>2</v>
      </c>
      <c r="Q332" s="11">
        <v>2</v>
      </c>
      <c r="R332" s="11">
        <v>2</v>
      </c>
      <c r="S332" s="11">
        <v>2</v>
      </c>
      <c r="T332" s="11">
        <v>2</v>
      </c>
      <c r="U332" s="11">
        <v>2</v>
      </c>
      <c r="V332" s="11">
        <v>2</v>
      </c>
      <c r="W332" s="11">
        <v>2</v>
      </c>
      <c r="X332" s="11">
        <v>2</v>
      </c>
      <c r="Y332" s="11">
        <v>2</v>
      </c>
      <c r="Z332" s="11">
        <v>2</v>
      </c>
      <c r="AA332" s="11">
        <v>2</v>
      </c>
      <c r="AB332" s="11">
        <v>2</v>
      </c>
      <c r="AC332" s="11">
        <v>2</v>
      </c>
      <c r="AD332" s="11">
        <v>2</v>
      </c>
      <c r="AE332" s="11">
        <v>2</v>
      </c>
      <c r="AF332" s="11">
        <v>2</v>
      </c>
      <c r="AG332" s="11">
        <v>2</v>
      </c>
      <c r="AH332" s="11">
        <v>2</v>
      </c>
      <c r="AI332" s="11">
        <v>2</v>
      </c>
      <c r="AJ332" s="11">
        <v>2</v>
      </c>
      <c r="AK332" s="11">
        <v>2</v>
      </c>
      <c r="AL332" s="11">
        <v>2</v>
      </c>
      <c r="AM332" s="11">
        <v>2</v>
      </c>
      <c r="AN332" s="72">
        <v>2</v>
      </c>
      <c r="AO332" s="72">
        <v>2</v>
      </c>
      <c r="AP332" s="72">
        <v>2</v>
      </c>
      <c r="AQ332" s="72">
        <v>2</v>
      </c>
      <c r="AR332" s="72">
        <v>2</v>
      </c>
      <c r="AS332" s="72">
        <v>2</v>
      </c>
      <c r="AT332" s="72">
        <v>2</v>
      </c>
      <c r="AU332" s="72">
        <v>2</v>
      </c>
      <c r="AV332" s="72">
        <v>2</v>
      </c>
      <c r="AW332" s="72">
        <v>2</v>
      </c>
      <c r="AX332" s="72">
        <v>2</v>
      </c>
      <c r="AY332" s="72">
        <v>2</v>
      </c>
      <c r="AZ332" s="72">
        <v>2</v>
      </c>
      <c r="BA332" s="72">
        <v>2</v>
      </c>
      <c r="BB332" s="72">
        <v>2</v>
      </c>
      <c r="BC332" s="72">
        <v>2</v>
      </c>
      <c r="BD332" s="72">
        <v>2</v>
      </c>
      <c r="BE332" s="72">
        <v>2</v>
      </c>
      <c r="BF332" s="72">
        <v>2</v>
      </c>
      <c r="BG332" s="72">
        <v>2</v>
      </c>
      <c r="BH332" s="72">
        <v>2</v>
      </c>
      <c r="BI332" s="72">
        <v>2</v>
      </c>
      <c r="BJ332" s="72">
        <v>2</v>
      </c>
      <c r="BK332" s="72">
        <v>2</v>
      </c>
      <c r="BL332" s="72">
        <v>2</v>
      </c>
      <c r="BM332" s="72">
        <v>2</v>
      </c>
      <c r="BN332" s="72">
        <v>2</v>
      </c>
      <c r="BO332" s="72">
        <v>2</v>
      </c>
      <c r="BP332" s="72">
        <v>2</v>
      </c>
      <c r="BQ332" s="72">
        <v>2</v>
      </c>
      <c r="BR332" s="72">
        <v>2</v>
      </c>
      <c r="BS332" s="72">
        <v>2</v>
      </c>
      <c r="BT332" s="72">
        <v>2</v>
      </c>
      <c r="BU332" s="72">
        <v>2</v>
      </c>
      <c r="BV332" s="72">
        <v>2</v>
      </c>
      <c r="BW332" s="72">
        <v>2</v>
      </c>
      <c r="BX332" s="72">
        <v>2</v>
      </c>
      <c r="BY332" s="72">
        <v>2</v>
      </c>
      <c r="BZ332" s="72">
        <v>2</v>
      </c>
      <c r="CA332" s="72">
        <v>2</v>
      </c>
      <c r="CB332" s="72">
        <v>2</v>
      </c>
      <c r="CC332" s="72">
        <v>2</v>
      </c>
      <c r="CD332" s="72">
        <v>2</v>
      </c>
      <c r="CE332" s="72">
        <v>2</v>
      </c>
      <c r="CF332" s="72">
        <v>2</v>
      </c>
      <c r="CG332" s="72">
        <v>2</v>
      </c>
      <c r="CH332" s="72">
        <v>2</v>
      </c>
      <c r="CI332" s="72">
        <v>2</v>
      </c>
      <c r="CJ332" s="72">
        <v>2</v>
      </c>
      <c r="CK332" s="72">
        <v>2</v>
      </c>
      <c r="CL332" s="72">
        <v>2</v>
      </c>
      <c r="CM332" s="72">
        <v>2</v>
      </c>
      <c r="CN332" s="72">
        <v>2</v>
      </c>
      <c r="CO332" s="72">
        <v>2</v>
      </c>
      <c r="CP332" s="72">
        <v>2</v>
      </c>
      <c r="CQ332" s="72">
        <v>2</v>
      </c>
      <c r="CR332" s="72">
        <v>2</v>
      </c>
      <c r="CS332" s="72">
        <v>2</v>
      </c>
      <c r="CT332" s="72">
        <v>2</v>
      </c>
      <c r="CU332" s="72">
        <v>2</v>
      </c>
      <c r="CV332" s="72">
        <v>2</v>
      </c>
      <c r="CW332" s="72">
        <v>2</v>
      </c>
      <c r="CX332" s="72">
        <v>2</v>
      </c>
      <c r="CY332" s="72">
        <v>2</v>
      </c>
      <c r="CZ332" s="72">
        <v>2</v>
      </c>
      <c r="DA332" s="72">
        <v>2</v>
      </c>
      <c r="DB332" s="72">
        <v>2</v>
      </c>
      <c r="DC332" s="72">
        <v>2</v>
      </c>
      <c r="DD332" s="72">
        <v>2</v>
      </c>
      <c r="DE332" s="72">
        <v>2</v>
      </c>
      <c r="DF332" s="72">
        <v>2</v>
      </c>
    </row>
    <row r="333" spans="1:110" x14ac:dyDescent="0.35">
      <c r="A333" s="7"/>
      <c r="B333" s="8" t="s">
        <v>595</v>
      </c>
      <c r="C333" s="78" t="s">
        <v>1354</v>
      </c>
      <c r="D333" s="10" t="s">
        <v>594</v>
      </c>
      <c r="E333" s="21" t="s">
        <v>1221</v>
      </c>
      <c r="F333" s="10">
        <v>1006</v>
      </c>
      <c r="G333" s="10" t="s">
        <v>40</v>
      </c>
      <c r="H333" s="10" t="s">
        <v>41</v>
      </c>
      <c r="I333" s="11">
        <v>20</v>
      </c>
      <c r="J333" s="10"/>
      <c r="K333" s="10" t="s">
        <v>42</v>
      </c>
      <c r="L333" s="8"/>
      <c r="M333" s="12">
        <v>25.89</v>
      </c>
      <c r="N333" s="12">
        <f t="shared" si="6"/>
        <v>517.79999999999995</v>
      </c>
      <c r="O333" s="11">
        <v>20</v>
      </c>
      <c r="P333" s="11">
        <v>20</v>
      </c>
      <c r="Q333" s="11">
        <v>20</v>
      </c>
      <c r="R333" s="11">
        <v>20</v>
      </c>
      <c r="S333" s="11">
        <v>20</v>
      </c>
      <c r="T333" s="11">
        <v>20</v>
      </c>
      <c r="U333" s="11">
        <v>20</v>
      </c>
      <c r="V333" s="11">
        <v>20</v>
      </c>
      <c r="W333" s="11">
        <v>20</v>
      </c>
      <c r="X333" s="11">
        <v>20</v>
      </c>
      <c r="Y333" s="11">
        <v>20</v>
      </c>
      <c r="Z333" s="11">
        <v>20</v>
      </c>
      <c r="AA333" s="11">
        <v>20</v>
      </c>
      <c r="AB333" s="11">
        <v>20</v>
      </c>
      <c r="AC333" s="11">
        <v>20</v>
      </c>
      <c r="AD333" s="11">
        <v>20</v>
      </c>
      <c r="AE333" s="11">
        <v>20</v>
      </c>
      <c r="AF333" s="11">
        <v>20</v>
      </c>
      <c r="AG333" s="11">
        <v>20</v>
      </c>
      <c r="AH333" s="11">
        <v>20</v>
      </c>
      <c r="AI333" s="11">
        <v>20</v>
      </c>
      <c r="AJ333" s="11">
        <v>20</v>
      </c>
      <c r="AK333" s="11">
        <v>20</v>
      </c>
      <c r="AL333" s="11">
        <v>20</v>
      </c>
      <c r="AM333" s="11">
        <v>20</v>
      </c>
      <c r="AN333" s="72">
        <v>20</v>
      </c>
      <c r="AO333" s="72">
        <v>20</v>
      </c>
      <c r="AP333" s="72">
        <v>20</v>
      </c>
      <c r="AQ333" s="72">
        <v>20</v>
      </c>
      <c r="AR333" s="72">
        <v>20</v>
      </c>
      <c r="AS333" s="72">
        <v>20</v>
      </c>
      <c r="AT333" s="72">
        <v>20</v>
      </c>
      <c r="AU333" s="72">
        <v>20</v>
      </c>
      <c r="AV333" s="72">
        <v>20</v>
      </c>
      <c r="AW333" s="72">
        <v>20</v>
      </c>
      <c r="AX333" s="72">
        <v>20</v>
      </c>
      <c r="AY333" s="72">
        <v>20</v>
      </c>
      <c r="AZ333" s="72">
        <v>20</v>
      </c>
      <c r="BA333" s="72">
        <v>20</v>
      </c>
      <c r="BB333" s="72">
        <v>20</v>
      </c>
      <c r="BC333" s="72">
        <v>20</v>
      </c>
      <c r="BD333" s="72">
        <v>20</v>
      </c>
      <c r="BE333" s="72">
        <v>20</v>
      </c>
      <c r="BF333" s="72">
        <v>20</v>
      </c>
      <c r="BG333" s="72">
        <v>20</v>
      </c>
      <c r="BH333" s="72">
        <v>20</v>
      </c>
      <c r="BI333" s="72">
        <v>20</v>
      </c>
      <c r="BJ333" s="72">
        <v>20</v>
      </c>
      <c r="BK333" s="72">
        <v>20</v>
      </c>
      <c r="BL333" s="72">
        <v>20</v>
      </c>
      <c r="BM333" s="72">
        <v>20</v>
      </c>
      <c r="BN333" s="72">
        <v>20</v>
      </c>
      <c r="BO333" s="72">
        <v>20</v>
      </c>
      <c r="BP333" s="72">
        <v>20</v>
      </c>
      <c r="BQ333" s="72">
        <v>20</v>
      </c>
      <c r="BR333" s="72">
        <v>20</v>
      </c>
      <c r="BS333" s="72">
        <v>20</v>
      </c>
      <c r="BT333" s="72">
        <v>20</v>
      </c>
      <c r="BU333" s="72">
        <v>20</v>
      </c>
      <c r="BV333" s="72">
        <v>20</v>
      </c>
      <c r="BW333" s="72">
        <v>20</v>
      </c>
      <c r="BX333" s="72">
        <v>20</v>
      </c>
      <c r="BY333" s="72">
        <v>20</v>
      </c>
      <c r="BZ333" s="72">
        <v>20</v>
      </c>
      <c r="CA333" s="72">
        <v>20</v>
      </c>
      <c r="CB333" s="72">
        <v>20</v>
      </c>
      <c r="CC333" s="72">
        <v>20</v>
      </c>
      <c r="CD333" s="72">
        <v>20</v>
      </c>
      <c r="CE333" s="72">
        <v>20</v>
      </c>
      <c r="CF333" s="72">
        <v>20</v>
      </c>
      <c r="CG333" s="72">
        <v>20</v>
      </c>
      <c r="CH333" s="72">
        <v>20</v>
      </c>
      <c r="CI333" s="72">
        <v>20</v>
      </c>
      <c r="CJ333" s="72">
        <v>20</v>
      </c>
      <c r="CK333" s="72">
        <v>20</v>
      </c>
      <c r="CL333" s="72">
        <v>20</v>
      </c>
      <c r="CM333" s="72">
        <v>20</v>
      </c>
      <c r="CN333" s="72">
        <v>20</v>
      </c>
      <c r="CO333" s="72">
        <v>20</v>
      </c>
      <c r="CP333" s="72">
        <v>20</v>
      </c>
      <c r="CQ333" s="72">
        <v>20</v>
      </c>
      <c r="CR333" s="72">
        <v>20</v>
      </c>
      <c r="CS333" s="72">
        <v>20</v>
      </c>
      <c r="CT333" s="72">
        <v>20</v>
      </c>
      <c r="CU333" s="72">
        <v>20</v>
      </c>
      <c r="CV333" s="72">
        <v>20</v>
      </c>
      <c r="CW333" s="72">
        <v>20</v>
      </c>
      <c r="CX333" s="72">
        <v>20</v>
      </c>
      <c r="CY333" s="72">
        <v>20</v>
      </c>
      <c r="CZ333" s="72">
        <v>20</v>
      </c>
      <c r="DA333" s="72">
        <v>20</v>
      </c>
      <c r="DB333" s="72">
        <v>20</v>
      </c>
      <c r="DC333" s="72">
        <v>20</v>
      </c>
      <c r="DD333" s="72">
        <v>20</v>
      </c>
      <c r="DE333" s="72">
        <v>20</v>
      </c>
      <c r="DF333" s="72">
        <v>20</v>
      </c>
    </row>
    <row r="334" spans="1:110" x14ac:dyDescent="0.35">
      <c r="A334" s="7"/>
      <c r="B334" s="8" t="s">
        <v>596</v>
      </c>
      <c r="C334" s="78" t="s">
        <v>1355</v>
      </c>
      <c r="D334" s="10" t="s">
        <v>594</v>
      </c>
      <c r="E334" s="21" t="s">
        <v>1221</v>
      </c>
      <c r="F334" s="10">
        <v>1006</v>
      </c>
      <c r="G334" s="10" t="s">
        <v>40</v>
      </c>
      <c r="H334" s="10" t="s">
        <v>41</v>
      </c>
      <c r="I334" s="11">
        <v>1</v>
      </c>
      <c r="J334" s="10"/>
      <c r="K334" s="10" t="s">
        <v>42</v>
      </c>
      <c r="L334" s="8"/>
      <c r="M334" s="12">
        <v>39.15</v>
      </c>
      <c r="N334" s="12">
        <f t="shared" si="6"/>
        <v>0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T334" s="11">
        <v>1</v>
      </c>
      <c r="U334" s="11">
        <v>1</v>
      </c>
      <c r="V334" s="11">
        <v>1</v>
      </c>
      <c r="W334" s="11">
        <v>1</v>
      </c>
      <c r="X334" s="11">
        <v>1</v>
      </c>
      <c r="Y334" s="11">
        <v>1</v>
      </c>
      <c r="Z334" s="11">
        <v>1</v>
      </c>
      <c r="AA334" s="11">
        <v>1</v>
      </c>
      <c r="AB334" s="11">
        <v>1</v>
      </c>
      <c r="AC334" s="11">
        <v>1</v>
      </c>
      <c r="AD334" s="11">
        <v>1</v>
      </c>
      <c r="AE334" s="11">
        <v>1</v>
      </c>
      <c r="AF334" s="11">
        <v>1</v>
      </c>
      <c r="AG334" s="11">
        <v>1</v>
      </c>
      <c r="AH334" s="11">
        <v>1</v>
      </c>
      <c r="AI334" s="11">
        <v>1</v>
      </c>
      <c r="AJ334" s="11">
        <v>1</v>
      </c>
      <c r="AK334" s="11">
        <v>1</v>
      </c>
      <c r="AL334" s="11">
        <v>1</v>
      </c>
      <c r="AM334" s="11">
        <v>1</v>
      </c>
      <c r="AN334" s="72">
        <v>1</v>
      </c>
      <c r="AO334" s="72">
        <v>1</v>
      </c>
      <c r="AP334" s="72">
        <v>1</v>
      </c>
      <c r="AQ334" s="72">
        <v>1</v>
      </c>
      <c r="AR334" s="72">
        <v>1</v>
      </c>
      <c r="AS334" s="72">
        <v>1</v>
      </c>
      <c r="AT334" s="72">
        <v>1</v>
      </c>
      <c r="AU334" s="72">
        <v>1</v>
      </c>
      <c r="AV334" s="72">
        <v>1</v>
      </c>
      <c r="AW334" s="72">
        <v>1</v>
      </c>
      <c r="AX334" s="72">
        <v>1</v>
      </c>
      <c r="AY334" s="72">
        <v>1</v>
      </c>
      <c r="AZ334" s="72">
        <v>1</v>
      </c>
      <c r="BA334" s="72">
        <v>1</v>
      </c>
      <c r="BB334" s="72">
        <v>1</v>
      </c>
      <c r="BC334" s="72">
        <v>1</v>
      </c>
      <c r="BD334" s="72">
        <v>1</v>
      </c>
      <c r="BE334" s="72">
        <v>1</v>
      </c>
      <c r="BF334" s="72">
        <v>1</v>
      </c>
      <c r="BG334" s="72">
        <v>1</v>
      </c>
      <c r="BH334" s="72">
        <v>1</v>
      </c>
      <c r="BI334" s="72">
        <v>1</v>
      </c>
      <c r="BJ334" s="72">
        <v>1</v>
      </c>
      <c r="BK334" s="72">
        <v>1</v>
      </c>
      <c r="BL334" s="72">
        <v>0</v>
      </c>
      <c r="BM334" s="72">
        <v>0</v>
      </c>
      <c r="BN334" s="72">
        <v>0</v>
      </c>
      <c r="BO334" s="72">
        <v>0</v>
      </c>
      <c r="BP334" s="72">
        <v>0</v>
      </c>
      <c r="BQ334" s="72">
        <v>0</v>
      </c>
      <c r="BR334" s="72">
        <v>0</v>
      </c>
      <c r="BS334" s="72">
        <v>0</v>
      </c>
      <c r="BT334" s="72">
        <v>0</v>
      </c>
      <c r="BU334" s="72">
        <v>0</v>
      </c>
      <c r="BV334" s="72">
        <v>0</v>
      </c>
      <c r="BW334" s="72">
        <v>0</v>
      </c>
      <c r="BX334" s="72">
        <v>0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0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  <c r="DF334" s="72">
        <v>0</v>
      </c>
    </row>
    <row r="335" spans="1:110" x14ac:dyDescent="0.35">
      <c r="A335" s="7"/>
      <c r="B335" s="77" t="s">
        <v>1266</v>
      </c>
      <c r="C335" s="78" t="s">
        <v>1356</v>
      </c>
      <c r="D335" s="10" t="s">
        <v>594</v>
      </c>
      <c r="E335" s="21" t="s">
        <v>1221</v>
      </c>
      <c r="F335" s="10"/>
      <c r="G335" s="10"/>
      <c r="H335" s="10" t="s">
        <v>41</v>
      </c>
      <c r="I335" s="11"/>
      <c r="J335" s="10"/>
      <c r="K335" s="10"/>
      <c r="L335" s="8"/>
      <c r="M335" s="12">
        <v>80.739999999999995</v>
      </c>
      <c r="N335" s="12">
        <f t="shared" si="6"/>
        <v>161.47999999999999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>
        <v>2</v>
      </c>
      <c r="AX335" s="72">
        <v>2</v>
      </c>
      <c r="AY335" s="72">
        <v>2</v>
      </c>
      <c r="AZ335" s="72">
        <v>2</v>
      </c>
      <c r="BA335" s="72">
        <v>2</v>
      </c>
      <c r="BB335" s="72">
        <v>2</v>
      </c>
      <c r="BC335" s="72">
        <v>2</v>
      </c>
      <c r="BD335" s="72">
        <v>2</v>
      </c>
      <c r="BE335" s="72">
        <v>2</v>
      </c>
      <c r="BF335" s="72">
        <v>2</v>
      </c>
      <c r="BG335" s="72">
        <v>2</v>
      </c>
      <c r="BH335" s="72">
        <v>2</v>
      </c>
      <c r="BI335" s="72">
        <v>2</v>
      </c>
      <c r="BJ335" s="72">
        <v>2</v>
      </c>
      <c r="BK335" s="72">
        <v>2</v>
      </c>
      <c r="BL335" s="72">
        <v>2</v>
      </c>
      <c r="BM335" s="72">
        <v>2</v>
      </c>
      <c r="BN335" s="72">
        <v>2</v>
      </c>
      <c r="BO335" s="72">
        <v>2</v>
      </c>
      <c r="BP335" s="72">
        <v>2</v>
      </c>
      <c r="BQ335" s="72">
        <v>2</v>
      </c>
      <c r="BR335" s="72">
        <v>2</v>
      </c>
      <c r="BS335" s="72">
        <v>2</v>
      </c>
      <c r="BT335" s="72">
        <v>2</v>
      </c>
      <c r="BU335" s="72">
        <v>2</v>
      </c>
      <c r="BV335" s="72">
        <v>2</v>
      </c>
      <c r="BW335" s="72">
        <v>2</v>
      </c>
      <c r="BX335" s="72">
        <v>2</v>
      </c>
      <c r="BY335" s="72">
        <v>2</v>
      </c>
      <c r="BZ335" s="72">
        <v>2</v>
      </c>
      <c r="CA335" s="72">
        <v>2</v>
      </c>
      <c r="CB335" s="72">
        <v>2</v>
      </c>
      <c r="CC335" s="72">
        <v>2</v>
      </c>
      <c r="CD335" s="72">
        <v>2</v>
      </c>
      <c r="CE335" s="72">
        <v>2</v>
      </c>
      <c r="CF335" s="72">
        <v>2</v>
      </c>
      <c r="CG335" s="72">
        <v>2</v>
      </c>
      <c r="CH335" s="72">
        <v>2</v>
      </c>
      <c r="CI335" s="72">
        <v>2</v>
      </c>
      <c r="CJ335" s="72">
        <v>2</v>
      </c>
      <c r="CK335" s="72">
        <v>2</v>
      </c>
      <c r="CL335" s="72">
        <v>2</v>
      </c>
      <c r="CM335" s="72">
        <v>2</v>
      </c>
      <c r="CN335" s="72">
        <v>2</v>
      </c>
      <c r="CO335" s="72">
        <v>2</v>
      </c>
      <c r="CP335" s="72">
        <v>2</v>
      </c>
      <c r="CQ335" s="72">
        <v>2</v>
      </c>
      <c r="CR335" s="72">
        <v>2</v>
      </c>
      <c r="CS335" s="72">
        <v>2</v>
      </c>
      <c r="CT335" s="72">
        <v>2</v>
      </c>
      <c r="CU335" s="72">
        <v>2</v>
      </c>
      <c r="CV335" s="72">
        <v>2</v>
      </c>
      <c r="CW335" s="72">
        <v>2</v>
      </c>
      <c r="CX335" s="72">
        <v>2</v>
      </c>
      <c r="CY335" s="72">
        <v>2</v>
      </c>
      <c r="CZ335" s="72">
        <v>2</v>
      </c>
      <c r="DA335" s="72">
        <v>2</v>
      </c>
      <c r="DB335" s="72">
        <v>2</v>
      </c>
      <c r="DC335" s="72">
        <v>2</v>
      </c>
      <c r="DD335" s="72">
        <v>2</v>
      </c>
      <c r="DE335" s="72">
        <v>2</v>
      </c>
      <c r="DF335" s="72">
        <v>2</v>
      </c>
    </row>
    <row r="336" spans="1:110" x14ac:dyDescent="0.35">
      <c r="A336" s="7"/>
      <c r="B336" s="77" t="s">
        <v>1350</v>
      </c>
      <c r="C336" s="78" t="s">
        <v>1357</v>
      </c>
      <c r="D336" s="10" t="s">
        <v>594</v>
      </c>
      <c r="E336" s="21" t="s">
        <v>1221</v>
      </c>
      <c r="F336" s="10"/>
      <c r="G336" s="10"/>
      <c r="H336" s="10" t="s">
        <v>41</v>
      </c>
      <c r="I336" s="11"/>
      <c r="J336" s="10"/>
      <c r="K336" s="10"/>
      <c r="L336" s="8"/>
      <c r="M336" s="12"/>
      <c r="N336" s="12">
        <f t="shared" si="6"/>
        <v>0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>
        <v>2</v>
      </c>
      <c r="BK336" s="72">
        <v>2</v>
      </c>
      <c r="BL336" s="72">
        <v>2</v>
      </c>
      <c r="BM336" s="72">
        <v>2</v>
      </c>
      <c r="BN336" s="72">
        <v>2</v>
      </c>
      <c r="BO336" s="72">
        <v>2</v>
      </c>
      <c r="BP336" s="72">
        <v>2</v>
      </c>
      <c r="BQ336" s="72">
        <v>2</v>
      </c>
      <c r="BR336" s="72">
        <v>2</v>
      </c>
      <c r="BS336" s="72">
        <v>2</v>
      </c>
      <c r="BT336" s="72">
        <v>2</v>
      </c>
      <c r="BU336" s="72">
        <v>2</v>
      </c>
      <c r="BV336" s="72">
        <v>2</v>
      </c>
      <c r="BW336" s="72">
        <v>2</v>
      </c>
      <c r="BX336" s="72">
        <v>2</v>
      </c>
      <c r="BY336" s="72">
        <v>2</v>
      </c>
      <c r="BZ336" s="72">
        <v>2</v>
      </c>
      <c r="CA336" s="72">
        <v>2</v>
      </c>
      <c r="CB336" s="72">
        <v>2</v>
      </c>
      <c r="CC336" s="72">
        <v>2</v>
      </c>
      <c r="CD336" s="72">
        <v>2</v>
      </c>
      <c r="CE336" s="72">
        <v>2</v>
      </c>
      <c r="CF336" s="72">
        <v>2</v>
      </c>
      <c r="CG336" s="72">
        <v>2</v>
      </c>
      <c r="CH336" s="72">
        <v>2</v>
      </c>
      <c r="CI336" s="72">
        <v>2</v>
      </c>
      <c r="CJ336" s="72">
        <v>2</v>
      </c>
      <c r="CK336" s="72">
        <v>2</v>
      </c>
      <c r="CL336" s="72">
        <v>2</v>
      </c>
      <c r="CM336" s="72">
        <v>2</v>
      </c>
      <c r="CN336" s="72">
        <v>2</v>
      </c>
      <c r="CO336" s="72">
        <v>2</v>
      </c>
      <c r="CP336" s="72">
        <v>2</v>
      </c>
      <c r="CQ336" s="72">
        <v>2</v>
      </c>
      <c r="CR336" s="72">
        <v>2</v>
      </c>
      <c r="CS336" s="72">
        <v>2</v>
      </c>
      <c r="CT336" s="72">
        <v>2</v>
      </c>
      <c r="CU336" s="72">
        <v>2</v>
      </c>
      <c r="CV336" s="72">
        <v>2</v>
      </c>
      <c r="CW336" s="72">
        <v>2</v>
      </c>
      <c r="CX336" s="72">
        <v>2</v>
      </c>
      <c r="CY336" s="72">
        <v>2</v>
      </c>
      <c r="CZ336" s="72">
        <v>2</v>
      </c>
      <c r="DA336" s="72">
        <v>2</v>
      </c>
      <c r="DB336" s="72">
        <v>2</v>
      </c>
      <c r="DC336" s="72">
        <v>2</v>
      </c>
      <c r="DD336" s="72">
        <v>2</v>
      </c>
      <c r="DE336" s="72">
        <v>2</v>
      </c>
      <c r="DF336" s="72">
        <v>2</v>
      </c>
    </row>
    <row r="337" spans="1:110" x14ac:dyDescent="0.35">
      <c r="A337" s="7"/>
      <c r="B337" s="21" t="s">
        <v>597</v>
      </c>
      <c r="C337" s="22" t="s">
        <v>598</v>
      </c>
      <c r="D337" s="10" t="s">
        <v>594</v>
      </c>
      <c r="E337" s="8" t="s">
        <v>1205</v>
      </c>
      <c r="F337" s="23">
        <v>1006</v>
      </c>
      <c r="G337" s="10" t="s">
        <v>40</v>
      </c>
      <c r="H337" s="10" t="s">
        <v>41</v>
      </c>
      <c r="I337" s="11">
        <v>4</v>
      </c>
      <c r="J337" s="23"/>
      <c r="K337" s="10"/>
      <c r="L337" s="8"/>
      <c r="M337" s="12">
        <v>205</v>
      </c>
      <c r="N337" s="12">
        <f t="shared" si="6"/>
        <v>1230</v>
      </c>
      <c r="O337" s="11">
        <v>6</v>
      </c>
      <c r="P337" s="11">
        <v>6</v>
      </c>
      <c r="Q337" s="11">
        <v>6</v>
      </c>
      <c r="R337" s="11">
        <v>6</v>
      </c>
      <c r="S337" s="11">
        <v>6</v>
      </c>
      <c r="T337" s="11">
        <v>6</v>
      </c>
      <c r="U337" s="11">
        <v>6</v>
      </c>
      <c r="V337" s="11">
        <v>6</v>
      </c>
      <c r="W337" s="11">
        <v>6</v>
      </c>
      <c r="X337" s="11">
        <v>6</v>
      </c>
      <c r="Y337" s="11">
        <v>6</v>
      </c>
      <c r="Z337" s="11">
        <v>6</v>
      </c>
      <c r="AA337" s="11">
        <v>6</v>
      </c>
      <c r="AB337" s="11">
        <v>6</v>
      </c>
      <c r="AC337" s="11">
        <v>6</v>
      </c>
      <c r="AD337" s="11">
        <v>6</v>
      </c>
      <c r="AE337" s="11">
        <v>4</v>
      </c>
      <c r="AF337" s="11">
        <v>4</v>
      </c>
      <c r="AG337" s="11">
        <v>4</v>
      </c>
      <c r="AH337" s="11">
        <v>4</v>
      </c>
      <c r="AI337" s="11">
        <v>4</v>
      </c>
      <c r="AJ337" s="11">
        <v>4</v>
      </c>
      <c r="AK337" s="11">
        <v>4</v>
      </c>
      <c r="AL337" s="11">
        <v>4</v>
      </c>
      <c r="AM337" s="11">
        <v>4</v>
      </c>
      <c r="AN337" s="72">
        <v>4</v>
      </c>
      <c r="AO337" s="72">
        <v>4</v>
      </c>
      <c r="AP337" s="72">
        <v>4</v>
      </c>
      <c r="AQ337" s="72">
        <v>4</v>
      </c>
      <c r="AR337" s="72">
        <v>4</v>
      </c>
      <c r="AS337" s="72">
        <v>4</v>
      </c>
      <c r="AT337" s="72">
        <v>4</v>
      </c>
      <c r="AU337" s="72">
        <v>4</v>
      </c>
      <c r="AV337" s="72">
        <v>4</v>
      </c>
      <c r="AW337" s="72">
        <v>4</v>
      </c>
      <c r="AX337" s="72">
        <v>4</v>
      </c>
      <c r="AY337" s="72">
        <v>4</v>
      </c>
      <c r="AZ337" s="72">
        <v>4</v>
      </c>
      <c r="BA337" s="72">
        <v>4</v>
      </c>
      <c r="BB337" s="72">
        <v>4</v>
      </c>
      <c r="BC337" s="72">
        <v>4</v>
      </c>
      <c r="BD337" s="72">
        <v>4</v>
      </c>
      <c r="BE337" s="72">
        <v>4</v>
      </c>
      <c r="BF337" s="72">
        <v>4</v>
      </c>
      <c r="BG337" s="72">
        <v>4</v>
      </c>
      <c r="BH337" s="72">
        <v>4</v>
      </c>
      <c r="BI337" s="72">
        <v>4</v>
      </c>
      <c r="BJ337" s="72">
        <v>6</v>
      </c>
      <c r="BK337" s="72">
        <v>6</v>
      </c>
      <c r="BL337" s="72">
        <v>6</v>
      </c>
      <c r="BM337" s="72">
        <v>6</v>
      </c>
      <c r="BN337" s="72">
        <v>6</v>
      </c>
      <c r="BO337" s="72">
        <v>6</v>
      </c>
      <c r="BP337" s="72">
        <v>6</v>
      </c>
      <c r="BQ337" s="72">
        <v>6</v>
      </c>
      <c r="BR337" s="72">
        <v>6</v>
      </c>
      <c r="BS337" s="72">
        <v>6</v>
      </c>
      <c r="BT337" s="72">
        <v>6</v>
      </c>
      <c r="BU337" s="72">
        <v>6</v>
      </c>
      <c r="BV337" s="72">
        <v>6</v>
      </c>
      <c r="BW337" s="72">
        <v>6</v>
      </c>
      <c r="BX337" s="72">
        <v>6</v>
      </c>
      <c r="BY337" s="72">
        <v>6</v>
      </c>
      <c r="BZ337" s="72">
        <v>6</v>
      </c>
      <c r="CA337" s="72">
        <v>6</v>
      </c>
      <c r="CB337" s="72">
        <v>6</v>
      </c>
      <c r="CC337" s="72">
        <v>6</v>
      </c>
      <c r="CD337" s="72">
        <v>6</v>
      </c>
      <c r="CE337" s="72">
        <v>6</v>
      </c>
      <c r="CF337" s="72">
        <v>6</v>
      </c>
      <c r="CG337" s="72">
        <v>6</v>
      </c>
      <c r="CH337" s="72">
        <v>6</v>
      </c>
      <c r="CI337" s="72">
        <v>6</v>
      </c>
      <c r="CJ337" s="72">
        <v>6</v>
      </c>
      <c r="CK337" s="72">
        <v>6</v>
      </c>
      <c r="CL337" s="72">
        <v>6</v>
      </c>
      <c r="CM337" s="72">
        <v>6</v>
      </c>
      <c r="CN337" s="72">
        <v>6</v>
      </c>
      <c r="CO337" s="72">
        <v>6</v>
      </c>
      <c r="CP337" s="72">
        <v>6</v>
      </c>
      <c r="CQ337" s="72">
        <v>6</v>
      </c>
      <c r="CR337" s="72">
        <v>6</v>
      </c>
      <c r="CS337" s="72">
        <v>6</v>
      </c>
      <c r="CT337" s="72">
        <v>6</v>
      </c>
      <c r="CU337" s="72">
        <v>6</v>
      </c>
      <c r="CV337" s="72">
        <v>6</v>
      </c>
      <c r="CW337" s="72">
        <v>6</v>
      </c>
      <c r="CX337" s="72">
        <v>6</v>
      </c>
      <c r="CY337" s="72">
        <v>6</v>
      </c>
      <c r="CZ337" s="72">
        <v>6</v>
      </c>
      <c r="DA337" s="72">
        <v>6</v>
      </c>
      <c r="DB337" s="72">
        <v>6</v>
      </c>
      <c r="DC337" s="72">
        <v>6</v>
      </c>
      <c r="DD337" s="72">
        <v>6</v>
      </c>
      <c r="DE337" s="72">
        <v>6</v>
      </c>
      <c r="DF337" s="72">
        <v>6</v>
      </c>
    </row>
    <row r="338" spans="1:110" x14ac:dyDescent="0.35">
      <c r="A338" s="7"/>
      <c r="B338" s="21" t="s">
        <v>599</v>
      </c>
      <c r="C338" s="95" t="s">
        <v>1347</v>
      </c>
      <c r="D338" s="10" t="s">
        <v>594</v>
      </c>
      <c r="E338" s="8" t="s">
        <v>1205</v>
      </c>
      <c r="F338" s="23">
        <v>1006</v>
      </c>
      <c r="G338" s="10" t="s">
        <v>40</v>
      </c>
      <c r="H338" s="10" t="s">
        <v>41</v>
      </c>
      <c r="I338" s="11">
        <v>6</v>
      </c>
      <c r="J338" s="23"/>
      <c r="K338" s="10"/>
      <c r="L338" s="8"/>
      <c r="M338" s="12"/>
      <c r="N338" s="12">
        <f t="shared" si="6"/>
        <v>0</v>
      </c>
      <c r="O338" s="11">
        <v>6</v>
      </c>
      <c r="P338" s="11">
        <v>6</v>
      </c>
      <c r="Q338" s="11">
        <v>6</v>
      </c>
      <c r="R338" s="11">
        <v>6</v>
      </c>
      <c r="S338" s="11">
        <v>6</v>
      </c>
      <c r="T338" s="11">
        <v>6</v>
      </c>
      <c r="U338" s="11">
        <v>6</v>
      </c>
      <c r="V338" s="11">
        <v>6</v>
      </c>
      <c r="W338" s="11">
        <v>6</v>
      </c>
      <c r="X338" s="11">
        <v>6</v>
      </c>
      <c r="Y338" s="11">
        <v>6</v>
      </c>
      <c r="Z338" s="11">
        <v>6</v>
      </c>
      <c r="AA338" s="11">
        <v>6</v>
      </c>
      <c r="AB338" s="11">
        <v>6</v>
      </c>
      <c r="AC338" s="11">
        <v>6</v>
      </c>
      <c r="AD338" s="11">
        <v>6</v>
      </c>
      <c r="AE338" s="11">
        <v>6</v>
      </c>
      <c r="AF338" s="11">
        <v>6</v>
      </c>
      <c r="AG338" s="11">
        <v>6</v>
      </c>
      <c r="AH338" s="11">
        <v>6</v>
      </c>
      <c r="AI338" s="11">
        <v>6</v>
      </c>
      <c r="AJ338" s="11">
        <v>6</v>
      </c>
      <c r="AK338" s="11">
        <v>6</v>
      </c>
      <c r="AL338" s="11">
        <v>6</v>
      </c>
      <c r="AM338" s="11">
        <v>6</v>
      </c>
      <c r="AN338" s="72">
        <v>6</v>
      </c>
      <c r="AO338" s="72">
        <v>6</v>
      </c>
      <c r="AP338" s="72">
        <v>6</v>
      </c>
      <c r="AQ338" s="72">
        <v>6</v>
      </c>
      <c r="AR338" s="72">
        <v>6</v>
      </c>
      <c r="AS338" s="72">
        <v>6</v>
      </c>
      <c r="AT338" s="72">
        <v>6</v>
      </c>
      <c r="AU338" s="72">
        <v>6</v>
      </c>
      <c r="AV338" s="72">
        <v>6</v>
      </c>
      <c r="AW338" s="72">
        <v>6</v>
      </c>
      <c r="AX338" s="72">
        <v>6</v>
      </c>
      <c r="AY338" s="72">
        <v>6</v>
      </c>
      <c r="AZ338" s="72">
        <v>6</v>
      </c>
      <c r="BA338" s="72">
        <v>6</v>
      </c>
      <c r="BB338" s="72">
        <v>6</v>
      </c>
      <c r="BC338" s="72">
        <v>6</v>
      </c>
      <c r="BD338" s="72">
        <v>6</v>
      </c>
      <c r="BE338" s="72">
        <v>6</v>
      </c>
      <c r="BF338" s="72">
        <v>6</v>
      </c>
      <c r="BG338" s="72">
        <v>6</v>
      </c>
      <c r="BH338" s="72">
        <v>6</v>
      </c>
      <c r="BI338" s="72">
        <v>6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</row>
    <row r="339" spans="1:110" x14ac:dyDescent="0.35">
      <c r="A339" s="7"/>
      <c r="B339" s="21" t="s">
        <v>600</v>
      </c>
      <c r="C339" s="22" t="s">
        <v>601</v>
      </c>
      <c r="D339" s="10" t="s">
        <v>594</v>
      </c>
      <c r="E339" s="8" t="s">
        <v>1205</v>
      </c>
      <c r="F339" s="23">
        <v>1006</v>
      </c>
      <c r="G339" s="10" t="s">
        <v>40</v>
      </c>
      <c r="H339" s="10" t="s">
        <v>41</v>
      </c>
      <c r="I339" s="11">
        <v>1</v>
      </c>
      <c r="J339" s="23"/>
      <c r="K339" s="10" t="s">
        <v>53</v>
      </c>
      <c r="L339" s="8" t="s">
        <v>602</v>
      </c>
      <c r="M339" s="12">
        <v>205</v>
      </c>
      <c r="N339" s="12">
        <f t="shared" si="6"/>
        <v>0</v>
      </c>
      <c r="O339" s="11"/>
      <c r="P339" s="11"/>
      <c r="Q339" s="11">
        <v>4</v>
      </c>
      <c r="R339" s="11">
        <v>4</v>
      </c>
      <c r="S339" s="11">
        <v>4</v>
      </c>
      <c r="T339" s="11">
        <v>4</v>
      </c>
      <c r="U339" s="11">
        <v>4</v>
      </c>
      <c r="V339" s="11">
        <v>4</v>
      </c>
      <c r="W339" s="11">
        <v>4</v>
      </c>
      <c r="X339" s="11">
        <v>4</v>
      </c>
      <c r="Y339" s="11">
        <v>4</v>
      </c>
      <c r="Z339" s="11">
        <v>4</v>
      </c>
      <c r="AA339" s="11">
        <v>4</v>
      </c>
      <c r="AB339" s="11">
        <v>4</v>
      </c>
      <c r="AC339" s="11">
        <v>4</v>
      </c>
      <c r="AD339" s="11">
        <v>4</v>
      </c>
      <c r="AE339" s="11">
        <v>5</v>
      </c>
      <c r="AF339" s="11">
        <v>5</v>
      </c>
      <c r="AG339" s="11">
        <v>5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</row>
    <row r="340" spans="1:110" x14ac:dyDescent="0.35">
      <c r="A340" s="7"/>
      <c r="B340" s="79" t="s">
        <v>1169</v>
      </c>
      <c r="C340" s="22" t="s">
        <v>1178</v>
      </c>
      <c r="D340" s="10" t="s">
        <v>594</v>
      </c>
      <c r="E340" s="8" t="s">
        <v>1205</v>
      </c>
      <c r="F340" s="23"/>
      <c r="G340" s="10" t="s">
        <v>40</v>
      </c>
      <c r="H340" s="10" t="s">
        <v>41</v>
      </c>
      <c r="I340" s="11"/>
      <c r="J340" s="23"/>
      <c r="K340" s="10"/>
      <c r="L340" s="8"/>
      <c r="M340" s="12"/>
      <c r="N340" s="12">
        <f t="shared" si="6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>
        <v>2</v>
      </c>
      <c r="AP340" s="72">
        <v>2</v>
      </c>
      <c r="AQ340" s="72">
        <v>2</v>
      </c>
      <c r="AR340" s="72">
        <v>2</v>
      </c>
      <c r="AS340" s="72">
        <v>2</v>
      </c>
      <c r="AT340" s="72">
        <v>2</v>
      </c>
      <c r="AU340" s="72">
        <v>2</v>
      </c>
      <c r="AV340" s="72">
        <v>2</v>
      </c>
      <c r="AW340" s="72">
        <v>2</v>
      </c>
      <c r="AX340" s="72">
        <v>2</v>
      </c>
      <c r="AY340" s="72">
        <v>2</v>
      </c>
      <c r="AZ340" s="72">
        <v>2</v>
      </c>
      <c r="BA340" s="72">
        <v>2</v>
      </c>
      <c r="BB340" s="72">
        <v>2</v>
      </c>
      <c r="BC340" s="72">
        <v>2</v>
      </c>
      <c r="BD340" s="72">
        <v>2</v>
      </c>
      <c r="BE340" s="72">
        <v>2</v>
      </c>
      <c r="BF340" s="72">
        <v>2</v>
      </c>
      <c r="BG340" s="72">
        <v>2</v>
      </c>
      <c r="BH340" s="72">
        <v>2</v>
      </c>
      <c r="BI340" s="72">
        <v>2</v>
      </c>
      <c r="BJ340" s="72">
        <v>2</v>
      </c>
      <c r="BK340" s="72">
        <v>2</v>
      </c>
      <c r="BL340" s="72">
        <v>2</v>
      </c>
      <c r="BM340" s="72">
        <v>2</v>
      </c>
      <c r="BN340" s="72">
        <v>2</v>
      </c>
      <c r="BO340" s="72">
        <v>2</v>
      </c>
      <c r="BP340" s="72">
        <v>2</v>
      </c>
      <c r="BQ340" s="72">
        <v>2</v>
      </c>
      <c r="BR340" s="72">
        <v>2</v>
      </c>
      <c r="BS340" s="72">
        <v>2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</row>
    <row r="341" spans="1:110" x14ac:dyDescent="0.35">
      <c r="A341" s="7"/>
      <c r="B341" s="79" t="s">
        <v>1170</v>
      </c>
      <c r="C341" s="22" t="s">
        <v>1179</v>
      </c>
      <c r="D341" s="10" t="s">
        <v>594</v>
      </c>
      <c r="E341" s="8" t="s">
        <v>1205</v>
      </c>
      <c r="F341" s="23"/>
      <c r="G341" s="10" t="s">
        <v>40</v>
      </c>
      <c r="H341" s="10" t="s">
        <v>41</v>
      </c>
      <c r="I341" s="11"/>
      <c r="J341" s="23"/>
      <c r="K341" s="10"/>
      <c r="L341" s="8"/>
      <c r="M341" s="12">
        <v>122.16</v>
      </c>
      <c r="N341" s="12">
        <f t="shared" si="6"/>
        <v>244.32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>
        <v>5</v>
      </c>
      <c r="AP341" s="72">
        <v>5</v>
      </c>
      <c r="AQ341" s="72">
        <v>5</v>
      </c>
      <c r="AR341" s="72">
        <v>5</v>
      </c>
      <c r="AS341" s="72">
        <v>5</v>
      </c>
      <c r="AT341" s="72">
        <v>5</v>
      </c>
      <c r="AU341" s="72">
        <v>5</v>
      </c>
      <c r="AV341" s="72">
        <v>5</v>
      </c>
      <c r="AW341" s="72">
        <v>5</v>
      </c>
      <c r="AX341" s="72">
        <v>5</v>
      </c>
      <c r="AY341" s="72">
        <v>5</v>
      </c>
      <c r="AZ341" s="72">
        <v>5</v>
      </c>
      <c r="BA341" s="72">
        <v>5</v>
      </c>
      <c r="BB341" s="72">
        <v>5</v>
      </c>
      <c r="BC341" s="72">
        <v>5</v>
      </c>
      <c r="BD341" s="72">
        <v>5</v>
      </c>
      <c r="BE341" s="72">
        <v>5</v>
      </c>
      <c r="BF341" s="72">
        <v>5</v>
      </c>
      <c r="BG341" s="72">
        <v>5</v>
      </c>
      <c r="BH341" s="72">
        <v>5</v>
      </c>
      <c r="BI341" s="72">
        <v>5</v>
      </c>
      <c r="BJ341" s="72">
        <v>5</v>
      </c>
      <c r="BK341" s="72">
        <v>5</v>
      </c>
      <c r="BL341" s="72">
        <v>5</v>
      </c>
      <c r="BM341" s="72">
        <v>5</v>
      </c>
      <c r="BN341" s="72">
        <v>5</v>
      </c>
      <c r="BO341" s="72">
        <v>5</v>
      </c>
      <c r="BP341" s="72">
        <v>5</v>
      </c>
      <c r="BQ341" s="72">
        <v>5</v>
      </c>
      <c r="BR341" s="72">
        <v>5</v>
      </c>
      <c r="BS341" s="72">
        <v>5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</row>
    <row r="342" spans="1:110" x14ac:dyDescent="0.35">
      <c r="A342" s="7"/>
      <c r="B342" s="79" t="s">
        <v>1351</v>
      </c>
      <c r="C342" s="96" t="s">
        <v>1358</v>
      </c>
      <c r="D342" s="10" t="s">
        <v>594</v>
      </c>
      <c r="E342" s="8" t="s">
        <v>1205</v>
      </c>
      <c r="F342" s="23"/>
      <c r="G342" s="10"/>
      <c r="H342" s="10" t="s">
        <v>41</v>
      </c>
      <c r="I342" s="11"/>
      <c r="J342" s="23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7</v>
      </c>
      <c r="BK342" s="72">
        <v>7</v>
      </c>
      <c r="BL342" s="72">
        <v>7</v>
      </c>
      <c r="BM342" s="72">
        <v>7</v>
      </c>
      <c r="BN342" s="72">
        <v>7</v>
      </c>
      <c r="BO342" s="72">
        <v>7</v>
      </c>
      <c r="BP342" s="72">
        <v>7</v>
      </c>
      <c r="BQ342" s="72">
        <v>7</v>
      </c>
      <c r="BR342" s="72">
        <v>7</v>
      </c>
      <c r="BS342" s="72">
        <v>7</v>
      </c>
      <c r="BT342" s="72">
        <v>7</v>
      </c>
      <c r="BU342" s="72">
        <v>7</v>
      </c>
      <c r="BV342" s="72">
        <v>7</v>
      </c>
      <c r="BW342" s="72">
        <v>7</v>
      </c>
      <c r="BX342" s="72">
        <v>7</v>
      </c>
      <c r="BY342" s="72">
        <v>7</v>
      </c>
      <c r="BZ342" s="72">
        <v>7</v>
      </c>
      <c r="CA342" s="72">
        <v>7</v>
      </c>
      <c r="CB342" s="72">
        <v>7</v>
      </c>
      <c r="CC342" s="72">
        <v>7</v>
      </c>
      <c r="CD342" s="72">
        <v>7</v>
      </c>
      <c r="CE342" s="72">
        <v>7</v>
      </c>
      <c r="CF342" s="72">
        <v>7</v>
      </c>
      <c r="CG342" s="72">
        <v>7</v>
      </c>
      <c r="CH342" s="72">
        <v>7</v>
      </c>
      <c r="CI342" s="72">
        <v>7</v>
      </c>
      <c r="CJ342" s="72">
        <v>7</v>
      </c>
      <c r="CK342" s="72">
        <v>7</v>
      </c>
      <c r="CL342" s="72">
        <v>7</v>
      </c>
      <c r="CM342" s="72">
        <v>7</v>
      </c>
      <c r="CN342" s="72">
        <v>7</v>
      </c>
      <c r="CO342" s="72">
        <v>7</v>
      </c>
      <c r="CP342" s="72">
        <v>7</v>
      </c>
      <c r="CQ342" s="72">
        <v>7</v>
      </c>
      <c r="CR342" s="72">
        <v>7</v>
      </c>
      <c r="CS342" s="72">
        <v>7</v>
      </c>
      <c r="CT342" s="72">
        <v>7</v>
      </c>
      <c r="CU342" s="72">
        <v>7</v>
      </c>
      <c r="CV342" s="72">
        <v>7</v>
      </c>
      <c r="CW342" s="72">
        <v>7</v>
      </c>
      <c r="CX342" s="72">
        <v>7</v>
      </c>
      <c r="CY342" s="72">
        <v>7</v>
      </c>
      <c r="CZ342" s="72">
        <v>7</v>
      </c>
      <c r="DA342" s="72">
        <v>7</v>
      </c>
      <c r="DB342" s="72">
        <v>7</v>
      </c>
      <c r="DC342" s="72">
        <v>7</v>
      </c>
      <c r="DD342" s="72">
        <v>7</v>
      </c>
      <c r="DE342" s="72">
        <v>7</v>
      </c>
      <c r="DF342" s="72">
        <v>7</v>
      </c>
    </row>
    <row r="343" spans="1:110" x14ac:dyDescent="0.35">
      <c r="A343" s="7"/>
      <c r="B343" s="8" t="s">
        <v>603</v>
      </c>
      <c r="C343" s="9" t="s">
        <v>604</v>
      </c>
      <c r="D343" s="10" t="s">
        <v>594</v>
      </c>
      <c r="E343" s="8" t="s">
        <v>1060</v>
      </c>
      <c r="F343" s="10">
        <v>1002</v>
      </c>
      <c r="G343" s="10" t="s">
        <v>40</v>
      </c>
      <c r="H343" s="10" t="s">
        <v>41</v>
      </c>
      <c r="I343" s="11">
        <v>1</v>
      </c>
      <c r="J343" s="10"/>
      <c r="K343" s="10" t="s">
        <v>42</v>
      </c>
      <c r="L343" s="8"/>
      <c r="M343" s="12"/>
      <c r="N343" s="12">
        <f t="shared" si="6"/>
        <v>0</v>
      </c>
      <c r="O343" s="11">
        <v>1</v>
      </c>
      <c r="P343" s="11">
        <v>1</v>
      </c>
      <c r="Q343" s="11">
        <v>1</v>
      </c>
      <c r="R343" s="11">
        <v>1</v>
      </c>
      <c r="S343" s="11">
        <v>1</v>
      </c>
      <c r="T343" s="11"/>
      <c r="U343" s="11"/>
      <c r="V343" s="11">
        <v>1</v>
      </c>
      <c r="W343" s="11">
        <v>1</v>
      </c>
      <c r="X343" s="11">
        <v>1</v>
      </c>
      <c r="Y343" s="11">
        <v>1</v>
      </c>
      <c r="Z343" s="11">
        <v>1</v>
      </c>
      <c r="AA343" s="11"/>
      <c r="AB343" s="11"/>
      <c r="AC343" s="11"/>
      <c r="AD343" s="11"/>
      <c r="AE343" s="11"/>
      <c r="AF343" s="11"/>
      <c r="AG343" s="11"/>
      <c r="AH343" s="11"/>
      <c r="AI343" s="11">
        <v>1</v>
      </c>
      <c r="AJ343" s="11">
        <v>1</v>
      </c>
      <c r="AK343" s="11">
        <v>1</v>
      </c>
      <c r="AL343" s="11">
        <v>1</v>
      </c>
      <c r="AM343" s="11">
        <v>1</v>
      </c>
      <c r="AN343" s="72">
        <v>1</v>
      </c>
      <c r="AO343" s="72">
        <v>1</v>
      </c>
      <c r="AP343" s="72">
        <v>1</v>
      </c>
      <c r="AQ343" s="72">
        <v>1</v>
      </c>
      <c r="AR343" s="72">
        <v>1</v>
      </c>
      <c r="AS343" s="72">
        <v>1</v>
      </c>
      <c r="AT343" s="72">
        <v>1</v>
      </c>
      <c r="AU343" s="72">
        <v>0</v>
      </c>
      <c r="AV343" s="72">
        <v>0</v>
      </c>
      <c r="AW343" s="72">
        <v>0</v>
      </c>
      <c r="AX343" s="72">
        <v>0</v>
      </c>
      <c r="AY343" s="72">
        <v>0</v>
      </c>
      <c r="AZ343" s="72">
        <v>0</v>
      </c>
      <c r="BA343" s="72">
        <v>0</v>
      </c>
      <c r="BB343" s="72">
        <v>0</v>
      </c>
      <c r="BC343" s="72">
        <v>0</v>
      </c>
      <c r="BD343" s="72">
        <v>0</v>
      </c>
      <c r="BE343" s="72">
        <v>0</v>
      </c>
      <c r="BF343" s="72">
        <v>0</v>
      </c>
      <c r="BG343" s="72">
        <v>0</v>
      </c>
      <c r="BH343" s="72">
        <v>0</v>
      </c>
      <c r="BI343" s="72">
        <v>0</v>
      </c>
      <c r="BJ343" s="72">
        <v>0</v>
      </c>
      <c r="BK343" s="72">
        <v>0</v>
      </c>
      <c r="BL343" s="72">
        <v>0</v>
      </c>
      <c r="BM343" s="72">
        <v>0</v>
      </c>
      <c r="BN343" s="72">
        <v>0</v>
      </c>
      <c r="BO343" s="72">
        <v>0</v>
      </c>
      <c r="BP343" s="72">
        <v>0</v>
      </c>
      <c r="BQ343" s="72">
        <v>0</v>
      </c>
      <c r="BR343" s="72">
        <v>0</v>
      </c>
      <c r="BS343" s="72">
        <v>0</v>
      </c>
      <c r="BT343" s="72">
        <v>0</v>
      </c>
      <c r="BU343" s="72">
        <v>0</v>
      </c>
      <c r="BV343" s="72">
        <v>0</v>
      </c>
      <c r="BW343" s="72">
        <v>0</v>
      </c>
      <c r="BX343" s="72">
        <v>0</v>
      </c>
      <c r="BY343" s="72">
        <v>0</v>
      </c>
      <c r="BZ343" s="72">
        <v>0</v>
      </c>
      <c r="CA343" s="72">
        <v>0</v>
      </c>
      <c r="CB343" s="72">
        <v>0</v>
      </c>
      <c r="CC343" s="72">
        <v>0</v>
      </c>
      <c r="CD343" s="72">
        <v>0</v>
      </c>
      <c r="CE343" s="72">
        <v>0</v>
      </c>
      <c r="CF343" s="72">
        <v>0</v>
      </c>
      <c r="CG343" s="72">
        <v>0</v>
      </c>
      <c r="CH343" s="72">
        <v>0</v>
      </c>
      <c r="CI343" s="72">
        <v>0</v>
      </c>
      <c r="CJ343" s="72">
        <v>0</v>
      </c>
      <c r="CK343" s="72">
        <v>0</v>
      </c>
      <c r="CL343" s="72">
        <v>0</v>
      </c>
      <c r="CM343" s="72">
        <v>0</v>
      </c>
      <c r="CN343" s="72">
        <v>0</v>
      </c>
      <c r="CO343" s="72">
        <v>0</v>
      </c>
      <c r="CP343" s="72">
        <v>0</v>
      </c>
      <c r="CQ343" s="72">
        <v>0</v>
      </c>
      <c r="CR343" s="72">
        <v>0</v>
      </c>
      <c r="CS343" s="72">
        <v>0</v>
      </c>
      <c r="CT343" s="72">
        <v>0</v>
      </c>
      <c r="CU343" s="72">
        <v>0</v>
      </c>
      <c r="CV343" s="72">
        <v>0</v>
      </c>
      <c r="CW343" s="72">
        <v>0</v>
      </c>
      <c r="CX343" s="72">
        <v>0</v>
      </c>
      <c r="CY343" s="72">
        <v>0</v>
      </c>
      <c r="CZ343" s="72">
        <v>0</v>
      </c>
      <c r="DA343" s="72">
        <v>0</v>
      </c>
      <c r="DB343" s="72">
        <v>0</v>
      </c>
      <c r="DC343" s="72">
        <v>0</v>
      </c>
      <c r="DD343" s="72">
        <v>0</v>
      </c>
      <c r="DE343" s="72">
        <v>0</v>
      </c>
      <c r="DF343" s="72">
        <v>0</v>
      </c>
    </row>
    <row r="344" spans="1:110" x14ac:dyDescent="0.35">
      <c r="A344" s="7"/>
      <c r="B344" s="77" t="s">
        <v>1500</v>
      </c>
      <c r="C344" s="9" t="s">
        <v>604</v>
      </c>
      <c r="D344" s="10" t="s">
        <v>594</v>
      </c>
      <c r="E344" s="8" t="s">
        <v>1060</v>
      </c>
      <c r="F344" s="10">
        <v>1002</v>
      </c>
      <c r="G344" s="10" t="s">
        <v>40</v>
      </c>
      <c r="H344" s="10" t="s">
        <v>41</v>
      </c>
      <c r="I344" s="11"/>
      <c r="J344" s="10"/>
      <c r="K344" s="10"/>
      <c r="L344" s="8"/>
      <c r="M344" s="12">
        <v>5680.5839999999998</v>
      </c>
      <c r="N344" s="12">
        <f t="shared" si="6"/>
        <v>0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>
        <v>1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  <c r="DF344" s="72">
        <v>0</v>
      </c>
    </row>
    <row r="345" spans="1:110" x14ac:dyDescent="0.35">
      <c r="A345" s="7"/>
      <c r="B345" s="8" t="s">
        <v>1267</v>
      </c>
      <c r="C345" s="9" t="s">
        <v>1276</v>
      </c>
      <c r="D345" s="10" t="s">
        <v>594</v>
      </c>
      <c r="E345" s="8" t="s">
        <v>1206</v>
      </c>
      <c r="F345" s="10"/>
      <c r="G345" s="10"/>
      <c r="H345" s="10" t="s">
        <v>41</v>
      </c>
      <c r="I345" s="11"/>
      <c r="J345" s="10"/>
      <c r="K345" s="10"/>
      <c r="L345" s="8"/>
      <c r="M345" s="12">
        <v>190.36</v>
      </c>
      <c r="N345" s="12">
        <f t="shared" si="6"/>
        <v>19797.440000000002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>
        <v>204</v>
      </c>
      <c r="AX345" s="72">
        <v>204</v>
      </c>
      <c r="AY345" s="72">
        <v>204</v>
      </c>
      <c r="AZ345" s="72">
        <v>203</v>
      </c>
      <c r="BA345" s="72">
        <v>203</v>
      </c>
      <c r="BB345" s="72">
        <v>204</v>
      </c>
      <c r="BC345" s="72">
        <v>204</v>
      </c>
      <c r="BD345" s="72">
        <v>204</v>
      </c>
      <c r="BE345" s="72">
        <v>204</v>
      </c>
      <c r="BF345" s="72">
        <v>184</v>
      </c>
      <c r="BG345" s="72">
        <v>184</v>
      </c>
      <c r="BH345" s="72">
        <v>184</v>
      </c>
      <c r="BI345" s="72">
        <v>184</v>
      </c>
      <c r="BJ345" s="72">
        <v>184</v>
      </c>
      <c r="BK345" s="72">
        <v>184</v>
      </c>
      <c r="BL345" s="72">
        <v>184</v>
      </c>
      <c r="BM345" s="72">
        <v>184</v>
      </c>
      <c r="BN345" s="72">
        <v>163</v>
      </c>
      <c r="BO345" s="72">
        <v>163</v>
      </c>
      <c r="BP345" s="72">
        <v>162</v>
      </c>
      <c r="BQ345" s="72">
        <v>162</v>
      </c>
      <c r="BR345" s="72">
        <v>161</v>
      </c>
      <c r="BS345" s="72">
        <v>161</v>
      </c>
      <c r="BT345" s="72">
        <v>161</v>
      </c>
      <c r="BU345" s="72">
        <v>161</v>
      </c>
      <c r="BV345" s="72">
        <v>161</v>
      </c>
      <c r="BW345" s="72">
        <v>161</v>
      </c>
      <c r="BX345" s="72">
        <v>161</v>
      </c>
      <c r="BY345" s="72">
        <v>161</v>
      </c>
      <c r="BZ345" s="72">
        <v>161</v>
      </c>
      <c r="CA345" s="72">
        <v>161</v>
      </c>
      <c r="CB345" s="72">
        <v>161</v>
      </c>
      <c r="CC345" s="72">
        <v>161</v>
      </c>
      <c r="CD345" s="72">
        <v>161</v>
      </c>
      <c r="CE345" s="72">
        <v>161</v>
      </c>
      <c r="CF345" s="72">
        <v>161</v>
      </c>
      <c r="CG345" s="72">
        <v>161</v>
      </c>
      <c r="CH345" s="72">
        <v>161</v>
      </c>
      <c r="CI345" s="72">
        <v>161</v>
      </c>
      <c r="CJ345" s="72">
        <v>161</v>
      </c>
      <c r="CK345" s="72">
        <v>161</v>
      </c>
      <c r="CL345" s="72">
        <v>161</v>
      </c>
      <c r="CM345" s="72">
        <v>161</v>
      </c>
      <c r="CN345" s="72">
        <v>161</v>
      </c>
      <c r="CO345" s="72">
        <v>160</v>
      </c>
      <c r="CP345" s="72">
        <v>160</v>
      </c>
      <c r="CQ345" s="72">
        <v>160</v>
      </c>
      <c r="CR345" s="72">
        <v>150</v>
      </c>
      <c r="CS345" s="72">
        <v>145</v>
      </c>
      <c r="CT345" s="72">
        <v>145</v>
      </c>
      <c r="CU345" s="72">
        <v>109</v>
      </c>
      <c r="CV345" s="72">
        <v>109</v>
      </c>
      <c r="CW345" s="72">
        <v>109</v>
      </c>
      <c r="CX345" s="72">
        <v>109</v>
      </c>
      <c r="CY345" s="72">
        <v>109</v>
      </c>
      <c r="CZ345" s="72">
        <v>109</v>
      </c>
      <c r="DA345" s="72">
        <v>109</v>
      </c>
      <c r="DB345" s="72">
        <v>109</v>
      </c>
      <c r="DC345" s="72">
        <v>109</v>
      </c>
      <c r="DD345" s="72">
        <v>109</v>
      </c>
      <c r="DE345" s="72">
        <v>109</v>
      </c>
      <c r="DF345" s="72">
        <v>104</v>
      </c>
    </row>
    <row r="346" spans="1:110" x14ac:dyDescent="0.35">
      <c r="A346" s="7"/>
      <c r="B346" s="8" t="s">
        <v>605</v>
      </c>
      <c r="C346" s="9" t="s">
        <v>606</v>
      </c>
      <c r="D346" s="10" t="s">
        <v>594</v>
      </c>
      <c r="E346" s="8" t="s">
        <v>1206</v>
      </c>
      <c r="F346" s="10">
        <v>1002</v>
      </c>
      <c r="G346" s="10" t="s">
        <v>40</v>
      </c>
      <c r="H346" s="10" t="s">
        <v>41</v>
      </c>
      <c r="I346" s="11">
        <v>47</v>
      </c>
      <c r="J346" s="10"/>
      <c r="K346" s="10"/>
      <c r="L346" s="8"/>
      <c r="M346" s="12">
        <v>324.52999999999997</v>
      </c>
      <c r="N346" s="12">
        <f t="shared" si="6"/>
        <v>324.52999999999997</v>
      </c>
      <c r="O346" s="11">
        <v>259</v>
      </c>
      <c r="P346" s="11">
        <v>259</v>
      </c>
      <c r="Q346" s="11">
        <v>259</v>
      </c>
      <c r="R346" s="11">
        <v>259</v>
      </c>
      <c r="S346" s="11">
        <v>259</v>
      </c>
      <c r="T346" s="11">
        <v>259</v>
      </c>
      <c r="U346" s="11">
        <v>52</v>
      </c>
      <c r="V346" s="11">
        <v>52</v>
      </c>
      <c r="W346" s="11">
        <v>52</v>
      </c>
      <c r="X346" s="11">
        <v>52</v>
      </c>
      <c r="Y346" s="11">
        <v>52</v>
      </c>
      <c r="Z346" s="11">
        <v>47</v>
      </c>
      <c r="AA346" s="11">
        <v>47</v>
      </c>
      <c r="AB346" s="11">
        <v>47</v>
      </c>
      <c r="AC346" s="11">
        <v>47</v>
      </c>
      <c r="AD346" s="11">
        <v>47</v>
      </c>
      <c r="AE346" s="11">
        <v>47</v>
      </c>
      <c r="AF346" s="11">
        <v>46</v>
      </c>
      <c r="AG346" s="11">
        <v>47</v>
      </c>
      <c r="AH346" s="11">
        <v>47</v>
      </c>
      <c r="AI346" s="11">
        <v>47</v>
      </c>
      <c r="AJ346" s="11">
        <v>47</v>
      </c>
      <c r="AK346" s="11">
        <v>47</v>
      </c>
      <c r="AL346" s="11">
        <v>47</v>
      </c>
      <c r="AM346" s="11">
        <v>47</v>
      </c>
      <c r="AN346" s="72">
        <v>46</v>
      </c>
      <c r="AO346" s="72">
        <v>47</v>
      </c>
      <c r="AP346" s="72">
        <v>47</v>
      </c>
      <c r="AQ346" s="72">
        <v>47</v>
      </c>
      <c r="AR346" s="72">
        <v>47</v>
      </c>
      <c r="AS346" s="72">
        <v>46</v>
      </c>
      <c r="AT346" s="72">
        <v>46</v>
      </c>
      <c r="AU346" s="72">
        <v>5</v>
      </c>
      <c r="AV346" s="72">
        <v>5</v>
      </c>
      <c r="AW346" s="72">
        <v>5</v>
      </c>
      <c r="AX346" s="72">
        <v>5</v>
      </c>
      <c r="AY346" s="72">
        <v>5</v>
      </c>
      <c r="AZ346" s="72">
        <v>5</v>
      </c>
      <c r="BA346" s="72">
        <v>5</v>
      </c>
      <c r="BB346" s="72">
        <v>5</v>
      </c>
      <c r="BC346" s="72">
        <v>5</v>
      </c>
      <c r="BD346" s="72">
        <v>5</v>
      </c>
      <c r="BE346" s="72">
        <v>5</v>
      </c>
      <c r="BF346" s="72">
        <v>5</v>
      </c>
      <c r="BG346" s="72">
        <v>5</v>
      </c>
      <c r="BH346" s="72">
        <v>5</v>
      </c>
      <c r="BI346" s="72">
        <v>5</v>
      </c>
      <c r="BJ346" s="72">
        <v>5</v>
      </c>
      <c r="BK346" s="72">
        <v>5</v>
      </c>
      <c r="BL346" s="72">
        <v>5</v>
      </c>
      <c r="BM346" s="72">
        <v>4</v>
      </c>
      <c r="BN346" s="72">
        <v>5</v>
      </c>
      <c r="BO346" s="72">
        <v>5</v>
      </c>
      <c r="BP346" s="72">
        <v>5</v>
      </c>
      <c r="BQ346" s="72">
        <v>6</v>
      </c>
      <c r="BR346" s="72">
        <v>1</v>
      </c>
      <c r="BS346" s="72">
        <v>1</v>
      </c>
      <c r="BT346" s="72">
        <v>1</v>
      </c>
      <c r="BU346" s="72">
        <v>1</v>
      </c>
      <c r="BV346" s="72">
        <v>1</v>
      </c>
      <c r="BW346" s="72">
        <v>1</v>
      </c>
      <c r="BX346" s="72">
        <v>1</v>
      </c>
      <c r="BY346" s="72">
        <v>1</v>
      </c>
      <c r="BZ346" s="72">
        <v>1</v>
      </c>
      <c r="CA346" s="72">
        <v>1</v>
      </c>
      <c r="CB346" s="72">
        <v>1</v>
      </c>
      <c r="CC346" s="72">
        <v>1</v>
      </c>
      <c r="CD346" s="72">
        <v>1</v>
      </c>
      <c r="CE346" s="72">
        <v>1</v>
      </c>
      <c r="CF346" s="72">
        <v>1</v>
      </c>
      <c r="CG346" s="72">
        <v>1</v>
      </c>
      <c r="CH346" s="72">
        <v>1</v>
      </c>
      <c r="CI346" s="72">
        <v>1</v>
      </c>
      <c r="CJ346" s="72">
        <v>1</v>
      </c>
      <c r="CK346" s="72">
        <v>1</v>
      </c>
      <c r="CL346" s="72">
        <v>1</v>
      </c>
      <c r="CM346" s="72">
        <v>1</v>
      </c>
      <c r="CN346" s="72">
        <v>1</v>
      </c>
      <c r="CO346" s="72">
        <v>1</v>
      </c>
      <c r="CP346" s="72">
        <v>1</v>
      </c>
      <c r="CQ346" s="72">
        <v>1</v>
      </c>
      <c r="CR346" s="72">
        <v>1</v>
      </c>
      <c r="CS346" s="72">
        <v>1</v>
      </c>
      <c r="CT346" s="72">
        <v>1</v>
      </c>
      <c r="CU346" s="72">
        <v>1</v>
      </c>
      <c r="CV346" s="72">
        <v>1</v>
      </c>
      <c r="CW346" s="72">
        <v>1</v>
      </c>
      <c r="CX346" s="72">
        <v>1</v>
      </c>
      <c r="CY346" s="72">
        <v>1</v>
      </c>
      <c r="CZ346" s="72">
        <v>1</v>
      </c>
      <c r="DA346" s="72">
        <v>1</v>
      </c>
      <c r="DB346" s="72">
        <v>1</v>
      </c>
      <c r="DC346" s="72">
        <v>1</v>
      </c>
      <c r="DD346" s="72">
        <v>1</v>
      </c>
      <c r="DE346" s="72">
        <v>1</v>
      </c>
      <c r="DF346" s="72">
        <v>1</v>
      </c>
    </row>
    <row r="347" spans="1:110" x14ac:dyDescent="0.35">
      <c r="A347" s="7"/>
      <c r="B347" s="8" t="s">
        <v>1243</v>
      </c>
      <c r="C347" s="9" t="s">
        <v>606</v>
      </c>
      <c r="D347" s="10" t="s">
        <v>594</v>
      </c>
      <c r="E347" s="8" t="s">
        <v>1206</v>
      </c>
      <c r="F347" s="10">
        <v>1002</v>
      </c>
      <c r="G347" s="10" t="s">
        <v>40</v>
      </c>
      <c r="H347" s="10" t="s">
        <v>41</v>
      </c>
      <c r="I347" s="11"/>
      <c r="J347" s="10"/>
      <c r="K347" s="10"/>
      <c r="L347" s="8"/>
      <c r="M347" s="12"/>
      <c r="N347" s="12">
        <f t="shared" si="6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>
        <v>225</v>
      </c>
      <c r="AT347" s="72">
        <v>245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20</v>
      </c>
      <c r="CK347" s="72">
        <v>20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</row>
    <row r="348" spans="1:110" x14ac:dyDescent="0.35">
      <c r="A348" s="7"/>
      <c r="B348" s="8" t="s">
        <v>607</v>
      </c>
      <c r="C348" s="9" t="s">
        <v>608</v>
      </c>
      <c r="D348" s="10" t="s">
        <v>594</v>
      </c>
      <c r="E348" s="8" t="s">
        <v>1206</v>
      </c>
      <c r="F348" s="10">
        <v>1002</v>
      </c>
      <c r="G348" s="10" t="s">
        <v>40</v>
      </c>
      <c r="H348" s="10" t="s">
        <v>41</v>
      </c>
      <c r="I348" s="11">
        <v>1</v>
      </c>
      <c r="J348" s="10"/>
      <c r="K348" s="10"/>
      <c r="L348" s="8"/>
      <c r="M348" s="12">
        <v>559.26</v>
      </c>
      <c r="N348" s="12">
        <f t="shared" si="6"/>
        <v>559.26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1</v>
      </c>
      <c r="BM348" s="72">
        <v>1</v>
      </c>
      <c r="BN348" s="72">
        <v>1</v>
      </c>
      <c r="BO348" s="72">
        <v>1</v>
      </c>
      <c r="BP348" s="72">
        <v>1</v>
      </c>
      <c r="BQ348" s="72">
        <v>1</v>
      </c>
      <c r="BR348" s="72">
        <v>1</v>
      </c>
      <c r="BS348" s="72">
        <v>1</v>
      </c>
      <c r="BT348" s="72">
        <v>1</v>
      </c>
      <c r="BU348" s="72">
        <v>1</v>
      </c>
      <c r="BV348" s="72">
        <v>1</v>
      </c>
      <c r="BW348" s="72">
        <v>1</v>
      </c>
      <c r="BX348" s="72">
        <v>1</v>
      </c>
      <c r="BY348" s="72">
        <v>1</v>
      </c>
      <c r="BZ348" s="72">
        <v>1</v>
      </c>
      <c r="CA348" s="72">
        <v>1</v>
      </c>
      <c r="CB348" s="72">
        <v>1</v>
      </c>
      <c r="CC348" s="72">
        <v>1</v>
      </c>
      <c r="CD348" s="72">
        <v>1</v>
      </c>
      <c r="CE348" s="72">
        <v>1</v>
      </c>
      <c r="CF348" s="72">
        <v>1</v>
      </c>
      <c r="CG348" s="72">
        <v>1</v>
      </c>
      <c r="CH348" s="72">
        <v>1</v>
      </c>
      <c r="CI348" s="72">
        <v>1</v>
      </c>
      <c r="CJ348" s="72">
        <v>1</v>
      </c>
      <c r="CK348" s="72">
        <v>1</v>
      </c>
      <c r="CL348" s="72">
        <v>1</v>
      </c>
      <c r="CM348" s="72">
        <v>1</v>
      </c>
      <c r="CN348" s="72">
        <v>1</v>
      </c>
      <c r="CO348" s="72">
        <v>1</v>
      </c>
      <c r="CP348" s="72">
        <v>1</v>
      </c>
      <c r="CQ348" s="72">
        <v>1</v>
      </c>
      <c r="CR348" s="72">
        <v>1</v>
      </c>
      <c r="CS348" s="72">
        <v>1</v>
      </c>
      <c r="CT348" s="72">
        <v>1</v>
      </c>
      <c r="CU348" s="72">
        <v>1</v>
      </c>
      <c r="CV348" s="72">
        <v>1</v>
      </c>
      <c r="CW348" s="72">
        <v>1</v>
      </c>
      <c r="CX348" s="72">
        <v>1</v>
      </c>
      <c r="CY348" s="72">
        <v>1</v>
      </c>
      <c r="CZ348" s="72">
        <v>1</v>
      </c>
      <c r="DA348" s="72">
        <v>1</v>
      </c>
      <c r="DB348" s="72">
        <v>1</v>
      </c>
      <c r="DC348" s="72">
        <v>1</v>
      </c>
      <c r="DD348" s="72">
        <v>1</v>
      </c>
      <c r="DE348" s="72">
        <v>1</v>
      </c>
      <c r="DF348" s="72">
        <v>1</v>
      </c>
    </row>
    <row r="349" spans="1:110" x14ac:dyDescent="0.35">
      <c r="A349" s="7"/>
      <c r="B349" s="8" t="s">
        <v>609</v>
      </c>
      <c r="C349" s="9" t="s">
        <v>610</v>
      </c>
      <c r="D349" s="10" t="s">
        <v>594</v>
      </c>
      <c r="E349" s="8" t="s">
        <v>1206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/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>
        <v>1</v>
      </c>
      <c r="U349" s="11">
        <v>1</v>
      </c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>
        <v>1</v>
      </c>
      <c r="AB349" s="11">
        <v>1</v>
      </c>
      <c r="AC349" s="11">
        <v>1</v>
      </c>
      <c r="AD349" s="11">
        <v>1</v>
      </c>
      <c r="AE349" s="11">
        <v>1</v>
      </c>
      <c r="AF349" s="11">
        <v>1</v>
      </c>
      <c r="AG349" s="11">
        <v>1</v>
      </c>
      <c r="AH349" s="11">
        <v>1</v>
      </c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1</v>
      </c>
      <c r="AV349" s="72">
        <v>1</v>
      </c>
      <c r="AW349" s="72">
        <v>1</v>
      </c>
      <c r="AX349" s="72">
        <v>1</v>
      </c>
      <c r="AY349" s="72">
        <v>1</v>
      </c>
      <c r="AZ349" s="72">
        <v>1</v>
      </c>
      <c r="BA349" s="72">
        <v>1</v>
      </c>
      <c r="BB349" s="72">
        <v>1</v>
      </c>
      <c r="BC349" s="72">
        <v>1</v>
      </c>
      <c r="BD349" s="72">
        <v>1</v>
      </c>
      <c r="BE349" s="72">
        <v>1</v>
      </c>
      <c r="BF349" s="72">
        <v>1</v>
      </c>
      <c r="BG349" s="72">
        <v>1</v>
      </c>
      <c r="BH349" s="72">
        <v>1</v>
      </c>
      <c r="BI349" s="72">
        <v>1</v>
      </c>
      <c r="BJ349" s="72">
        <v>1</v>
      </c>
      <c r="BK349" s="72">
        <v>1</v>
      </c>
      <c r="BL349" s="72">
        <v>1</v>
      </c>
      <c r="BM349" s="72">
        <v>1</v>
      </c>
      <c r="BN349" s="72">
        <v>1</v>
      </c>
      <c r="BO349" s="72">
        <v>1</v>
      </c>
      <c r="BP349" s="72">
        <v>1</v>
      </c>
      <c r="BQ349" s="72">
        <v>1</v>
      </c>
      <c r="BR349" s="72">
        <v>1</v>
      </c>
      <c r="BS349" s="72">
        <v>1</v>
      </c>
      <c r="BT349" s="72">
        <v>1</v>
      </c>
      <c r="BU349" s="72">
        <v>1</v>
      </c>
      <c r="BV349" s="72">
        <v>1</v>
      </c>
      <c r="BW349" s="72">
        <v>1</v>
      </c>
      <c r="BX349" s="72">
        <v>1</v>
      </c>
      <c r="BY349" s="72">
        <v>1</v>
      </c>
      <c r="BZ349" s="72">
        <v>1</v>
      </c>
      <c r="CA349" s="72">
        <v>1</v>
      </c>
      <c r="CB349" s="72">
        <v>1</v>
      </c>
      <c r="CC349" s="72">
        <v>1</v>
      </c>
      <c r="CD349" s="72">
        <v>1</v>
      </c>
      <c r="CE349" s="72">
        <v>1</v>
      </c>
      <c r="CF349" s="72">
        <v>1</v>
      </c>
      <c r="CG349" s="72">
        <v>1</v>
      </c>
      <c r="CH349" s="72">
        <v>1</v>
      </c>
      <c r="CI349" s="72">
        <v>1</v>
      </c>
      <c r="CJ349" s="72">
        <v>1</v>
      </c>
      <c r="CK349" s="72">
        <v>1</v>
      </c>
      <c r="CL349" s="72">
        <v>1</v>
      </c>
      <c r="CM349" s="72">
        <v>1</v>
      </c>
      <c r="CN349" s="72">
        <v>1</v>
      </c>
      <c r="CO349" s="72">
        <v>1</v>
      </c>
      <c r="CP349" s="72">
        <v>1</v>
      </c>
      <c r="CQ349" s="72">
        <v>1</v>
      </c>
      <c r="CR349" s="72">
        <v>1</v>
      </c>
      <c r="CS349" s="72">
        <v>1</v>
      </c>
      <c r="CT349" s="72">
        <v>1</v>
      </c>
      <c r="CU349" s="72">
        <v>1</v>
      </c>
      <c r="CV349" s="72">
        <v>1</v>
      </c>
      <c r="CW349" s="72">
        <v>1</v>
      </c>
      <c r="CX349" s="72">
        <v>1</v>
      </c>
      <c r="CY349" s="72">
        <v>1</v>
      </c>
      <c r="CZ349" s="72">
        <v>1</v>
      </c>
      <c r="DA349" s="72">
        <v>1</v>
      </c>
      <c r="DB349" s="72">
        <v>1</v>
      </c>
      <c r="DC349" s="72">
        <v>1</v>
      </c>
      <c r="DD349" s="72">
        <v>1</v>
      </c>
      <c r="DE349" s="72">
        <v>1</v>
      </c>
      <c r="DF349" s="72">
        <v>1</v>
      </c>
    </row>
    <row r="350" spans="1:110" x14ac:dyDescent="0.35">
      <c r="A350" s="7"/>
      <c r="B350" s="8" t="s">
        <v>611</v>
      </c>
      <c r="C350" s="9" t="s">
        <v>612</v>
      </c>
      <c r="D350" s="10" t="s">
        <v>594</v>
      </c>
      <c r="E350" s="8" t="s">
        <v>1206</v>
      </c>
      <c r="F350" s="10">
        <v>1002</v>
      </c>
      <c r="G350" s="10" t="s">
        <v>40</v>
      </c>
      <c r="H350" s="10" t="s">
        <v>41</v>
      </c>
      <c r="I350" s="11">
        <v>2</v>
      </c>
      <c r="J350" s="10"/>
      <c r="K350" s="10"/>
      <c r="L350" s="8"/>
      <c r="M350" s="12">
        <v>249</v>
      </c>
      <c r="N350" s="12">
        <f t="shared" si="6"/>
        <v>0</v>
      </c>
      <c r="O350" s="11">
        <v>2</v>
      </c>
      <c r="P350" s="11">
        <v>2</v>
      </c>
      <c r="Q350" s="11">
        <v>2</v>
      </c>
      <c r="R350" s="11">
        <v>2</v>
      </c>
      <c r="S350" s="11">
        <v>2</v>
      </c>
      <c r="T350" s="11">
        <v>2</v>
      </c>
      <c r="U350" s="11">
        <v>2</v>
      </c>
      <c r="V350" s="11">
        <v>2</v>
      </c>
      <c r="W350" s="11">
        <v>2</v>
      </c>
      <c r="X350" s="11">
        <v>2</v>
      </c>
      <c r="Y350" s="11">
        <v>2</v>
      </c>
      <c r="Z350" s="11">
        <v>2</v>
      </c>
      <c r="AA350" s="11">
        <v>2</v>
      </c>
      <c r="AB350" s="11">
        <v>2</v>
      </c>
      <c r="AC350" s="11">
        <v>2</v>
      </c>
      <c r="AD350" s="11">
        <v>2</v>
      </c>
      <c r="AE350" s="11">
        <v>2</v>
      </c>
      <c r="AF350" s="11">
        <v>2</v>
      </c>
      <c r="AG350" s="11">
        <v>2</v>
      </c>
      <c r="AH350" s="11">
        <v>2</v>
      </c>
      <c r="AI350" s="11">
        <v>2</v>
      </c>
      <c r="AJ350" s="11">
        <v>2</v>
      </c>
      <c r="AK350" s="11">
        <v>2</v>
      </c>
      <c r="AL350" s="11">
        <v>2</v>
      </c>
      <c r="AM350" s="11">
        <v>2</v>
      </c>
      <c r="AN350" s="72">
        <v>2</v>
      </c>
      <c r="AO350" s="72">
        <v>2</v>
      </c>
      <c r="AP350" s="72">
        <v>2</v>
      </c>
      <c r="AQ350" s="72">
        <v>2</v>
      </c>
      <c r="AR350" s="72">
        <v>2</v>
      </c>
      <c r="AS350" s="72">
        <v>2</v>
      </c>
      <c r="AT350" s="72">
        <v>2</v>
      </c>
      <c r="AU350" s="72">
        <v>2</v>
      </c>
      <c r="AV350" s="72">
        <v>2</v>
      </c>
      <c r="AW350" s="72">
        <v>2</v>
      </c>
      <c r="AX350" s="72">
        <v>2</v>
      </c>
      <c r="AY350" s="72">
        <v>2</v>
      </c>
      <c r="AZ350" s="72">
        <v>2</v>
      </c>
      <c r="BA350" s="72">
        <v>2</v>
      </c>
      <c r="BB350" s="72">
        <v>2</v>
      </c>
      <c r="BC350" s="72">
        <v>2</v>
      </c>
      <c r="BD350" s="72">
        <v>2</v>
      </c>
      <c r="BE350" s="72">
        <v>2</v>
      </c>
      <c r="BF350" s="72">
        <v>2</v>
      </c>
      <c r="BG350" s="72">
        <v>2</v>
      </c>
      <c r="BH350" s="72">
        <v>2</v>
      </c>
      <c r="BI350" s="72">
        <v>2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</row>
    <row r="351" spans="1:110" x14ac:dyDescent="0.35">
      <c r="A351" s="7"/>
      <c r="B351" s="8" t="s">
        <v>613</v>
      </c>
      <c r="C351" s="9" t="s">
        <v>614</v>
      </c>
      <c r="D351" s="10" t="s">
        <v>594</v>
      </c>
      <c r="E351" s="8" t="s">
        <v>1206</v>
      </c>
      <c r="F351" s="10">
        <v>1002</v>
      </c>
      <c r="G351" s="10" t="s">
        <v>40</v>
      </c>
      <c r="H351" s="10" t="s">
        <v>41</v>
      </c>
      <c r="I351" s="11">
        <v>100</v>
      </c>
      <c r="J351" s="10"/>
      <c r="K351" s="10"/>
      <c r="L351" s="8"/>
      <c r="M351" s="12">
        <v>264.27</v>
      </c>
      <c r="N351" s="12">
        <f t="shared" si="6"/>
        <v>6078.2099999999991</v>
      </c>
      <c r="O351" s="11">
        <v>25</v>
      </c>
      <c r="P351" s="11">
        <v>25</v>
      </c>
      <c r="Q351" s="11">
        <v>25</v>
      </c>
      <c r="R351" s="11">
        <v>25</v>
      </c>
      <c r="S351" s="11">
        <v>25</v>
      </c>
      <c r="T351" s="11">
        <v>0</v>
      </c>
      <c r="U351" s="11">
        <v>0</v>
      </c>
      <c r="V351" s="11">
        <v>0</v>
      </c>
      <c r="W351" s="11">
        <v>0</v>
      </c>
      <c r="X351" s="11">
        <v>0</v>
      </c>
      <c r="Y351" s="11">
        <v>0</v>
      </c>
      <c r="Z351" s="11">
        <v>0</v>
      </c>
      <c r="AA351" s="11">
        <v>0</v>
      </c>
      <c r="AB351" s="11">
        <v>150</v>
      </c>
      <c r="AC351" s="11">
        <v>148</v>
      </c>
      <c r="AD351" s="11">
        <v>148</v>
      </c>
      <c r="AE351" s="11">
        <v>118</v>
      </c>
      <c r="AF351" s="11">
        <v>117</v>
      </c>
      <c r="AG351" s="11">
        <v>118</v>
      </c>
      <c r="AH351" s="11">
        <v>118</v>
      </c>
      <c r="AI351" s="11">
        <v>118</v>
      </c>
      <c r="AJ351" s="11">
        <v>100</v>
      </c>
      <c r="AK351" s="11">
        <v>100</v>
      </c>
      <c r="AL351" s="11">
        <v>100</v>
      </c>
      <c r="AM351" s="11">
        <v>100</v>
      </c>
      <c r="AN351" s="72">
        <v>97</v>
      </c>
      <c r="AO351" s="72">
        <v>197</v>
      </c>
      <c r="AP351" s="72">
        <v>193</v>
      </c>
      <c r="AQ351" s="72">
        <v>183</v>
      </c>
      <c r="AR351" s="72">
        <v>183</v>
      </c>
      <c r="AS351" s="72">
        <v>183</v>
      </c>
      <c r="AT351" s="72">
        <v>183</v>
      </c>
      <c r="AU351" s="72">
        <v>183</v>
      </c>
      <c r="AV351" s="72">
        <v>183</v>
      </c>
      <c r="AW351" s="72">
        <v>157</v>
      </c>
      <c r="AX351" s="72">
        <v>157</v>
      </c>
      <c r="AY351" s="72">
        <v>157</v>
      </c>
      <c r="AZ351" s="72">
        <v>157</v>
      </c>
      <c r="BA351" s="72">
        <v>157</v>
      </c>
      <c r="BB351" s="72">
        <v>157</v>
      </c>
      <c r="BC351" s="72">
        <v>157</v>
      </c>
      <c r="BD351" s="72">
        <v>155</v>
      </c>
      <c r="BE351" s="72">
        <v>139</v>
      </c>
      <c r="BF351" s="72">
        <v>132</v>
      </c>
      <c r="BG351" s="72">
        <v>132</v>
      </c>
      <c r="BH351" s="72">
        <v>112</v>
      </c>
      <c r="BI351" s="72">
        <v>112</v>
      </c>
      <c r="BJ351" s="72">
        <v>112</v>
      </c>
      <c r="BK351" s="72">
        <v>112</v>
      </c>
      <c r="BL351" s="72">
        <v>112</v>
      </c>
      <c r="BM351" s="72">
        <v>112</v>
      </c>
      <c r="BN351" s="72">
        <v>112</v>
      </c>
      <c r="BO351" s="72">
        <v>102</v>
      </c>
      <c r="BP351" s="72">
        <v>102</v>
      </c>
      <c r="BQ351" s="72">
        <v>98</v>
      </c>
      <c r="BR351" s="72">
        <v>93</v>
      </c>
      <c r="BS351" s="72">
        <v>77</v>
      </c>
      <c r="BT351" s="72">
        <v>77</v>
      </c>
      <c r="BU351" s="72">
        <v>77</v>
      </c>
      <c r="BV351" s="72">
        <v>77</v>
      </c>
      <c r="BW351" s="72">
        <v>77</v>
      </c>
      <c r="BX351" s="72">
        <v>77</v>
      </c>
      <c r="BY351" s="72">
        <v>77</v>
      </c>
      <c r="BZ351" s="72">
        <v>77</v>
      </c>
      <c r="CA351" s="72">
        <v>77</v>
      </c>
      <c r="CB351" s="72">
        <v>77</v>
      </c>
      <c r="CC351" s="72">
        <v>77</v>
      </c>
      <c r="CD351" s="72">
        <v>77</v>
      </c>
      <c r="CE351" s="72">
        <v>56</v>
      </c>
      <c r="CF351" s="72">
        <v>56</v>
      </c>
      <c r="CG351" s="72">
        <v>56</v>
      </c>
      <c r="CH351" s="72">
        <v>56</v>
      </c>
      <c r="CI351" s="72">
        <v>56</v>
      </c>
      <c r="CJ351" s="72">
        <v>32</v>
      </c>
      <c r="CK351" s="72">
        <v>32</v>
      </c>
      <c r="CL351" s="72">
        <v>28</v>
      </c>
      <c r="CM351" s="72">
        <v>28</v>
      </c>
      <c r="CN351" s="72">
        <v>28</v>
      </c>
      <c r="CO351" s="72">
        <v>26</v>
      </c>
      <c r="CP351" s="72">
        <v>26</v>
      </c>
      <c r="CQ351" s="72">
        <v>26</v>
      </c>
      <c r="CR351" s="72">
        <v>26</v>
      </c>
      <c r="CS351" s="72">
        <v>26</v>
      </c>
      <c r="CT351" s="72">
        <v>26</v>
      </c>
      <c r="CU351" s="72">
        <v>26</v>
      </c>
      <c r="CV351" s="72">
        <v>27</v>
      </c>
      <c r="CW351" s="72">
        <v>27</v>
      </c>
      <c r="CX351" s="72">
        <v>27</v>
      </c>
      <c r="CY351" s="72">
        <v>27</v>
      </c>
      <c r="CZ351" s="72">
        <v>27</v>
      </c>
      <c r="DA351" s="72">
        <v>27</v>
      </c>
      <c r="DB351" s="72">
        <v>26</v>
      </c>
      <c r="DC351" s="72">
        <v>26</v>
      </c>
      <c r="DD351" s="72">
        <v>25</v>
      </c>
      <c r="DE351" s="72">
        <v>23</v>
      </c>
      <c r="DF351" s="72">
        <v>23</v>
      </c>
    </row>
    <row r="352" spans="1:110" x14ac:dyDescent="0.35">
      <c r="A352" s="7"/>
      <c r="B352" s="8" t="s">
        <v>615</v>
      </c>
      <c r="C352" s="9" t="s">
        <v>616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</v>
      </c>
      <c r="J352" s="10">
        <v>3</v>
      </c>
      <c r="K352" s="10" t="s">
        <v>53</v>
      </c>
      <c r="L352" s="14" t="s">
        <v>617</v>
      </c>
      <c r="M352" s="12">
        <v>392.16</v>
      </c>
      <c r="N352" s="12">
        <f t="shared" si="6"/>
        <v>41961.120000000003</v>
      </c>
      <c r="O352" s="11">
        <v>39</v>
      </c>
      <c r="P352" s="11">
        <v>39</v>
      </c>
      <c r="Q352" s="11">
        <v>69</v>
      </c>
      <c r="R352" s="11">
        <v>68</v>
      </c>
      <c r="S352" s="11">
        <v>68</v>
      </c>
      <c r="T352" s="11">
        <v>62</v>
      </c>
      <c r="U352" s="11">
        <v>30</v>
      </c>
      <c r="V352" s="11">
        <v>33</v>
      </c>
      <c r="W352" s="11">
        <v>1</v>
      </c>
      <c r="X352" s="11">
        <v>1</v>
      </c>
      <c r="Y352" s="11">
        <v>1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3</v>
      </c>
      <c r="AF352" s="11">
        <v>2</v>
      </c>
      <c r="AG352" s="11">
        <v>3</v>
      </c>
      <c r="AH352" s="11">
        <v>3</v>
      </c>
      <c r="AI352" s="11">
        <v>4</v>
      </c>
      <c r="AJ352" s="11">
        <v>4</v>
      </c>
      <c r="AK352" s="11">
        <v>4</v>
      </c>
      <c r="AL352" s="11">
        <v>3</v>
      </c>
      <c r="AM352" s="11">
        <v>3</v>
      </c>
      <c r="AN352" s="72">
        <v>2</v>
      </c>
      <c r="AO352" s="72">
        <v>3</v>
      </c>
      <c r="AP352" s="72">
        <v>3</v>
      </c>
      <c r="AQ352" s="72">
        <v>3</v>
      </c>
      <c r="AR352" s="72">
        <v>21</v>
      </c>
      <c r="AS352" s="72">
        <v>4</v>
      </c>
      <c r="AT352" s="72">
        <v>1</v>
      </c>
      <c r="AU352" s="72">
        <v>1</v>
      </c>
      <c r="AV352" s="72">
        <v>1</v>
      </c>
      <c r="AW352" s="72">
        <v>61</v>
      </c>
      <c r="AX352" s="72">
        <v>61</v>
      </c>
      <c r="AY352" s="72">
        <v>29</v>
      </c>
      <c r="AZ352" s="72">
        <v>29</v>
      </c>
      <c r="BA352" s="72">
        <v>28</v>
      </c>
      <c r="BB352" s="72">
        <v>28</v>
      </c>
      <c r="BC352" s="72">
        <v>28</v>
      </c>
      <c r="BD352" s="72">
        <v>28</v>
      </c>
      <c r="BE352" s="72">
        <v>28</v>
      </c>
      <c r="BF352" s="72">
        <v>28</v>
      </c>
      <c r="BG352" s="72">
        <v>28</v>
      </c>
      <c r="BH352" s="72">
        <v>28</v>
      </c>
      <c r="BI352" s="72">
        <v>28</v>
      </c>
      <c r="BJ352" s="72">
        <v>28</v>
      </c>
      <c r="BK352" s="72">
        <v>28</v>
      </c>
      <c r="BL352" s="72">
        <v>28</v>
      </c>
      <c r="BM352" s="72">
        <v>27</v>
      </c>
      <c r="BN352" s="72">
        <v>28</v>
      </c>
      <c r="BO352" s="72">
        <v>58</v>
      </c>
      <c r="BP352" s="72">
        <v>21</v>
      </c>
      <c r="BQ352" s="72">
        <v>21</v>
      </c>
      <c r="BR352" s="72">
        <v>6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34</v>
      </c>
      <c r="CK352" s="72">
        <v>24</v>
      </c>
      <c r="CL352" s="72">
        <v>57</v>
      </c>
      <c r="CM352" s="72">
        <v>44</v>
      </c>
      <c r="CN352" s="72">
        <v>44</v>
      </c>
      <c r="CO352" s="72">
        <v>43</v>
      </c>
      <c r="CP352" s="72">
        <v>43</v>
      </c>
      <c r="CQ352" s="72">
        <v>43</v>
      </c>
      <c r="CR352" s="72">
        <v>88</v>
      </c>
      <c r="CS352" s="72">
        <v>48</v>
      </c>
      <c r="CT352" s="72">
        <v>48</v>
      </c>
      <c r="CU352" s="72">
        <v>31</v>
      </c>
      <c r="CV352" s="72">
        <v>31</v>
      </c>
      <c r="CW352" s="72">
        <v>29</v>
      </c>
      <c r="CX352" s="72">
        <v>29</v>
      </c>
      <c r="CY352" s="72">
        <v>134</v>
      </c>
      <c r="CZ352" s="72">
        <v>134</v>
      </c>
      <c r="DA352" s="72">
        <v>130</v>
      </c>
      <c r="DB352" s="72">
        <v>130</v>
      </c>
      <c r="DC352" s="72">
        <v>129</v>
      </c>
      <c r="DD352" s="72">
        <v>129</v>
      </c>
      <c r="DE352" s="72">
        <v>129</v>
      </c>
      <c r="DF352" s="72">
        <v>107</v>
      </c>
    </row>
    <row r="353" spans="1:110" x14ac:dyDescent="0.35">
      <c r="A353" s="7"/>
      <c r="B353" s="77" t="s">
        <v>1268</v>
      </c>
      <c r="C353" s="9" t="s">
        <v>1277</v>
      </c>
      <c r="D353" s="10" t="s">
        <v>594</v>
      </c>
      <c r="E353" s="8" t="s">
        <v>1206</v>
      </c>
      <c r="F353" s="10"/>
      <c r="G353" s="10"/>
      <c r="H353" s="10" t="s">
        <v>41</v>
      </c>
      <c r="I353" s="11"/>
      <c r="J353" s="10"/>
      <c r="K353" s="10"/>
      <c r="L353" s="14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</row>
    <row r="354" spans="1:110" x14ac:dyDescent="0.35">
      <c r="A354" s="7"/>
      <c r="B354" s="8" t="s">
        <v>618</v>
      </c>
      <c r="C354" s="9" t="s">
        <v>619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27</v>
      </c>
      <c r="J354" s="10"/>
      <c r="K354" s="10"/>
      <c r="L354" s="14" t="s">
        <v>620</v>
      </c>
      <c r="M354" s="12">
        <v>350</v>
      </c>
      <c r="N354" s="12">
        <f t="shared" si="6"/>
        <v>0</v>
      </c>
      <c r="O354" s="11">
        <v>62</v>
      </c>
      <c r="P354" s="11">
        <v>62</v>
      </c>
      <c r="Q354" s="11">
        <v>62</v>
      </c>
      <c r="R354" s="11">
        <v>62</v>
      </c>
      <c r="S354" s="11">
        <v>62</v>
      </c>
      <c r="T354" s="11">
        <v>62</v>
      </c>
      <c r="U354" s="11">
        <v>0</v>
      </c>
      <c r="V354" s="11">
        <v>1</v>
      </c>
      <c r="W354" s="11">
        <v>4</v>
      </c>
      <c r="X354" s="11">
        <v>4</v>
      </c>
      <c r="Y354" s="11">
        <v>4</v>
      </c>
      <c r="Z354" s="11">
        <v>4</v>
      </c>
      <c r="AA354" s="11">
        <v>4</v>
      </c>
      <c r="AB354" s="11">
        <v>42</v>
      </c>
      <c r="AC354" s="11">
        <v>42</v>
      </c>
      <c r="AD354" s="11">
        <v>52</v>
      </c>
      <c r="AE354" s="11">
        <v>27</v>
      </c>
      <c r="AF354" s="11">
        <v>27</v>
      </c>
      <c r="AG354" s="11">
        <v>27</v>
      </c>
      <c r="AH354" s="11">
        <v>27</v>
      </c>
      <c r="AI354" s="11">
        <v>27</v>
      </c>
      <c r="AJ354" s="11">
        <v>27</v>
      </c>
      <c r="AK354" s="11">
        <v>27</v>
      </c>
      <c r="AL354" s="11">
        <v>27</v>
      </c>
      <c r="AM354" s="11">
        <v>27</v>
      </c>
      <c r="AN354" s="72">
        <v>27</v>
      </c>
      <c r="AO354" s="72">
        <v>27</v>
      </c>
      <c r="AP354" s="72">
        <v>27</v>
      </c>
      <c r="AQ354" s="72">
        <v>27</v>
      </c>
      <c r="AR354" s="72">
        <v>27</v>
      </c>
      <c r="AS354" s="72">
        <v>27</v>
      </c>
      <c r="AT354" s="72">
        <v>27</v>
      </c>
      <c r="AU354" s="72">
        <v>27</v>
      </c>
      <c r="AV354" s="72">
        <v>27</v>
      </c>
      <c r="AW354" s="72">
        <v>64</v>
      </c>
      <c r="AX354" s="72">
        <v>64</v>
      </c>
      <c r="AY354" s="72">
        <v>64</v>
      </c>
      <c r="AZ354" s="72">
        <v>64</v>
      </c>
      <c r="BA354" s="72">
        <v>64</v>
      </c>
      <c r="BB354" s="72">
        <v>61</v>
      </c>
      <c r="BC354" s="72">
        <v>61</v>
      </c>
      <c r="BD354" s="72">
        <v>61</v>
      </c>
      <c r="BE354" s="72">
        <v>58</v>
      </c>
      <c r="BF354" s="72">
        <v>58</v>
      </c>
      <c r="BG354" s="72">
        <v>58</v>
      </c>
      <c r="BH354" s="72">
        <v>46</v>
      </c>
      <c r="BI354" s="72">
        <v>46</v>
      </c>
      <c r="BJ354" s="72">
        <v>46</v>
      </c>
      <c r="BK354" s="72">
        <v>48</v>
      </c>
      <c r="BL354" s="72">
        <v>48</v>
      </c>
      <c r="BM354" s="72">
        <v>40</v>
      </c>
      <c r="BN354" s="72">
        <v>38</v>
      </c>
      <c r="BO354" s="72">
        <v>40</v>
      </c>
      <c r="BP354" s="72">
        <v>40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</row>
    <row r="355" spans="1:110" x14ac:dyDescent="0.35">
      <c r="A355" s="7"/>
      <c r="B355" s="8" t="s">
        <v>621</v>
      </c>
      <c r="C355" s="9" t="s">
        <v>622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 t="s">
        <v>42</v>
      </c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</row>
    <row r="356" spans="1:110" x14ac:dyDescent="0.35">
      <c r="A356" s="7"/>
      <c r="B356" s="8" t="s">
        <v>623</v>
      </c>
      <c r="C356" s="9" t="s">
        <v>624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4</v>
      </c>
      <c r="J356" s="10"/>
      <c r="K356" s="10"/>
      <c r="L356" s="8"/>
      <c r="M356" s="12">
        <v>724.8</v>
      </c>
      <c r="N356" s="12">
        <f t="shared" si="6"/>
        <v>0</v>
      </c>
      <c r="O356" s="11">
        <v>4</v>
      </c>
      <c r="P356" s="11">
        <v>4</v>
      </c>
      <c r="Q356" s="11">
        <v>4</v>
      </c>
      <c r="R356" s="11">
        <v>4</v>
      </c>
      <c r="S356" s="11">
        <v>4</v>
      </c>
      <c r="T356" s="11">
        <v>4</v>
      </c>
      <c r="U356" s="11">
        <v>4</v>
      </c>
      <c r="V356" s="11">
        <v>4</v>
      </c>
      <c r="W356" s="11">
        <v>4</v>
      </c>
      <c r="X356" s="11">
        <v>4</v>
      </c>
      <c r="Y356" s="11">
        <v>4</v>
      </c>
      <c r="Z356" s="11">
        <v>4</v>
      </c>
      <c r="AA356" s="11">
        <v>4</v>
      </c>
      <c r="AB356" s="11">
        <v>4</v>
      </c>
      <c r="AC356" s="11">
        <v>4</v>
      </c>
      <c r="AD356" s="11">
        <v>4</v>
      </c>
      <c r="AE356" s="11">
        <v>4</v>
      </c>
      <c r="AF356" s="11">
        <v>4</v>
      </c>
      <c r="AG356" s="11">
        <v>4</v>
      </c>
      <c r="AH356" s="11">
        <v>4</v>
      </c>
      <c r="AI356" s="11">
        <v>4</v>
      </c>
      <c r="AJ356" s="11">
        <v>4</v>
      </c>
      <c r="AK356" s="11">
        <v>4</v>
      </c>
      <c r="AL356" s="11">
        <v>4</v>
      </c>
      <c r="AM356" s="11">
        <v>4</v>
      </c>
      <c r="AN356" s="72">
        <v>4</v>
      </c>
      <c r="AO356" s="72">
        <v>4</v>
      </c>
      <c r="AP356" s="72">
        <v>4</v>
      </c>
      <c r="AQ356" s="72">
        <v>4</v>
      </c>
      <c r="AR356" s="72">
        <v>4</v>
      </c>
      <c r="AS356" s="72">
        <v>4</v>
      </c>
      <c r="AT356" s="72">
        <v>4</v>
      </c>
      <c r="AU356" s="72">
        <v>4</v>
      </c>
      <c r="AV356" s="72">
        <v>4</v>
      </c>
      <c r="AW356" s="72">
        <v>4</v>
      </c>
      <c r="AX356" s="72">
        <v>4</v>
      </c>
      <c r="AY356" s="72">
        <v>4</v>
      </c>
      <c r="AZ356" s="72">
        <v>4</v>
      </c>
      <c r="BA356" s="72">
        <v>4</v>
      </c>
      <c r="BB356" s="72">
        <v>4</v>
      </c>
      <c r="BC356" s="72">
        <v>4</v>
      </c>
      <c r="BD356" s="72">
        <v>4</v>
      </c>
      <c r="BE356" s="72">
        <v>4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</row>
    <row r="357" spans="1:110" x14ac:dyDescent="0.35">
      <c r="A357" s="7"/>
      <c r="B357" s="8" t="s">
        <v>625</v>
      </c>
      <c r="C357" s="9" t="s">
        <v>626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4</v>
      </c>
      <c r="J357" s="10"/>
      <c r="K357" s="10"/>
      <c r="L357" s="8"/>
      <c r="M357" s="12">
        <v>525</v>
      </c>
      <c r="N357" s="12">
        <f t="shared" si="6"/>
        <v>525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>
        <v>1</v>
      </c>
      <c r="U357" s="11">
        <v>1</v>
      </c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>
        <v>1</v>
      </c>
      <c r="AB357" s="11">
        <v>1</v>
      </c>
      <c r="AC357" s="11">
        <v>6</v>
      </c>
      <c r="AD357" s="11">
        <v>6</v>
      </c>
      <c r="AE357" s="11">
        <v>6</v>
      </c>
      <c r="AF357" s="11">
        <v>6</v>
      </c>
      <c r="AG357" s="11">
        <v>6</v>
      </c>
      <c r="AH357" s="11">
        <v>6</v>
      </c>
      <c r="AI357" s="11">
        <v>6</v>
      </c>
      <c r="AJ357" s="11">
        <v>4</v>
      </c>
      <c r="AK357" s="11">
        <v>4</v>
      </c>
      <c r="AL357" s="11">
        <v>4</v>
      </c>
      <c r="AM357" s="11">
        <v>4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1</v>
      </c>
      <c r="AV357" s="72">
        <v>1</v>
      </c>
      <c r="AW357" s="72">
        <v>1</v>
      </c>
      <c r="AX357" s="72">
        <v>1</v>
      </c>
      <c r="AY357" s="72">
        <v>1</v>
      </c>
      <c r="AZ357" s="72">
        <v>1</v>
      </c>
      <c r="BA357" s="72">
        <v>1</v>
      </c>
      <c r="BB357" s="72">
        <v>1</v>
      </c>
      <c r="BC357" s="72">
        <v>1</v>
      </c>
      <c r="BD357" s="72">
        <v>1</v>
      </c>
      <c r="BE357" s="72">
        <v>1</v>
      </c>
      <c r="BF357" s="72">
        <v>1</v>
      </c>
      <c r="BG357" s="72">
        <v>1</v>
      </c>
      <c r="BH357" s="72">
        <v>1</v>
      </c>
      <c r="BI357" s="72">
        <v>1</v>
      </c>
      <c r="BJ357" s="72">
        <v>1</v>
      </c>
      <c r="BK357" s="72">
        <v>1</v>
      </c>
      <c r="BL357" s="72">
        <v>1</v>
      </c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1</v>
      </c>
      <c r="DA357" s="72">
        <v>1</v>
      </c>
      <c r="DB357" s="72">
        <v>1</v>
      </c>
      <c r="DC357" s="72">
        <v>1</v>
      </c>
      <c r="DD357" s="72">
        <v>1</v>
      </c>
      <c r="DE357" s="72">
        <v>1</v>
      </c>
      <c r="DF357" s="72">
        <v>1</v>
      </c>
    </row>
    <row r="358" spans="1:110" x14ac:dyDescent="0.35">
      <c r="A358" s="7"/>
      <c r="B358" s="8" t="s">
        <v>627</v>
      </c>
      <c r="C358" s="9" t="s">
        <v>628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18</v>
      </c>
      <c r="J358" s="10"/>
      <c r="K358" s="10"/>
      <c r="L358" s="8" t="s">
        <v>629</v>
      </c>
      <c r="M358" s="12">
        <v>621.6</v>
      </c>
      <c r="N358" s="12">
        <f t="shared" si="6"/>
        <v>48484.800000000003</v>
      </c>
      <c r="O358" s="11">
        <v>33</v>
      </c>
      <c r="P358" s="11">
        <v>33</v>
      </c>
      <c r="Q358" s="11">
        <v>38</v>
      </c>
      <c r="R358" s="11">
        <v>38</v>
      </c>
      <c r="S358" s="11">
        <v>38</v>
      </c>
      <c r="T358" s="11">
        <v>35</v>
      </c>
      <c r="U358" s="11">
        <v>24</v>
      </c>
      <c r="V358" s="11">
        <v>29</v>
      </c>
      <c r="W358" s="11">
        <v>29</v>
      </c>
      <c r="X358" s="11">
        <v>22</v>
      </c>
      <c r="Y358" s="11">
        <v>7</v>
      </c>
      <c r="Z358" s="11">
        <v>12</v>
      </c>
      <c r="AA358" s="11">
        <v>12</v>
      </c>
      <c r="AB358" s="11">
        <v>22</v>
      </c>
      <c r="AC358" s="11">
        <v>22</v>
      </c>
      <c r="AD358" s="11">
        <v>10</v>
      </c>
      <c r="AE358" s="11">
        <v>10</v>
      </c>
      <c r="AF358" s="11">
        <v>22</v>
      </c>
      <c r="AG358" s="11">
        <v>22</v>
      </c>
      <c r="AH358" s="11">
        <v>17</v>
      </c>
      <c r="AI358" s="11">
        <v>17</v>
      </c>
      <c r="AJ358" s="11">
        <v>18</v>
      </c>
      <c r="AK358" s="11">
        <v>18</v>
      </c>
      <c r="AL358" s="11">
        <v>18</v>
      </c>
      <c r="AM358" s="11">
        <v>18</v>
      </c>
      <c r="AN358" s="72">
        <v>17</v>
      </c>
      <c r="AO358" s="72">
        <v>100</v>
      </c>
      <c r="AP358" s="72">
        <v>100</v>
      </c>
      <c r="AQ358" s="72">
        <v>99</v>
      </c>
      <c r="AR358" s="72">
        <v>94</v>
      </c>
      <c r="AS358" s="72">
        <v>93</v>
      </c>
      <c r="AT358" s="72">
        <v>93</v>
      </c>
      <c r="AU358" s="72">
        <v>93</v>
      </c>
      <c r="AV358" s="72">
        <v>93</v>
      </c>
      <c r="AW358" s="72">
        <v>51</v>
      </c>
      <c r="AX358" s="72">
        <v>51</v>
      </c>
      <c r="AY358" s="72">
        <v>51</v>
      </c>
      <c r="AZ358" s="72">
        <v>50</v>
      </c>
      <c r="BA358" s="72">
        <v>47</v>
      </c>
      <c r="BB358" s="72">
        <v>43</v>
      </c>
      <c r="BC358" s="72">
        <v>42</v>
      </c>
      <c r="BD358" s="72">
        <v>33</v>
      </c>
      <c r="BE358" s="72">
        <v>24</v>
      </c>
      <c r="BF358" s="72">
        <v>17</v>
      </c>
      <c r="BG358" s="72">
        <v>17</v>
      </c>
      <c r="BH358" s="72">
        <v>13</v>
      </c>
      <c r="BI358" s="72">
        <v>13</v>
      </c>
      <c r="BJ358" s="72">
        <v>6</v>
      </c>
      <c r="BK358" s="72">
        <v>13</v>
      </c>
      <c r="BL358" s="72">
        <v>13</v>
      </c>
      <c r="BM358" s="72">
        <v>12</v>
      </c>
      <c r="BN358" s="72">
        <v>9</v>
      </c>
      <c r="BO358" s="72">
        <v>28</v>
      </c>
      <c r="BP358" s="72">
        <v>20</v>
      </c>
      <c r="BQ358" s="72">
        <v>8</v>
      </c>
      <c r="BR358" s="72">
        <v>8</v>
      </c>
      <c r="BS358" s="72">
        <v>8</v>
      </c>
      <c r="BT358" s="72">
        <v>8</v>
      </c>
      <c r="BU358" s="72">
        <v>8</v>
      </c>
      <c r="BV358" s="72">
        <v>8</v>
      </c>
      <c r="BW358" s="72">
        <v>8</v>
      </c>
      <c r="BX358" s="72">
        <v>8</v>
      </c>
      <c r="BY358" s="72">
        <v>7</v>
      </c>
      <c r="BZ358" s="72">
        <v>2</v>
      </c>
      <c r="CA358" s="72">
        <v>1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0</v>
      </c>
      <c r="CI358" s="72">
        <v>0</v>
      </c>
      <c r="CJ358" s="72">
        <v>32</v>
      </c>
      <c r="CK358" s="72">
        <v>32</v>
      </c>
      <c r="CL358" s="72">
        <v>23</v>
      </c>
      <c r="CM358" s="72">
        <v>23</v>
      </c>
      <c r="CN358" s="72">
        <v>22</v>
      </c>
      <c r="CO358" s="72">
        <v>21</v>
      </c>
      <c r="CP358" s="72">
        <v>17</v>
      </c>
      <c r="CQ358" s="72">
        <v>17</v>
      </c>
      <c r="CR358" s="72">
        <v>35</v>
      </c>
      <c r="CS358" s="72">
        <v>32</v>
      </c>
      <c r="CT358" s="72">
        <v>32</v>
      </c>
      <c r="CU358" s="72">
        <v>32</v>
      </c>
      <c r="CV358" s="72">
        <v>51</v>
      </c>
      <c r="CW358" s="72">
        <v>49</v>
      </c>
      <c r="CX358" s="72">
        <v>48</v>
      </c>
      <c r="CY358" s="72">
        <v>88</v>
      </c>
      <c r="CZ358" s="72">
        <v>88</v>
      </c>
      <c r="DA358" s="72">
        <v>88</v>
      </c>
      <c r="DB358" s="72">
        <v>88</v>
      </c>
      <c r="DC358" s="72">
        <v>88</v>
      </c>
      <c r="DD358" s="72">
        <v>82</v>
      </c>
      <c r="DE358" s="72">
        <v>80</v>
      </c>
      <c r="DF358" s="72">
        <v>78</v>
      </c>
    </row>
    <row r="359" spans="1:110" x14ac:dyDescent="0.35">
      <c r="A359" s="7"/>
      <c r="B359" s="8" t="s">
        <v>630</v>
      </c>
      <c r="C359" s="9" t="s">
        <v>631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/>
      <c r="L359" s="8" t="s">
        <v>632</v>
      </c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>
        <v>1</v>
      </c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1</v>
      </c>
      <c r="AV359" s="72">
        <v>1</v>
      </c>
      <c r="AW359" s="72">
        <v>1</v>
      </c>
      <c r="AX359" s="72">
        <v>1</v>
      </c>
      <c r="AY359" s="72">
        <v>1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1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</row>
    <row r="360" spans="1:110" x14ac:dyDescent="0.35">
      <c r="A360" s="7"/>
      <c r="B360" s="8" t="s">
        <v>633</v>
      </c>
      <c r="C360" s="9" t="s">
        <v>634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5</v>
      </c>
      <c r="J360" s="10"/>
      <c r="K360" s="10"/>
      <c r="L360" s="8"/>
      <c r="M360" s="12">
        <v>813.96</v>
      </c>
      <c r="N360" s="12">
        <f t="shared" si="6"/>
        <v>0</v>
      </c>
      <c r="O360" s="11">
        <v>5</v>
      </c>
      <c r="P360" s="11">
        <v>5</v>
      </c>
      <c r="Q360" s="11">
        <v>5</v>
      </c>
      <c r="R360" s="11">
        <v>5</v>
      </c>
      <c r="S360" s="11">
        <v>5</v>
      </c>
      <c r="T360" s="11">
        <v>5</v>
      </c>
      <c r="U360" s="11">
        <v>5</v>
      </c>
      <c r="V360" s="11">
        <v>0</v>
      </c>
      <c r="W360" s="11">
        <v>0</v>
      </c>
      <c r="X360" s="11">
        <v>0</v>
      </c>
      <c r="Y360" s="11">
        <v>0</v>
      </c>
      <c r="Z360" s="11">
        <v>5</v>
      </c>
      <c r="AA360" s="11">
        <v>5</v>
      </c>
      <c r="AB360" s="11">
        <v>5</v>
      </c>
      <c r="AC360" s="11">
        <v>5</v>
      </c>
      <c r="AD360" s="11">
        <v>5</v>
      </c>
      <c r="AE360" s="11">
        <v>5</v>
      </c>
      <c r="AF360" s="11">
        <v>5</v>
      </c>
      <c r="AG360" s="11">
        <v>5</v>
      </c>
      <c r="AH360" s="11">
        <v>5</v>
      </c>
      <c r="AI360" s="11">
        <v>5</v>
      </c>
      <c r="AJ360" s="11">
        <v>5</v>
      </c>
      <c r="AK360" s="11">
        <v>5</v>
      </c>
      <c r="AL360" s="11">
        <v>5</v>
      </c>
      <c r="AM360" s="11">
        <v>5</v>
      </c>
      <c r="AN360" s="72">
        <v>5</v>
      </c>
      <c r="AO360" s="72">
        <v>5</v>
      </c>
      <c r="AP360" s="72">
        <v>5</v>
      </c>
      <c r="AQ360" s="72">
        <v>5</v>
      </c>
      <c r="AR360" s="72">
        <v>5</v>
      </c>
      <c r="AS360" s="72">
        <v>5</v>
      </c>
      <c r="AT360" s="72">
        <v>5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5</v>
      </c>
      <c r="BN360" s="72">
        <v>3</v>
      </c>
      <c r="BO360" s="72">
        <v>3</v>
      </c>
      <c r="BP360" s="72">
        <v>3</v>
      </c>
      <c r="BQ360" s="72">
        <v>3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</row>
    <row r="361" spans="1:110" x14ac:dyDescent="0.35">
      <c r="A361" s="7"/>
      <c r="B361" s="21" t="s">
        <v>635</v>
      </c>
      <c r="C361" s="22" t="s">
        <v>636</v>
      </c>
      <c r="D361" s="10" t="s">
        <v>594</v>
      </c>
      <c r="E361" s="8" t="s">
        <v>1205</v>
      </c>
      <c r="F361" s="23">
        <v>1006</v>
      </c>
      <c r="G361" s="10" t="s">
        <v>40</v>
      </c>
      <c r="H361" s="10" t="s">
        <v>41</v>
      </c>
      <c r="I361" s="11">
        <v>0</v>
      </c>
      <c r="J361" s="23"/>
      <c r="K361" s="10"/>
      <c r="L361" s="8"/>
      <c r="M361" s="12"/>
      <c r="N361" s="12">
        <f t="shared" si="6"/>
        <v>0</v>
      </c>
      <c r="O361" s="11">
        <v>32</v>
      </c>
      <c r="P361" s="11">
        <v>32</v>
      </c>
      <c r="Q361" s="11">
        <v>32</v>
      </c>
      <c r="R361" s="11">
        <v>32</v>
      </c>
      <c r="S361" s="11">
        <v>32</v>
      </c>
      <c r="T361" s="11">
        <v>32</v>
      </c>
      <c r="U361" s="11">
        <v>32</v>
      </c>
      <c r="V361" s="11">
        <v>32</v>
      </c>
      <c r="W361" s="11">
        <v>32</v>
      </c>
      <c r="X361" s="11">
        <v>32</v>
      </c>
      <c r="Y361" s="11">
        <v>0</v>
      </c>
      <c r="Z361" s="11">
        <v>0</v>
      </c>
      <c r="AA361" s="11">
        <v>0</v>
      </c>
      <c r="AB361" s="11">
        <v>0</v>
      </c>
      <c r="AC361" s="11">
        <v>0</v>
      </c>
      <c r="AD361" s="11">
        <v>0</v>
      </c>
      <c r="AE361" s="11">
        <v>0</v>
      </c>
      <c r="AF361" s="11">
        <v>0</v>
      </c>
      <c r="AG361" s="11">
        <v>0</v>
      </c>
      <c r="AH361" s="11">
        <v>0</v>
      </c>
      <c r="AI361" s="11">
        <v>0</v>
      </c>
      <c r="AJ361" s="11">
        <v>0</v>
      </c>
      <c r="AK361" s="11">
        <v>0</v>
      </c>
      <c r="AL361" s="11">
        <v>0</v>
      </c>
      <c r="AM361" s="11">
        <v>0</v>
      </c>
      <c r="AN361" s="72">
        <v>0</v>
      </c>
      <c r="AO361" s="72">
        <v>0</v>
      </c>
      <c r="AP361" s="72">
        <v>0</v>
      </c>
      <c r="AQ361" s="72">
        <v>0</v>
      </c>
      <c r="AR361" s="72">
        <v>0</v>
      </c>
      <c r="AS361" s="72">
        <v>0</v>
      </c>
      <c r="AT361" s="72">
        <v>0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</row>
    <row r="362" spans="1:110" x14ac:dyDescent="0.35">
      <c r="A362" s="7"/>
      <c r="B362" s="8" t="s">
        <v>637</v>
      </c>
      <c r="C362" s="9" t="s">
        <v>638</v>
      </c>
      <c r="D362" s="10" t="s">
        <v>594</v>
      </c>
      <c r="E362" s="8" t="s">
        <v>1205</v>
      </c>
      <c r="F362" s="10">
        <v>1006</v>
      </c>
      <c r="G362" s="10" t="s">
        <v>40</v>
      </c>
      <c r="H362" s="10" t="s">
        <v>41</v>
      </c>
      <c r="I362" s="11">
        <v>2</v>
      </c>
      <c r="J362" s="10"/>
      <c r="K362" s="10" t="s">
        <v>42</v>
      </c>
      <c r="L362" s="8"/>
      <c r="M362" s="12">
        <v>17</v>
      </c>
      <c r="N362" s="12">
        <f t="shared" si="6"/>
        <v>0</v>
      </c>
      <c r="O362" s="11">
        <v>2</v>
      </c>
      <c r="P362" s="11">
        <v>2</v>
      </c>
      <c r="Q362" s="11">
        <v>2</v>
      </c>
      <c r="R362" s="11">
        <v>2</v>
      </c>
      <c r="S362" s="11">
        <v>2</v>
      </c>
      <c r="T362" s="11">
        <v>2</v>
      </c>
      <c r="U362" s="11">
        <v>2</v>
      </c>
      <c r="V362" s="11">
        <v>2</v>
      </c>
      <c r="W362" s="11">
        <v>2</v>
      </c>
      <c r="X362" s="11">
        <v>2</v>
      </c>
      <c r="Y362" s="11">
        <v>2</v>
      </c>
      <c r="Z362" s="11">
        <v>2</v>
      </c>
      <c r="AA362" s="11">
        <v>2</v>
      </c>
      <c r="AB362" s="11">
        <v>2</v>
      </c>
      <c r="AC362" s="11">
        <v>2</v>
      </c>
      <c r="AD362" s="11">
        <v>2</v>
      </c>
      <c r="AE362" s="11">
        <v>2</v>
      </c>
      <c r="AF362" s="11">
        <v>2</v>
      </c>
      <c r="AG362" s="11">
        <v>2</v>
      </c>
      <c r="AH362" s="11">
        <v>2</v>
      </c>
      <c r="AI362" s="11">
        <v>2</v>
      </c>
      <c r="AJ362" s="11">
        <v>2</v>
      </c>
      <c r="AK362" s="11">
        <v>2</v>
      </c>
      <c r="AL362" s="11">
        <v>2</v>
      </c>
      <c r="AM362" s="11">
        <v>2</v>
      </c>
      <c r="AN362" s="72">
        <v>2</v>
      </c>
      <c r="AO362" s="72">
        <v>2</v>
      </c>
      <c r="AP362" s="72">
        <v>2</v>
      </c>
      <c r="AQ362" s="72">
        <v>2</v>
      </c>
      <c r="AR362" s="72">
        <v>2</v>
      </c>
      <c r="AS362" s="72">
        <v>2</v>
      </c>
      <c r="AT362" s="72">
        <v>2</v>
      </c>
      <c r="AU362" s="72">
        <v>2</v>
      </c>
      <c r="AV362" s="72">
        <v>2</v>
      </c>
      <c r="AW362" s="72">
        <v>2</v>
      </c>
      <c r="AX362" s="72">
        <v>2</v>
      </c>
      <c r="AY362" s="72">
        <v>2</v>
      </c>
      <c r="AZ362" s="72">
        <v>2</v>
      </c>
      <c r="BA362" s="72">
        <v>2</v>
      </c>
      <c r="BB362" s="72">
        <v>2</v>
      </c>
      <c r="BC362" s="72">
        <v>2</v>
      </c>
      <c r="BD362" s="72">
        <v>2</v>
      </c>
      <c r="BE362" s="72">
        <v>2</v>
      </c>
      <c r="BF362" s="72">
        <v>2</v>
      </c>
      <c r="BG362" s="72">
        <v>2</v>
      </c>
      <c r="BH362" s="72">
        <v>2</v>
      </c>
      <c r="BI362" s="72">
        <v>2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</row>
    <row r="363" spans="1:110" x14ac:dyDescent="0.35">
      <c r="A363" s="7"/>
      <c r="B363" s="77" t="s">
        <v>1352</v>
      </c>
      <c r="C363" s="78" t="s">
        <v>1359</v>
      </c>
      <c r="D363" s="10" t="s">
        <v>594</v>
      </c>
      <c r="E363" s="8" t="s">
        <v>1206</v>
      </c>
      <c r="F363" s="10"/>
      <c r="G363" s="10"/>
      <c r="H363" s="10" t="s">
        <v>41</v>
      </c>
      <c r="I363" s="11"/>
      <c r="J363" s="10"/>
      <c r="K363" s="10"/>
      <c r="L363" s="8"/>
      <c r="M363" s="12">
        <v>200</v>
      </c>
      <c r="N363" s="12">
        <f t="shared" si="6"/>
        <v>400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6</v>
      </c>
      <c r="BK363" s="72">
        <v>4</v>
      </c>
      <c r="BL363" s="72">
        <v>4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  <c r="DF363" s="72">
        <v>2</v>
      </c>
    </row>
    <row r="364" spans="1:110" x14ac:dyDescent="0.35">
      <c r="A364" s="7"/>
      <c r="B364" s="77" t="s">
        <v>1171</v>
      </c>
      <c r="C364" s="78" t="s">
        <v>1180</v>
      </c>
      <c r="D364" s="10" t="s">
        <v>594</v>
      </c>
      <c r="E364" s="8" t="s">
        <v>1206</v>
      </c>
      <c r="F364" s="10">
        <v>1006</v>
      </c>
      <c r="G364" s="10" t="s">
        <v>40</v>
      </c>
      <c r="H364" s="10" t="s">
        <v>41</v>
      </c>
      <c r="I364" s="11"/>
      <c r="J364" s="10"/>
      <c r="K364" s="10" t="s">
        <v>153</v>
      </c>
      <c r="L364" s="8"/>
      <c r="M364" s="12">
        <v>207.53</v>
      </c>
      <c r="N364" s="12">
        <f t="shared" si="6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>
        <v>5</v>
      </c>
      <c r="AP364" s="72">
        <v>5</v>
      </c>
      <c r="AQ364" s="72">
        <v>5</v>
      </c>
      <c r="AR364" s="72">
        <v>5</v>
      </c>
      <c r="AS364" s="72">
        <v>5</v>
      </c>
      <c r="AT364" s="72">
        <v>5</v>
      </c>
      <c r="AU364" s="72">
        <v>5</v>
      </c>
      <c r="AV364" s="72">
        <v>5</v>
      </c>
      <c r="AW364" s="72">
        <v>5</v>
      </c>
      <c r="AX364" s="72">
        <v>5</v>
      </c>
      <c r="AY364" s="72">
        <v>5</v>
      </c>
      <c r="AZ364" s="72">
        <v>5</v>
      </c>
      <c r="BA364" s="72">
        <v>5</v>
      </c>
      <c r="BB364" s="72">
        <v>5</v>
      </c>
      <c r="BC364" s="72">
        <v>5</v>
      </c>
      <c r="BD364" s="72">
        <v>5</v>
      </c>
      <c r="BE364" s="72">
        <v>5</v>
      </c>
      <c r="BF364" s="72">
        <v>5</v>
      </c>
      <c r="BG364" s="72">
        <v>5</v>
      </c>
      <c r="BH364" s="72">
        <v>5</v>
      </c>
      <c r="BI364" s="72">
        <v>5</v>
      </c>
      <c r="BJ364" s="72">
        <v>5</v>
      </c>
      <c r="BK364" s="72">
        <v>5</v>
      </c>
      <c r="BL364" s="72">
        <v>5</v>
      </c>
      <c r="BM364" s="72">
        <v>5</v>
      </c>
      <c r="BN364" s="72">
        <v>5</v>
      </c>
      <c r="BO364" s="72">
        <v>5</v>
      </c>
      <c r="BP364" s="72">
        <v>5</v>
      </c>
      <c r="BQ364" s="72">
        <v>5</v>
      </c>
      <c r="BR364" s="72">
        <v>5</v>
      </c>
      <c r="BS364" s="72">
        <v>5</v>
      </c>
      <c r="BT364" s="72">
        <v>5</v>
      </c>
      <c r="BU364" s="72">
        <v>5</v>
      </c>
      <c r="BV364" s="72">
        <v>5</v>
      </c>
      <c r="BW364" s="72">
        <v>5</v>
      </c>
      <c r="BX364" s="72">
        <v>5</v>
      </c>
      <c r="BY364" s="72">
        <v>5</v>
      </c>
      <c r="BZ364" s="72">
        <v>5</v>
      </c>
      <c r="CA364" s="72">
        <v>5</v>
      </c>
      <c r="CB364" s="72">
        <v>5</v>
      </c>
      <c r="CC364" s="72">
        <v>5</v>
      </c>
      <c r="CD364" s="72">
        <v>5</v>
      </c>
      <c r="CE364" s="72">
        <v>5</v>
      </c>
      <c r="CF364" s="72">
        <v>5</v>
      </c>
      <c r="CG364" s="72">
        <v>5</v>
      </c>
      <c r="CH364" s="72">
        <v>5</v>
      </c>
      <c r="CI364" s="72">
        <v>5</v>
      </c>
      <c r="CJ364" s="72">
        <v>5</v>
      </c>
      <c r="CK364" s="72">
        <v>5</v>
      </c>
      <c r="CL364" s="72">
        <v>5</v>
      </c>
      <c r="CM364" s="72">
        <v>5</v>
      </c>
      <c r="CN364" s="72">
        <v>5</v>
      </c>
      <c r="CO364" s="72">
        <v>5</v>
      </c>
      <c r="CP364" s="72">
        <v>5</v>
      </c>
      <c r="CQ364" s="72">
        <v>5</v>
      </c>
      <c r="CR364" s="72">
        <v>5</v>
      </c>
      <c r="CS364" s="72">
        <v>5</v>
      </c>
      <c r="CT364" s="72">
        <v>5</v>
      </c>
      <c r="CU364" s="72">
        <v>5</v>
      </c>
      <c r="CV364" s="72">
        <v>5</v>
      </c>
      <c r="CW364" s="72">
        <v>5</v>
      </c>
      <c r="CX364" s="72">
        <v>5</v>
      </c>
      <c r="CY364" s="72">
        <v>5</v>
      </c>
      <c r="CZ364" s="72">
        <v>5</v>
      </c>
      <c r="DA364" s="72">
        <v>5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</row>
    <row r="365" spans="1:110" x14ac:dyDescent="0.35">
      <c r="A365" s="7"/>
      <c r="B365" s="77" t="s">
        <v>1486</v>
      </c>
      <c r="C365" s="78" t="s">
        <v>1180</v>
      </c>
      <c r="D365" s="10" t="s">
        <v>594</v>
      </c>
      <c r="E365" s="8" t="s">
        <v>1206</v>
      </c>
      <c r="F365" s="10">
        <v>1006</v>
      </c>
      <c r="G365" s="10" t="s">
        <v>40</v>
      </c>
      <c r="H365" s="10" t="s">
        <v>41</v>
      </c>
      <c r="I365" s="11"/>
      <c r="J365" s="10"/>
      <c r="K365" s="10"/>
      <c r="L365" s="8"/>
      <c r="M365" s="12">
        <v>131.33000000000001</v>
      </c>
      <c r="N365" s="12">
        <f t="shared" si="6"/>
        <v>55946.58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>
        <v>329</v>
      </c>
      <c r="CK365" s="72">
        <v>329</v>
      </c>
      <c r="CL365" s="72">
        <v>329</v>
      </c>
      <c r="CM365" s="72">
        <v>329</v>
      </c>
      <c r="CN365" s="72">
        <v>313</v>
      </c>
      <c r="CO365" s="72">
        <v>313</v>
      </c>
      <c r="CP365" s="72">
        <v>312</v>
      </c>
      <c r="CQ365" s="72">
        <v>312</v>
      </c>
      <c r="CR365" s="72">
        <v>312</v>
      </c>
      <c r="CS365" s="72">
        <v>252</v>
      </c>
      <c r="CT365" s="72">
        <v>252</v>
      </c>
      <c r="CU365" s="72">
        <v>252</v>
      </c>
      <c r="CV365" s="72">
        <v>440</v>
      </c>
      <c r="CW365" s="72">
        <v>440</v>
      </c>
      <c r="CX365" s="72">
        <v>436</v>
      </c>
      <c r="CY365" s="72">
        <v>436</v>
      </c>
      <c r="CZ365" s="72">
        <v>436</v>
      </c>
      <c r="DA365" s="72">
        <v>436</v>
      </c>
      <c r="DB365" s="72">
        <v>426</v>
      </c>
      <c r="DC365" s="72">
        <v>426</v>
      </c>
      <c r="DD365" s="72">
        <v>426</v>
      </c>
      <c r="DE365" s="72">
        <v>426</v>
      </c>
      <c r="DF365" s="72">
        <v>426</v>
      </c>
    </row>
    <row r="366" spans="1:110" x14ac:dyDescent="0.35">
      <c r="A366" s="7"/>
      <c r="B366" s="8" t="s">
        <v>639</v>
      </c>
      <c r="C366" s="9" t="s">
        <v>640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/>
      <c r="M366" s="12">
        <v>460</v>
      </c>
      <c r="N366" s="12">
        <f t="shared" si="6"/>
        <v>460</v>
      </c>
      <c r="O366" s="11">
        <v>1</v>
      </c>
      <c r="P366" s="11">
        <v>1</v>
      </c>
      <c r="Q366" s="11">
        <v>1</v>
      </c>
      <c r="R366" s="11">
        <v>1</v>
      </c>
      <c r="S366" s="11">
        <v>1</v>
      </c>
      <c r="T366" s="11">
        <v>1</v>
      </c>
      <c r="U366" s="11">
        <v>1</v>
      </c>
      <c r="V366" s="11">
        <v>1</v>
      </c>
      <c r="W366" s="11">
        <v>1</v>
      </c>
      <c r="X366" s="11">
        <v>1</v>
      </c>
      <c r="Y366" s="11">
        <v>1</v>
      </c>
      <c r="Z366" s="11">
        <v>1</v>
      </c>
      <c r="AA366" s="11">
        <v>1</v>
      </c>
      <c r="AB366" s="11">
        <v>1</v>
      </c>
      <c r="AC366" s="11">
        <v>1</v>
      </c>
      <c r="AD366" s="11">
        <v>1</v>
      </c>
      <c r="AE366" s="11">
        <v>1</v>
      </c>
      <c r="AF366" s="11">
        <v>1</v>
      </c>
      <c r="AG366" s="11">
        <v>1</v>
      </c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1</v>
      </c>
      <c r="BA366" s="72">
        <v>1</v>
      </c>
      <c r="BB366" s="72">
        <v>1</v>
      </c>
      <c r="BC366" s="72">
        <v>1</v>
      </c>
      <c r="BD366" s="72">
        <v>1</v>
      </c>
      <c r="BE366" s="72">
        <v>1</v>
      </c>
      <c r="BF366" s="72">
        <v>1</v>
      </c>
      <c r="BG366" s="72">
        <v>1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1</v>
      </c>
      <c r="BP366" s="72">
        <v>1</v>
      </c>
      <c r="BQ366" s="72">
        <v>1</v>
      </c>
      <c r="BR366" s="72">
        <v>1</v>
      </c>
      <c r="BS366" s="72">
        <v>1</v>
      </c>
      <c r="BT366" s="72">
        <v>1</v>
      </c>
      <c r="BU366" s="72">
        <v>1</v>
      </c>
      <c r="BV366" s="72">
        <v>1</v>
      </c>
      <c r="BW366" s="72">
        <v>1</v>
      </c>
      <c r="BX366" s="72">
        <v>1</v>
      </c>
      <c r="BY366" s="72">
        <v>1</v>
      </c>
      <c r="BZ366" s="72">
        <v>1</v>
      </c>
      <c r="CA366" s="72">
        <v>1</v>
      </c>
      <c r="CB366" s="72">
        <v>1</v>
      </c>
      <c r="CC366" s="72">
        <v>1</v>
      </c>
      <c r="CD366" s="72">
        <v>1</v>
      </c>
      <c r="CE366" s="72">
        <v>1</v>
      </c>
      <c r="CF366" s="72">
        <v>1</v>
      </c>
      <c r="CG366" s="72">
        <v>1</v>
      </c>
      <c r="CH366" s="72">
        <v>1</v>
      </c>
      <c r="CI366" s="72">
        <v>1</v>
      </c>
      <c r="CJ366" s="72">
        <v>1</v>
      </c>
      <c r="CK366" s="72">
        <v>1</v>
      </c>
      <c r="CL366" s="72">
        <v>1</v>
      </c>
      <c r="CM366" s="72">
        <v>1</v>
      </c>
      <c r="CN366" s="72">
        <v>1</v>
      </c>
      <c r="CO366" s="72">
        <v>1</v>
      </c>
      <c r="CP366" s="72">
        <v>1</v>
      </c>
      <c r="CQ366" s="72">
        <v>1</v>
      </c>
      <c r="CR366" s="72">
        <v>1</v>
      </c>
      <c r="CS366" s="72">
        <v>1</v>
      </c>
      <c r="CT366" s="72">
        <v>1</v>
      </c>
      <c r="CU366" s="72">
        <v>1</v>
      </c>
      <c r="CV366" s="72">
        <v>1</v>
      </c>
      <c r="CW366" s="72">
        <v>1</v>
      </c>
      <c r="CX366" s="72">
        <v>1</v>
      </c>
      <c r="CY366" s="72">
        <v>1</v>
      </c>
      <c r="CZ366" s="72">
        <v>1</v>
      </c>
      <c r="DA366" s="72">
        <v>1</v>
      </c>
      <c r="DB366" s="72">
        <v>1</v>
      </c>
      <c r="DC366" s="72">
        <v>1</v>
      </c>
      <c r="DD366" s="72">
        <v>1</v>
      </c>
      <c r="DE366" s="72">
        <v>1</v>
      </c>
      <c r="DF366" s="72">
        <v>1</v>
      </c>
    </row>
    <row r="367" spans="1:110" x14ac:dyDescent="0.35">
      <c r="A367" s="7"/>
      <c r="B367" s="77" t="s">
        <v>1172</v>
      </c>
      <c r="C367" s="9" t="s">
        <v>1181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/>
      <c r="J367" s="10"/>
      <c r="K367" s="10"/>
      <c r="L367" s="8"/>
      <c r="M367" s="12">
        <v>395</v>
      </c>
      <c r="N367" s="12">
        <f t="shared" si="6"/>
        <v>2370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32</v>
      </c>
      <c r="AP367" s="72">
        <v>32</v>
      </c>
      <c r="AQ367" s="72">
        <v>32</v>
      </c>
      <c r="AR367" s="72">
        <v>32</v>
      </c>
      <c r="AS367" s="72">
        <v>32</v>
      </c>
      <c r="AT367" s="72">
        <v>32</v>
      </c>
      <c r="AU367" s="72">
        <v>32</v>
      </c>
      <c r="AV367" s="72">
        <v>32</v>
      </c>
      <c r="AW367" s="72">
        <v>32</v>
      </c>
      <c r="AX367" s="72">
        <v>32</v>
      </c>
      <c r="AY367" s="72">
        <v>32</v>
      </c>
      <c r="AZ367" s="72">
        <v>32</v>
      </c>
      <c r="BA367" s="72">
        <v>32</v>
      </c>
      <c r="BB367" s="72">
        <v>32</v>
      </c>
      <c r="BC367" s="72">
        <v>32</v>
      </c>
      <c r="BD367" s="72">
        <v>32</v>
      </c>
      <c r="BE367" s="72">
        <v>32</v>
      </c>
      <c r="BF367" s="72">
        <v>32</v>
      </c>
      <c r="BG367" s="72">
        <v>32</v>
      </c>
      <c r="BH367" s="72">
        <v>29</v>
      </c>
      <c r="BI367" s="72">
        <v>29</v>
      </c>
      <c r="BJ367" s="72">
        <v>29</v>
      </c>
      <c r="BK367" s="72">
        <v>29</v>
      </c>
      <c r="BL367" s="72">
        <v>29</v>
      </c>
      <c r="BM367" s="72">
        <v>29</v>
      </c>
      <c r="BN367" s="72">
        <v>29</v>
      </c>
      <c r="BO367" s="72">
        <v>29</v>
      </c>
      <c r="BP367" s="72">
        <v>26</v>
      </c>
      <c r="BQ367" s="72">
        <v>24</v>
      </c>
      <c r="BR367" s="72">
        <v>24</v>
      </c>
      <c r="BS367" s="72">
        <v>24</v>
      </c>
      <c r="BT367" s="72">
        <v>24</v>
      </c>
      <c r="BU367" s="72">
        <v>24</v>
      </c>
      <c r="BV367" s="72">
        <v>24</v>
      </c>
      <c r="BW367" s="72">
        <v>23</v>
      </c>
      <c r="BX367" s="72">
        <v>23</v>
      </c>
      <c r="BY367" s="72">
        <v>13</v>
      </c>
      <c r="BZ367" s="72">
        <v>13</v>
      </c>
      <c r="CA367" s="72">
        <v>13</v>
      </c>
      <c r="CB367" s="72">
        <v>13</v>
      </c>
      <c r="CC367" s="72">
        <v>13</v>
      </c>
      <c r="CD367" s="72">
        <v>13</v>
      </c>
      <c r="CE367" s="72">
        <v>13</v>
      </c>
      <c r="CF367" s="72">
        <v>12</v>
      </c>
      <c r="CG367" s="72">
        <v>12</v>
      </c>
      <c r="CH367" s="72">
        <v>12</v>
      </c>
      <c r="CI367" s="72">
        <v>12</v>
      </c>
      <c r="CJ367" s="72">
        <v>12</v>
      </c>
      <c r="CK367" s="72">
        <v>12</v>
      </c>
      <c r="CL367" s="72">
        <v>9</v>
      </c>
      <c r="CM367" s="72">
        <v>9</v>
      </c>
      <c r="CN367" s="72">
        <v>9</v>
      </c>
      <c r="CO367" s="72">
        <v>9</v>
      </c>
      <c r="CP367" s="72">
        <v>9</v>
      </c>
      <c r="CQ367" s="72">
        <v>9</v>
      </c>
      <c r="CR367" s="72">
        <v>9</v>
      </c>
      <c r="CS367" s="72">
        <v>9</v>
      </c>
      <c r="CT367" s="72">
        <v>9</v>
      </c>
      <c r="CU367" s="72">
        <v>9</v>
      </c>
      <c r="CV367" s="72">
        <v>9</v>
      </c>
      <c r="CW367" s="72">
        <v>9</v>
      </c>
      <c r="CX367" s="72">
        <v>9</v>
      </c>
      <c r="CY367" s="72">
        <v>9</v>
      </c>
      <c r="CZ367" s="72">
        <v>9</v>
      </c>
      <c r="DA367" s="72">
        <v>9</v>
      </c>
      <c r="DB367" s="72">
        <v>6</v>
      </c>
      <c r="DC367" s="72">
        <v>6</v>
      </c>
      <c r="DD367" s="72">
        <v>6</v>
      </c>
      <c r="DE367" s="72">
        <v>6</v>
      </c>
      <c r="DF367" s="72">
        <v>6</v>
      </c>
    </row>
    <row r="368" spans="1:110" x14ac:dyDescent="0.35">
      <c r="A368" s="7"/>
      <c r="B368" s="8" t="s">
        <v>641</v>
      </c>
      <c r="C368" s="9" t="s">
        <v>642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0</v>
      </c>
      <c r="J368" s="10"/>
      <c r="K368" s="10"/>
      <c r="L368" s="8"/>
      <c r="M368" s="12"/>
      <c r="N368" s="12">
        <f t="shared" si="6"/>
        <v>0</v>
      </c>
      <c r="O368" s="11">
        <v>3</v>
      </c>
      <c r="P368" s="11">
        <v>3</v>
      </c>
      <c r="Q368" s="11">
        <v>3</v>
      </c>
      <c r="R368" s="11">
        <v>3</v>
      </c>
      <c r="S368" s="11">
        <v>3</v>
      </c>
      <c r="T368" s="11">
        <v>1</v>
      </c>
      <c r="U368" s="11">
        <v>1</v>
      </c>
      <c r="V368" s="11">
        <v>1</v>
      </c>
      <c r="W368" s="11">
        <v>1</v>
      </c>
      <c r="X368" s="11">
        <v>1</v>
      </c>
      <c r="Y368" s="11">
        <v>1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</row>
    <row r="369" spans="1:110" x14ac:dyDescent="0.35">
      <c r="A369" s="7"/>
      <c r="B369" s="8" t="s">
        <v>643</v>
      </c>
      <c r="C369" s="9" t="s">
        <v>644</v>
      </c>
      <c r="D369" s="10" t="s">
        <v>594</v>
      </c>
      <c r="E369" s="8" t="s">
        <v>1203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153</v>
      </c>
      <c r="L369" s="8"/>
      <c r="M369" s="12"/>
      <c r="N369" s="12">
        <f t="shared" si="6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</row>
    <row r="370" spans="1:110" x14ac:dyDescent="0.35">
      <c r="A370" s="7"/>
      <c r="B370" s="8" t="s">
        <v>1173</v>
      </c>
      <c r="C370" s="9" t="s">
        <v>1182</v>
      </c>
      <c r="D370" s="10" t="s">
        <v>594</v>
      </c>
      <c r="E370" s="8" t="s">
        <v>1203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2">
        <v>1094.81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</row>
    <row r="371" spans="1:110" x14ac:dyDescent="0.35">
      <c r="A371" s="7"/>
      <c r="B371" s="8" t="s">
        <v>645</v>
      </c>
      <c r="C371" s="9" t="s">
        <v>646</v>
      </c>
      <c r="D371" s="10" t="s">
        <v>594</v>
      </c>
      <c r="E371" s="8" t="s">
        <v>1203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 t="s">
        <v>647</v>
      </c>
      <c r="M371" s="12">
        <v>1775</v>
      </c>
      <c r="N371" s="12">
        <f t="shared" si="6"/>
        <v>1775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</row>
    <row r="372" spans="1:110" x14ac:dyDescent="0.35">
      <c r="A372" s="7"/>
      <c r="B372" s="8" t="s">
        <v>648</v>
      </c>
      <c r="C372" s="9" t="s">
        <v>649</v>
      </c>
      <c r="D372" s="10" t="s">
        <v>594</v>
      </c>
      <c r="E372" s="8" t="s">
        <v>1203</v>
      </c>
      <c r="F372" s="10">
        <v>1002</v>
      </c>
      <c r="G372" s="10" t="s">
        <v>40</v>
      </c>
      <c r="H372" s="10" t="s">
        <v>41</v>
      </c>
      <c r="I372" s="11">
        <v>5</v>
      </c>
      <c r="J372" s="10"/>
      <c r="K372" s="10" t="s">
        <v>42</v>
      </c>
      <c r="L372" s="8"/>
      <c r="M372" s="12">
        <v>530</v>
      </c>
      <c r="N372" s="12">
        <f t="shared" si="6"/>
        <v>0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>
        <v>5</v>
      </c>
      <c r="AC372" s="11">
        <v>5</v>
      </c>
      <c r="AD372" s="11">
        <v>5</v>
      </c>
      <c r="AE372" s="11">
        <v>5</v>
      </c>
      <c r="AF372" s="11">
        <v>5</v>
      </c>
      <c r="AG372" s="11">
        <v>5</v>
      </c>
      <c r="AH372" s="11">
        <v>5</v>
      </c>
      <c r="AI372" s="11">
        <v>5</v>
      </c>
      <c r="AJ372" s="11">
        <v>5</v>
      </c>
      <c r="AK372" s="11">
        <v>5</v>
      </c>
      <c r="AL372" s="11">
        <v>5</v>
      </c>
      <c r="AM372" s="11">
        <v>5</v>
      </c>
      <c r="AN372" s="72">
        <v>5</v>
      </c>
      <c r="AO372" s="72">
        <v>5</v>
      </c>
      <c r="AP372" s="72">
        <v>5</v>
      </c>
      <c r="AQ372" s="72">
        <v>0</v>
      </c>
      <c r="AR372" s="72">
        <v>0</v>
      </c>
      <c r="AS372" s="72">
        <v>0</v>
      </c>
      <c r="AT372" s="72">
        <v>0</v>
      </c>
      <c r="AU372" s="72">
        <v>0</v>
      </c>
      <c r="AV372" s="72">
        <v>0</v>
      </c>
      <c r="AW372" s="72">
        <v>0</v>
      </c>
      <c r="AX372" s="72">
        <v>0</v>
      </c>
      <c r="AY372" s="72">
        <v>0</v>
      </c>
      <c r="AZ372" s="72">
        <v>0</v>
      </c>
      <c r="BA372" s="72">
        <v>0</v>
      </c>
      <c r="BB372" s="72">
        <v>0</v>
      </c>
      <c r="BC372" s="72">
        <v>0</v>
      </c>
      <c r="BD372" s="72">
        <v>0</v>
      </c>
      <c r="BE372" s="72">
        <v>0</v>
      </c>
      <c r="BF372" s="72">
        <v>0</v>
      </c>
      <c r="BG372" s="72">
        <v>0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0</v>
      </c>
      <c r="BP372" s="72">
        <v>0</v>
      </c>
      <c r="BQ372" s="72">
        <v>0</v>
      </c>
      <c r="BR372" s="72">
        <v>0</v>
      </c>
      <c r="BS372" s="72">
        <v>0</v>
      </c>
      <c r="BT372" s="72">
        <v>0</v>
      </c>
      <c r="BU372" s="72">
        <v>0</v>
      </c>
      <c r="BV372" s="72">
        <v>0</v>
      </c>
      <c r="BW372" s="72">
        <v>0</v>
      </c>
      <c r="BX372" s="72">
        <v>0</v>
      </c>
      <c r="BY372" s="72">
        <v>0</v>
      </c>
      <c r="BZ372" s="72">
        <v>0</v>
      </c>
      <c r="CA372" s="72">
        <v>0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0</v>
      </c>
      <c r="CK372" s="72">
        <v>0</v>
      </c>
      <c r="CL372" s="72">
        <v>0</v>
      </c>
      <c r="CM372" s="72">
        <v>0</v>
      </c>
      <c r="CN372" s="72">
        <v>0</v>
      </c>
      <c r="CO372" s="72">
        <v>0</v>
      </c>
      <c r="CP372" s="72">
        <v>0</v>
      </c>
      <c r="CQ372" s="72">
        <v>0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</row>
    <row r="373" spans="1:110" ht="39.85" x14ac:dyDescent="0.35">
      <c r="A373" s="7"/>
      <c r="B373" s="8" t="s">
        <v>650</v>
      </c>
      <c r="C373" s="9" t="s">
        <v>651</v>
      </c>
      <c r="D373" s="10" t="s">
        <v>594</v>
      </c>
      <c r="E373" s="8" t="s">
        <v>1203</v>
      </c>
      <c r="F373" s="10">
        <v>1002</v>
      </c>
      <c r="G373" s="10" t="s">
        <v>40</v>
      </c>
      <c r="H373" s="10" t="s">
        <v>41</v>
      </c>
      <c r="I373" s="11">
        <v>1</v>
      </c>
      <c r="J373" s="10">
        <v>2</v>
      </c>
      <c r="K373" s="10" t="s">
        <v>153</v>
      </c>
      <c r="L373" s="14" t="s">
        <v>652</v>
      </c>
      <c r="M373" s="12">
        <v>875.72</v>
      </c>
      <c r="N373" s="12">
        <f t="shared" si="6"/>
        <v>0</v>
      </c>
      <c r="O373" s="11">
        <v>16</v>
      </c>
      <c r="P373" s="11">
        <v>16</v>
      </c>
      <c r="Q373" s="11">
        <v>15</v>
      </c>
      <c r="R373" s="11">
        <v>15</v>
      </c>
      <c r="S373" s="11">
        <v>15</v>
      </c>
      <c r="T373" s="11">
        <v>13</v>
      </c>
      <c r="U373" s="11">
        <v>0</v>
      </c>
      <c r="V373" s="11">
        <v>0</v>
      </c>
      <c r="W373" s="11">
        <v>0</v>
      </c>
      <c r="X373" s="11">
        <v>0</v>
      </c>
      <c r="Y373" s="11">
        <v>0</v>
      </c>
      <c r="Z373" s="11">
        <v>0</v>
      </c>
      <c r="AA373" s="11">
        <v>0</v>
      </c>
      <c r="AB373" s="11">
        <v>20</v>
      </c>
      <c r="AC373" s="11">
        <v>20</v>
      </c>
      <c r="AD373" s="11">
        <v>20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7</v>
      </c>
      <c r="AP373" s="72">
        <v>7</v>
      </c>
      <c r="AQ373" s="72">
        <v>0</v>
      </c>
      <c r="AR373" s="72">
        <v>1</v>
      </c>
      <c r="AS373" s="72">
        <v>1</v>
      </c>
      <c r="AT373" s="72">
        <v>1</v>
      </c>
      <c r="AU373" s="72">
        <v>10</v>
      </c>
      <c r="AV373" s="72">
        <v>10</v>
      </c>
      <c r="AW373" s="72">
        <v>25</v>
      </c>
      <c r="AX373" s="72">
        <v>25</v>
      </c>
      <c r="AY373" s="72">
        <v>25</v>
      </c>
      <c r="AZ373" s="72">
        <v>25</v>
      </c>
      <c r="BA373" s="72">
        <v>25</v>
      </c>
      <c r="BB373" s="72">
        <v>25</v>
      </c>
      <c r="BC373" s="72">
        <v>25</v>
      </c>
      <c r="BD373" s="72">
        <v>24</v>
      </c>
      <c r="BE373" s="72">
        <v>24</v>
      </c>
      <c r="BF373" s="72">
        <v>24</v>
      </c>
      <c r="BG373" s="72">
        <v>24</v>
      </c>
      <c r="BH373" s="72">
        <v>24</v>
      </c>
      <c r="BI373" s="72">
        <v>24</v>
      </c>
      <c r="BJ373" s="72">
        <v>24</v>
      </c>
      <c r="BK373" s="72">
        <v>21</v>
      </c>
      <c r="BL373" s="72">
        <v>21</v>
      </c>
      <c r="BM373" s="72">
        <v>21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1</v>
      </c>
      <c r="BT373" s="72">
        <v>1</v>
      </c>
      <c r="BU373" s="72">
        <v>1</v>
      </c>
      <c r="BV373" s="72">
        <v>2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</row>
    <row r="374" spans="1:110" x14ac:dyDescent="0.35">
      <c r="A374" s="7"/>
      <c r="B374" s="8" t="s">
        <v>1353</v>
      </c>
      <c r="C374" s="9" t="s">
        <v>651</v>
      </c>
      <c r="D374" s="10" t="s">
        <v>594</v>
      </c>
      <c r="E374" s="8" t="s">
        <v>1203</v>
      </c>
      <c r="F374" s="10"/>
      <c r="G374" s="10"/>
      <c r="H374" s="10" t="s">
        <v>41</v>
      </c>
      <c r="I374" s="11"/>
      <c r="J374" s="10"/>
      <c r="K374" s="10"/>
      <c r="L374" s="14"/>
      <c r="M374" s="12"/>
      <c r="N374" s="12">
        <f t="shared" si="6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>
        <v>1</v>
      </c>
      <c r="BK374" s="72">
        <v>1</v>
      </c>
      <c r="BL374" s="72">
        <v>1</v>
      </c>
      <c r="BM374" s="72">
        <v>1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</row>
    <row r="375" spans="1:110" ht="39.85" x14ac:dyDescent="0.35">
      <c r="A375" s="7"/>
      <c r="B375" s="8" t="s">
        <v>653</v>
      </c>
      <c r="C375" s="9" t="s">
        <v>654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>
        <v>0</v>
      </c>
      <c r="K375" s="10" t="s">
        <v>153</v>
      </c>
      <c r="L375" s="14" t="s">
        <v>655</v>
      </c>
      <c r="M375" s="12">
        <v>975</v>
      </c>
      <c r="N375" s="12">
        <f t="shared" si="6"/>
        <v>0</v>
      </c>
      <c r="O375" s="11"/>
      <c r="P375" s="11"/>
      <c r="Q375" s="11">
        <v>6</v>
      </c>
      <c r="R375" s="11">
        <v>6</v>
      </c>
      <c r="S375" s="11">
        <v>6</v>
      </c>
      <c r="T375" s="11">
        <v>6</v>
      </c>
      <c r="U375" s="11">
        <v>6</v>
      </c>
      <c r="V375" s="11">
        <v>6</v>
      </c>
      <c r="W375" s="11">
        <v>6</v>
      </c>
      <c r="X375" s="11">
        <v>5</v>
      </c>
      <c r="Y375" s="11">
        <v>5</v>
      </c>
      <c r="Z375" s="11">
        <v>5</v>
      </c>
      <c r="AA375" s="11">
        <v>5</v>
      </c>
      <c r="AB375" s="11">
        <v>6</v>
      </c>
      <c r="AC375" s="11">
        <v>6</v>
      </c>
      <c r="AD375" s="11">
        <v>6</v>
      </c>
      <c r="AE375" s="11">
        <v>6</v>
      </c>
      <c r="AF375" s="11">
        <v>6</v>
      </c>
      <c r="AG375" s="11">
        <v>6</v>
      </c>
      <c r="AH375" s="11">
        <v>0</v>
      </c>
      <c r="AI375" s="11">
        <v>0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</row>
    <row r="376" spans="1:110" x14ac:dyDescent="0.35">
      <c r="A376" s="7"/>
      <c r="B376" s="8" t="s">
        <v>1269</v>
      </c>
      <c r="C376" s="78" t="s">
        <v>1278</v>
      </c>
      <c r="D376" s="10" t="s">
        <v>594</v>
      </c>
      <c r="E376" s="8" t="s">
        <v>1203</v>
      </c>
      <c r="F376" s="10"/>
      <c r="G376" s="10"/>
      <c r="H376" s="10" t="s">
        <v>41</v>
      </c>
      <c r="I376" s="11"/>
      <c r="J376" s="10"/>
      <c r="K376" s="10"/>
      <c r="L376" s="14"/>
      <c r="M376" s="12"/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0</v>
      </c>
      <c r="BC376" s="72">
        <v>0</v>
      </c>
      <c r="BD376" s="72">
        <v>0</v>
      </c>
      <c r="BE376" s="72">
        <v>0</v>
      </c>
      <c r="BF376" s="72">
        <v>0</v>
      </c>
      <c r="BG376" s="72">
        <v>0</v>
      </c>
      <c r="BH376" s="72">
        <v>0</v>
      </c>
      <c r="BI376" s="72">
        <v>0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</row>
    <row r="377" spans="1:110" x14ac:dyDescent="0.35">
      <c r="A377" s="7"/>
      <c r="B377" s="8" t="s">
        <v>656</v>
      </c>
      <c r="C377" s="9" t="s">
        <v>657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658</v>
      </c>
      <c r="M377" s="12"/>
      <c r="N377" s="12">
        <f t="shared" si="6"/>
        <v>0</v>
      </c>
      <c r="O377" s="11">
        <v>6</v>
      </c>
      <c r="P377" s="11">
        <v>6</v>
      </c>
      <c r="Q377" s="11">
        <v>6</v>
      </c>
      <c r="R377" s="11">
        <v>6</v>
      </c>
      <c r="S377" s="11">
        <v>6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</row>
    <row r="378" spans="1:110" x14ac:dyDescent="0.35">
      <c r="A378" s="7"/>
      <c r="B378" s="8" t="s">
        <v>660</v>
      </c>
      <c r="C378" s="9" t="s">
        <v>661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11</v>
      </c>
      <c r="J378" s="10"/>
      <c r="K378" s="10" t="s">
        <v>42</v>
      </c>
      <c r="L378" s="8" t="s">
        <v>662</v>
      </c>
      <c r="M378" s="12">
        <v>1323</v>
      </c>
      <c r="N378" s="12">
        <f t="shared" si="6"/>
        <v>0</v>
      </c>
      <c r="O378" s="11"/>
      <c r="P378" s="11"/>
      <c r="Q378" s="11">
        <v>30</v>
      </c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11</v>
      </c>
      <c r="AC378" s="11">
        <v>11</v>
      </c>
      <c r="AD378" s="11">
        <v>11</v>
      </c>
      <c r="AE378" s="11">
        <v>11</v>
      </c>
      <c r="AF378" s="11">
        <v>11</v>
      </c>
      <c r="AG378" s="11">
        <v>11</v>
      </c>
      <c r="AH378" s="11">
        <v>11</v>
      </c>
      <c r="AI378" s="11">
        <v>11</v>
      </c>
      <c r="AJ378" s="11">
        <v>11</v>
      </c>
      <c r="AK378" s="11">
        <v>11</v>
      </c>
      <c r="AL378" s="11">
        <v>11</v>
      </c>
      <c r="AM378" s="11">
        <v>11</v>
      </c>
      <c r="AN378" s="72">
        <v>11</v>
      </c>
      <c r="AO378" s="72">
        <v>11</v>
      </c>
      <c r="AP378" s="72">
        <v>11</v>
      </c>
      <c r="AQ378" s="72">
        <v>11</v>
      </c>
      <c r="AR378" s="72">
        <v>11</v>
      </c>
      <c r="AS378" s="72">
        <v>11</v>
      </c>
      <c r="AT378" s="72">
        <v>10</v>
      </c>
      <c r="AU378" s="72">
        <v>10</v>
      </c>
      <c r="AV378" s="72">
        <v>10</v>
      </c>
      <c r="AW378" s="72">
        <v>25</v>
      </c>
      <c r="AX378" s="72">
        <v>25</v>
      </c>
      <c r="AY378" s="72">
        <v>25</v>
      </c>
      <c r="AZ378" s="72">
        <v>25</v>
      </c>
      <c r="BA378" s="72">
        <v>25</v>
      </c>
      <c r="BB378" s="72">
        <v>25</v>
      </c>
      <c r="BC378" s="72">
        <v>25</v>
      </c>
      <c r="BD378" s="72">
        <v>25</v>
      </c>
      <c r="BE378" s="72">
        <v>25</v>
      </c>
      <c r="BF378" s="72">
        <v>25</v>
      </c>
      <c r="BG378" s="72">
        <v>25</v>
      </c>
      <c r="BH378" s="72">
        <v>25</v>
      </c>
      <c r="BI378" s="72">
        <v>25</v>
      </c>
      <c r="BJ378" s="72">
        <v>25</v>
      </c>
      <c r="BK378" s="72">
        <v>25</v>
      </c>
      <c r="BL378" s="72">
        <v>25</v>
      </c>
      <c r="BM378" s="72">
        <v>25</v>
      </c>
      <c r="BN378" s="72">
        <v>14</v>
      </c>
      <c r="BO378" s="72">
        <v>14</v>
      </c>
      <c r="BP378" s="72">
        <v>13</v>
      </c>
      <c r="BQ378" s="72">
        <v>13</v>
      </c>
      <c r="BR378" s="72">
        <v>3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</row>
    <row r="379" spans="1:110" x14ac:dyDescent="0.35">
      <c r="A379" s="7"/>
      <c r="B379" s="77" t="s">
        <v>1388</v>
      </c>
      <c r="C379" s="9" t="s">
        <v>1390</v>
      </c>
      <c r="D379" s="10" t="s">
        <v>594</v>
      </c>
      <c r="E379" s="8" t="s">
        <v>1203</v>
      </c>
      <c r="F379" s="10"/>
      <c r="G379" s="10"/>
      <c r="H379" s="10" t="s">
        <v>41</v>
      </c>
      <c r="I379" s="11">
        <v>0</v>
      </c>
      <c r="J379" s="10"/>
      <c r="K379" s="10"/>
      <c r="L379" s="8"/>
      <c r="M379" s="12"/>
      <c r="N379" s="12">
        <f t="shared" si="6"/>
        <v>0</v>
      </c>
      <c r="O379" s="11">
        <v>0</v>
      </c>
      <c r="P379" s="11">
        <v>0</v>
      </c>
      <c r="Q379" s="11">
        <v>0</v>
      </c>
      <c r="R379" s="11">
        <v>0</v>
      </c>
      <c r="S379" s="11">
        <v>0</v>
      </c>
      <c r="T379" s="11">
        <v>0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0</v>
      </c>
      <c r="AC379" s="11">
        <v>0</v>
      </c>
      <c r="AD379" s="11">
        <v>0</v>
      </c>
      <c r="AE379" s="11">
        <v>0</v>
      </c>
      <c r="AF379" s="11">
        <v>0</v>
      </c>
      <c r="AG379" s="11">
        <v>0</v>
      </c>
      <c r="AH379" s="11">
        <v>0</v>
      </c>
      <c r="AI379" s="11">
        <v>0</v>
      </c>
      <c r="AJ379" s="11">
        <v>0</v>
      </c>
      <c r="AK379" s="11">
        <v>0</v>
      </c>
      <c r="AL379" s="11">
        <v>0</v>
      </c>
      <c r="AM379" s="11">
        <v>0</v>
      </c>
      <c r="AN379" s="72">
        <v>0</v>
      </c>
      <c r="AO379" s="72">
        <v>0</v>
      </c>
      <c r="AP379" s="72">
        <v>0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1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</row>
    <row r="380" spans="1:110" x14ac:dyDescent="0.35">
      <c r="A380" s="7"/>
      <c r="B380" s="8" t="s">
        <v>663</v>
      </c>
      <c r="C380" s="9" t="s">
        <v>664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20</v>
      </c>
      <c r="J380" s="10"/>
      <c r="K380" s="10" t="s">
        <v>153</v>
      </c>
      <c r="L380" s="8"/>
      <c r="M380" s="12">
        <v>1348</v>
      </c>
      <c r="N380" s="12">
        <f t="shared" si="6"/>
        <v>0</v>
      </c>
      <c r="O380" s="11">
        <v>25</v>
      </c>
      <c r="P380" s="11">
        <v>25</v>
      </c>
      <c r="Q380" s="11">
        <v>30</v>
      </c>
      <c r="R380" s="11">
        <v>30</v>
      </c>
      <c r="S380" s="11">
        <v>30</v>
      </c>
      <c r="T380" s="11">
        <v>30</v>
      </c>
      <c r="U380" s="11">
        <v>22</v>
      </c>
      <c r="V380" s="11">
        <v>22</v>
      </c>
      <c r="W380" s="11">
        <v>22</v>
      </c>
      <c r="X380" s="11">
        <v>22</v>
      </c>
      <c r="Y380" s="11">
        <v>22</v>
      </c>
      <c r="Z380" s="11">
        <v>22</v>
      </c>
      <c r="AA380" s="11">
        <v>22</v>
      </c>
      <c r="AB380" s="11">
        <v>23</v>
      </c>
      <c r="AC380" s="11">
        <v>23</v>
      </c>
      <c r="AD380" s="11">
        <v>23</v>
      </c>
      <c r="AE380" s="11">
        <v>22</v>
      </c>
      <c r="AF380" s="11">
        <v>22</v>
      </c>
      <c r="AG380" s="11">
        <v>22</v>
      </c>
      <c r="AH380" s="11">
        <v>22</v>
      </c>
      <c r="AI380" s="11">
        <v>20</v>
      </c>
      <c r="AJ380" s="11">
        <v>20</v>
      </c>
      <c r="AK380" s="11">
        <v>20</v>
      </c>
      <c r="AL380" s="11">
        <v>20</v>
      </c>
      <c r="AM380" s="11">
        <v>20</v>
      </c>
      <c r="AN380" s="72">
        <v>20</v>
      </c>
      <c r="AO380" s="72">
        <v>23</v>
      </c>
      <c r="AP380" s="72">
        <v>21</v>
      </c>
      <c r="AQ380" s="72">
        <v>21</v>
      </c>
      <c r="AR380" s="72">
        <v>21</v>
      </c>
      <c r="AS380" s="72">
        <v>21</v>
      </c>
      <c r="AT380" s="72">
        <v>21</v>
      </c>
      <c r="AU380" s="72">
        <v>21</v>
      </c>
      <c r="AV380" s="72">
        <v>21</v>
      </c>
      <c r="AW380" s="72">
        <v>36</v>
      </c>
      <c r="AX380" s="72">
        <v>36</v>
      </c>
      <c r="AY380" s="72">
        <v>29</v>
      </c>
      <c r="AZ380" s="72">
        <v>29</v>
      </c>
      <c r="BA380" s="72">
        <v>29</v>
      </c>
      <c r="BB380" s="72">
        <v>28</v>
      </c>
      <c r="BC380" s="72">
        <v>28</v>
      </c>
      <c r="BD380" s="72">
        <v>28</v>
      </c>
      <c r="BE380" s="72">
        <v>28</v>
      </c>
      <c r="BF380" s="72">
        <v>28</v>
      </c>
      <c r="BG380" s="72">
        <v>28</v>
      </c>
      <c r="BH380" s="72">
        <v>28</v>
      </c>
      <c r="BI380" s="72">
        <v>28</v>
      </c>
      <c r="BJ380" s="72">
        <v>28</v>
      </c>
      <c r="BK380" s="72">
        <v>28</v>
      </c>
      <c r="BL380" s="72">
        <v>28</v>
      </c>
      <c r="BM380" s="72">
        <v>28</v>
      </c>
      <c r="BN380" s="72">
        <v>16</v>
      </c>
      <c r="BO380" s="72">
        <v>16</v>
      </c>
      <c r="BP380" s="72">
        <v>16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</row>
    <row r="381" spans="1:110" x14ac:dyDescent="0.35">
      <c r="A381" s="7"/>
      <c r="B381" s="77" t="s">
        <v>1337</v>
      </c>
      <c r="C381" s="9" t="s">
        <v>664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0</v>
      </c>
      <c r="J381" s="10">
        <v>1</v>
      </c>
      <c r="K381" s="10" t="s">
        <v>659</v>
      </c>
      <c r="L381" s="8" t="s">
        <v>665</v>
      </c>
      <c r="M381" s="12"/>
      <c r="N381" s="12">
        <f t="shared" si="6"/>
        <v>0</v>
      </c>
      <c r="O381" s="11">
        <v>0</v>
      </c>
      <c r="P381" s="11">
        <v>0</v>
      </c>
      <c r="Q381" s="11"/>
      <c r="R381" s="11">
        <v>0</v>
      </c>
      <c r="S381" s="11">
        <v>0</v>
      </c>
      <c r="T381" s="11">
        <v>0</v>
      </c>
      <c r="U381" s="11">
        <v>0</v>
      </c>
      <c r="V381" s="11">
        <v>0</v>
      </c>
      <c r="W381" s="11">
        <v>0</v>
      </c>
      <c r="X381" s="11">
        <v>0</v>
      </c>
      <c r="Y381" s="11">
        <v>0</v>
      </c>
      <c r="Z381" s="11">
        <v>0</v>
      </c>
      <c r="AA381" s="11">
        <v>22</v>
      </c>
      <c r="AB381" s="11">
        <v>0</v>
      </c>
      <c r="AC381" s="11">
        <v>0</v>
      </c>
      <c r="AD381" s="11">
        <v>0</v>
      </c>
      <c r="AE381" s="11">
        <v>0</v>
      </c>
      <c r="AF381" s="11">
        <v>0</v>
      </c>
      <c r="AG381" s="11">
        <v>0</v>
      </c>
      <c r="AH381" s="11">
        <v>0</v>
      </c>
      <c r="AI381" s="11">
        <v>0</v>
      </c>
      <c r="AJ381" s="11">
        <v>0</v>
      </c>
      <c r="AK381" s="11">
        <v>0</v>
      </c>
      <c r="AL381" s="11">
        <v>0</v>
      </c>
      <c r="AM381" s="11">
        <v>0</v>
      </c>
      <c r="AN381" s="72">
        <v>0</v>
      </c>
      <c r="AO381" s="72">
        <v>0</v>
      </c>
      <c r="AP381" s="72">
        <v>0</v>
      </c>
      <c r="AQ381" s="72">
        <v>0</v>
      </c>
      <c r="AR381" s="72">
        <v>0</v>
      </c>
      <c r="AS381" s="72">
        <v>0</v>
      </c>
      <c r="AT381" s="72">
        <v>0</v>
      </c>
      <c r="AU381" s="72">
        <v>0</v>
      </c>
      <c r="AV381" s="72">
        <v>0</v>
      </c>
      <c r="AW381" s="72">
        <v>0</v>
      </c>
      <c r="AX381" s="72">
        <v>0</v>
      </c>
      <c r="AY381" s="72">
        <v>0</v>
      </c>
      <c r="AZ381" s="72">
        <v>0</v>
      </c>
      <c r="BA381" s="72">
        <v>0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</row>
    <row r="382" spans="1:110" x14ac:dyDescent="0.35">
      <c r="A382" s="7"/>
      <c r="B382" s="8" t="s">
        <v>666</v>
      </c>
      <c r="C382" s="9" t="s">
        <v>1160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 t="s">
        <v>153</v>
      </c>
      <c r="L382" s="8" t="s">
        <v>667</v>
      </c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</row>
    <row r="383" spans="1:110" x14ac:dyDescent="0.35">
      <c r="A383" s="7"/>
      <c r="B383" s="8" t="s">
        <v>668</v>
      </c>
      <c r="C383" s="78" t="s">
        <v>1348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4</v>
      </c>
      <c r="J383" s="10">
        <v>1</v>
      </c>
      <c r="K383" s="10" t="s">
        <v>153</v>
      </c>
      <c r="L383" s="8" t="s">
        <v>669</v>
      </c>
      <c r="M383" s="12">
        <v>3000</v>
      </c>
      <c r="N383" s="12">
        <f t="shared" si="6"/>
        <v>12000</v>
      </c>
      <c r="O383" s="11">
        <v>5</v>
      </c>
      <c r="P383" s="11">
        <v>5</v>
      </c>
      <c r="Q383" s="11">
        <v>5</v>
      </c>
      <c r="R383" s="11">
        <v>5</v>
      </c>
      <c r="S383" s="11">
        <v>5</v>
      </c>
      <c r="T383" s="11">
        <v>5</v>
      </c>
      <c r="U383" s="11">
        <v>5</v>
      </c>
      <c r="V383" s="11">
        <v>5</v>
      </c>
      <c r="W383" s="11">
        <v>5</v>
      </c>
      <c r="X383" s="11">
        <v>4</v>
      </c>
      <c r="Y383" s="11">
        <v>4</v>
      </c>
      <c r="Z383" s="11">
        <v>4</v>
      </c>
      <c r="AA383" s="11">
        <v>4</v>
      </c>
      <c r="AB383" s="11">
        <v>4</v>
      </c>
      <c r="AC383" s="11">
        <v>4</v>
      </c>
      <c r="AD383" s="11">
        <v>4</v>
      </c>
      <c r="AE383" s="11">
        <v>4</v>
      </c>
      <c r="AF383" s="11">
        <v>4</v>
      </c>
      <c r="AG383" s="11">
        <v>4</v>
      </c>
      <c r="AH383" s="11">
        <v>4</v>
      </c>
      <c r="AI383" s="11">
        <v>4</v>
      </c>
      <c r="AJ383" s="11">
        <v>4</v>
      </c>
      <c r="AK383" s="11">
        <v>4</v>
      </c>
      <c r="AL383" s="11">
        <v>4</v>
      </c>
      <c r="AM383" s="11">
        <v>4</v>
      </c>
      <c r="AN383" s="72">
        <v>4</v>
      </c>
      <c r="AO383" s="72">
        <v>4</v>
      </c>
      <c r="AP383" s="72">
        <v>4</v>
      </c>
      <c r="AQ383" s="72">
        <v>4</v>
      </c>
      <c r="AR383" s="72">
        <v>4</v>
      </c>
      <c r="AS383" s="72">
        <v>4</v>
      </c>
      <c r="AT383" s="72">
        <v>4</v>
      </c>
      <c r="AU383" s="72">
        <v>4</v>
      </c>
      <c r="AV383" s="72">
        <v>4</v>
      </c>
      <c r="AW383" s="72">
        <v>4</v>
      </c>
      <c r="AX383" s="72">
        <v>4</v>
      </c>
      <c r="AY383" s="72">
        <v>4</v>
      </c>
      <c r="AZ383" s="72">
        <v>4</v>
      </c>
      <c r="BA383" s="72">
        <v>4</v>
      </c>
      <c r="BB383" s="72">
        <v>4</v>
      </c>
      <c r="BC383" s="72">
        <v>4</v>
      </c>
      <c r="BD383" s="72">
        <v>4</v>
      </c>
      <c r="BE383" s="72">
        <v>4</v>
      </c>
      <c r="BF383" s="72">
        <v>4</v>
      </c>
      <c r="BG383" s="72">
        <v>4</v>
      </c>
      <c r="BH383" s="72">
        <v>4</v>
      </c>
      <c r="BI383" s="72">
        <v>4</v>
      </c>
      <c r="BJ383" s="72">
        <v>4</v>
      </c>
      <c r="BK383" s="72">
        <v>4</v>
      </c>
      <c r="BL383" s="72">
        <v>4</v>
      </c>
      <c r="BM383" s="72">
        <v>4</v>
      </c>
      <c r="BN383" s="72">
        <v>4</v>
      </c>
      <c r="BO383" s="72">
        <v>4</v>
      </c>
      <c r="BP383" s="72">
        <v>4</v>
      </c>
      <c r="BQ383" s="72">
        <v>4</v>
      </c>
      <c r="BR383" s="72">
        <v>4</v>
      </c>
      <c r="BS383" s="72">
        <v>4</v>
      </c>
      <c r="BT383" s="72">
        <v>4</v>
      </c>
      <c r="BU383" s="72">
        <v>4</v>
      </c>
      <c r="BV383" s="72">
        <v>4</v>
      </c>
      <c r="BW383" s="72">
        <v>4</v>
      </c>
      <c r="BX383" s="72">
        <v>4</v>
      </c>
      <c r="BY383" s="72">
        <v>4</v>
      </c>
      <c r="BZ383" s="72">
        <v>4</v>
      </c>
      <c r="CA383" s="72">
        <v>4</v>
      </c>
      <c r="CB383" s="72">
        <v>4</v>
      </c>
      <c r="CC383" s="72">
        <v>4</v>
      </c>
      <c r="CD383" s="72">
        <v>4</v>
      </c>
      <c r="CE383" s="72">
        <v>4</v>
      </c>
      <c r="CF383" s="72">
        <v>4</v>
      </c>
      <c r="CG383" s="72">
        <v>4</v>
      </c>
      <c r="CH383" s="72">
        <v>4</v>
      </c>
      <c r="CI383" s="72">
        <v>4</v>
      </c>
      <c r="CJ383" s="72">
        <v>4</v>
      </c>
      <c r="CK383" s="72">
        <v>4</v>
      </c>
      <c r="CL383" s="72">
        <v>4</v>
      </c>
      <c r="CM383" s="72">
        <v>4</v>
      </c>
      <c r="CN383" s="72">
        <v>4</v>
      </c>
      <c r="CO383" s="72">
        <v>4</v>
      </c>
      <c r="CP383" s="72">
        <v>4</v>
      </c>
      <c r="CQ383" s="72">
        <v>4</v>
      </c>
      <c r="CR383" s="72">
        <v>4</v>
      </c>
      <c r="CS383" s="72">
        <v>4</v>
      </c>
      <c r="CT383" s="72">
        <v>4</v>
      </c>
      <c r="CU383" s="72">
        <v>4</v>
      </c>
      <c r="CV383" s="72">
        <v>4</v>
      </c>
      <c r="CW383" s="72">
        <v>4</v>
      </c>
      <c r="CX383" s="72">
        <v>4</v>
      </c>
      <c r="CY383" s="72">
        <v>4</v>
      </c>
      <c r="CZ383" s="72">
        <v>4</v>
      </c>
      <c r="DA383" s="72">
        <v>4</v>
      </c>
      <c r="DB383" s="72">
        <v>4</v>
      </c>
      <c r="DC383" s="72">
        <v>4</v>
      </c>
      <c r="DD383" s="72">
        <v>4</v>
      </c>
      <c r="DE383" s="72">
        <v>4</v>
      </c>
      <c r="DF383" s="72">
        <v>4</v>
      </c>
    </row>
    <row r="384" spans="1:110" x14ac:dyDescent="0.35">
      <c r="A384" s="7"/>
      <c r="B384" s="77" t="s">
        <v>1174</v>
      </c>
      <c r="C384" s="9" t="s">
        <v>1183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/>
      <c r="N384" s="12">
        <f t="shared" si="6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1</v>
      </c>
      <c r="BB384" s="72">
        <v>1</v>
      </c>
      <c r="BC384" s="72">
        <v>1</v>
      </c>
      <c r="BD384" s="72">
        <v>1</v>
      </c>
      <c r="BE384" s="72">
        <v>1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</row>
    <row r="385" spans="1:110" x14ac:dyDescent="0.35">
      <c r="A385" s="7"/>
      <c r="B385" s="8" t="s">
        <v>670</v>
      </c>
      <c r="C385" s="9" t="s">
        <v>671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0</v>
      </c>
      <c r="J385" s="10"/>
      <c r="K385" s="10" t="s">
        <v>153</v>
      </c>
      <c r="L385" s="8"/>
      <c r="M385" s="12">
        <v>5138.74</v>
      </c>
      <c r="N385" s="12">
        <f t="shared" si="6"/>
        <v>0</v>
      </c>
      <c r="O385" s="11"/>
      <c r="P385" s="11"/>
      <c r="Q385" s="11">
        <v>2</v>
      </c>
      <c r="R385" s="11">
        <v>2</v>
      </c>
      <c r="S385" s="11">
        <v>2</v>
      </c>
      <c r="T385" s="11">
        <v>2</v>
      </c>
      <c r="U385" s="11">
        <v>2</v>
      </c>
      <c r="V385" s="11">
        <v>2</v>
      </c>
      <c r="W385" s="11">
        <v>2</v>
      </c>
      <c r="X385" s="11">
        <v>2</v>
      </c>
      <c r="Y385" s="11">
        <v>2</v>
      </c>
      <c r="Z385" s="11">
        <v>2</v>
      </c>
      <c r="AA385" s="11">
        <v>2</v>
      </c>
      <c r="AB385" s="11">
        <v>2</v>
      </c>
      <c r="AC385" s="11">
        <v>2</v>
      </c>
      <c r="AD385" s="11">
        <v>2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5</v>
      </c>
      <c r="AX385" s="72">
        <v>5</v>
      </c>
      <c r="AY385" s="72">
        <v>5</v>
      </c>
      <c r="AZ385" s="72">
        <v>5</v>
      </c>
      <c r="BA385" s="72">
        <v>5</v>
      </c>
      <c r="BB385" s="72">
        <v>5</v>
      </c>
      <c r="BC385" s="72">
        <v>5</v>
      </c>
      <c r="BD385" s="72">
        <v>5</v>
      </c>
      <c r="BE385" s="72">
        <v>5</v>
      </c>
      <c r="BF385" s="72">
        <v>5</v>
      </c>
      <c r="BG385" s="72">
        <v>5</v>
      </c>
      <c r="BH385" s="72">
        <v>5</v>
      </c>
      <c r="BI385" s="72">
        <v>5</v>
      </c>
      <c r="BJ385" s="72">
        <v>5</v>
      </c>
      <c r="BK385" s="72">
        <v>5</v>
      </c>
      <c r="BL385" s="72">
        <v>5</v>
      </c>
      <c r="BM385" s="72">
        <v>5</v>
      </c>
      <c r="BN385" s="72">
        <v>5</v>
      </c>
      <c r="BO385" s="72">
        <v>5</v>
      </c>
      <c r="BP385" s="72">
        <v>5</v>
      </c>
      <c r="BQ385" s="72">
        <v>3</v>
      </c>
      <c r="BR385" s="72">
        <v>1</v>
      </c>
      <c r="BS385" s="72">
        <v>1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</row>
    <row r="386" spans="1:110" x14ac:dyDescent="0.35">
      <c r="A386" s="7"/>
      <c r="B386" s="77" t="s">
        <v>1175</v>
      </c>
      <c r="C386" s="78" t="s">
        <v>1187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3961.71</v>
      </c>
      <c r="N386" s="12">
        <f t="shared" si="6"/>
        <v>7923.42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2</v>
      </c>
      <c r="AP386" s="72">
        <v>2</v>
      </c>
      <c r="AQ386" s="72">
        <v>2</v>
      </c>
      <c r="AR386" s="72">
        <v>2</v>
      </c>
      <c r="AS386" s="72">
        <v>2</v>
      </c>
      <c r="AT386" s="72">
        <v>2</v>
      </c>
      <c r="AU386" s="72">
        <v>2</v>
      </c>
      <c r="AV386" s="72">
        <v>2</v>
      </c>
      <c r="AW386" s="72">
        <v>2</v>
      </c>
      <c r="AX386" s="72">
        <v>2</v>
      </c>
      <c r="AY386" s="72">
        <v>2</v>
      </c>
      <c r="AZ386" s="72">
        <v>2</v>
      </c>
      <c r="BA386" s="72">
        <v>2</v>
      </c>
      <c r="BB386" s="72">
        <v>2</v>
      </c>
      <c r="BC386" s="72">
        <v>2</v>
      </c>
      <c r="BD386" s="72">
        <v>2</v>
      </c>
      <c r="BE386" s="72">
        <v>2</v>
      </c>
      <c r="BF386" s="72">
        <v>2</v>
      </c>
      <c r="BG386" s="72">
        <v>2</v>
      </c>
      <c r="BH386" s="72">
        <v>2</v>
      </c>
      <c r="BI386" s="72">
        <v>2</v>
      </c>
      <c r="BJ386" s="72">
        <v>2</v>
      </c>
      <c r="BK386" s="72">
        <v>2</v>
      </c>
      <c r="BL386" s="72">
        <v>2</v>
      </c>
      <c r="BM386" s="72">
        <v>2</v>
      </c>
      <c r="BN386" s="72">
        <v>2</v>
      </c>
      <c r="BO386" s="72">
        <v>2</v>
      </c>
      <c r="BP386" s="72">
        <v>2</v>
      </c>
      <c r="BQ386" s="72">
        <v>2</v>
      </c>
      <c r="BR386" s="72">
        <v>2</v>
      </c>
      <c r="BS386" s="72">
        <v>2</v>
      </c>
      <c r="BT386" s="72">
        <v>2</v>
      </c>
      <c r="BU386" s="72">
        <v>2</v>
      </c>
      <c r="BV386" s="72">
        <v>2</v>
      </c>
      <c r="BW386" s="72">
        <v>2</v>
      </c>
      <c r="BX386" s="72">
        <v>2</v>
      </c>
      <c r="BY386" s="72">
        <v>2</v>
      </c>
      <c r="BZ386" s="72">
        <v>2</v>
      </c>
      <c r="CA386" s="72">
        <v>2</v>
      </c>
      <c r="CB386" s="72">
        <v>2</v>
      </c>
      <c r="CC386" s="72">
        <v>2</v>
      </c>
      <c r="CD386" s="72">
        <v>2</v>
      </c>
      <c r="CE386" s="72">
        <v>2</v>
      </c>
      <c r="CF386" s="72">
        <v>2</v>
      </c>
      <c r="CG386" s="72">
        <v>2</v>
      </c>
      <c r="CH386" s="72">
        <v>2</v>
      </c>
      <c r="CI386" s="72">
        <v>2</v>
      </c>
      <c r="CJ386" s="72">
        <v>2</v>
      </c>
      <c r="CK386" s="72">
        <v>2</v>
      </c>
      <c r="CL386" s="72">
        <v>2</v>
      </c>
      <c r="CM386" s="72">
        <v>2</v>
      </c>
      <c r="CN386" s="72">
        <v>2</v>
      </c>
      <c r="CO386" s="72">
        <v>2</v>
      </c>
      <c r="CP386" s="72">
        <v>2</v>
      </c>
      <c r="CQ386" s="72">
        <v>2</v>
      </c>
      <c r="CR386" s="72">
        <v>2</v>
      </c>
      <c r="CS386" s="72">
        <v>2</v>
      </c>
      <c r="CT386" s="72">
        <v>2</v>
      </c>
      <c r="CU386" s="72">
        <v>2</v>
      </c>
      <c r="CV386" s="72">
        <v>2</v>
      </c>
      <c r="CW386" s="72">
        <v>2</v>
      </c>
      <c r="CX386" s="72">
        <v>2</v>
      </c>
      <c r="CY386" s="72">
        <v>2</v>
      </c>
      <c r="CZ386" s="72">
        <v>2</v>
      </c>
      <c r="DA386" s="72">
        <v>2</v>
      </c>
      <c r="DB386" s="72">
        <v>2</v>
      </c>
      <c r="DC386" s="72">
        <v>2</v>
      </c>
      <c r="DD386" s="72">
        <v>2</v>
      </c>
      <c r="DE386" s="72">
        <v>2</v>
      </c>
      <c r="DF386" s="72">
        <v>2</v>
      </c>
    </row>
    <row r="387" spans="1:110" x14ac:dyDescent="0.35">
      <c r="A387" s="7"/>
      <c r="B387" s="8" t="s">
        <v>672</v>
      </c>
      <c r="C387" s="9" t="s">
        <v>673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674</v>
      </c>
      <c r="L387" s="8"/>
      <c r="M387" s="12"/>
      <c r="N387" s="12">
        <f t="shared" ref="N387:N432" si="7">M387*DF387</f>
        <v>0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</row>
    <row r="388" spans="1:110" x14ac:dyDescent="0.35">
      <c r="A388" s="7"/>
      <c r="B388" s="8" t="s">
        <v>1338</v>
      </c>
      <c r="C388" s="9" t="s">
        <v>673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42</v>
      </c>
      <c r="L388" s="8"/>
      <c r="M388" s="12">
        <v>5125.82</v>
      </c>
      <c r="N388" s="12">
        <f t="shared" si="7"/>
        <v>10251.64</v>
      </c>
      <c r="O388" s="11">
        <v>1</v>
      </c>
      <c r="P388" s="11">
        <v>1</v>
      </c>
      <c r="Q388" s="11">
        <v>1</v>
      </c>
      <c r="R388" s="11">
        <v>1</v>
      </c>
      <c r="S388" s="11">
        <v>1</v>
      </c>
      <c r="T388" s="11">
        <v>1</v>
      </c>
      <c r="U388" s="11">
        <v>1</v>
      </c>
      <c r="V388" s="11">
        <v>1</v>
      </c>
      <c r="W388" s="11">
        <v>1</v>
      </c>
      <c r="X388" s="11">
        <v>1</v>
      </c>
      <c r="Y388" s="11">
        <v>1</v>
      </c>
      <c r="Z388" s="11">
        <v>1</v>
      </c>
      <c r="AA388" s="11">
        <v>1</v>
      </c>
      <c r="AB388" s="11">
        <v>1</v>
      </c>
      <c r="AC388" s="11">
        <v>1</v>
      </c>
      <c r="AD388" s="11">
        <v>1</v>
      </c>
      <c r="AE388" s="11">
        <v>1</v>
      </c>
      <c r="AF388" s="11">
        <v>1</v>
      </c>
      <c r="AG388" s="11">
        <v>1</v>
      </c>
      <c r="AH388" s="11">
        <v>1</v>
      </c>
      <c r="AI388" s="11">
        <v>1</v>
      </c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2</v>
      </c>
      <c r="CV388" s="72">
        <v>2</v>
      </c>
      <c r="CW388" s="72">
        <v>2</v>
      </c>
      <c r="CX388" s="72">
        <v>2</v>
      </c>
      <c r="CY388" s="72">
        <v>2</v>
      </c>
      <c r="CZ388" s="72">
        <v>2</v>
      </c>
      <c r="DA388" s="72">
        <v>2</v>
      </c>
      <c r="DB388" s="72">
        <v>2</v>
      </c>
      <c r="DC388" s="72">
        <v>2</v>
      </c>
      <c r="DD388" s="72">
        <v>2</v>
      </c>
      <c r="DE388" s="72">
        <v>2</v>
      </c>
      <c r="DF388" s="72">
        <v>2</v>
      </c>
    </row>
    <row r="389" spans="1:110" x14ac:dyDescent="0.35">
      <c r="A389" s="7"/>
      <c r="B389" s="8" t="s">
        <v>675</v>
      </c>
      <c r="C389" s="9" t="s">
        <v>676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0</v>
      </c>
      <c r="J389" s="10"/>
      <c r="K389" s="10" t="s">
        <v>153</v>
      </c>
      <c r="L389" s="8"/>
      <c r="M389" s="12"/>
      <c r="N389" s="12">
        <f t="shared" si="7"/>
        <v>0</v>
      </c>
      <c r="O389" s="11"/>
      <c r="P389" s="11"/>
      <c r="Q389" s="11">
        <v>2</v>
      </c>
      <c r="R389" s="11">
        <v>2</v>
      </c>
      <c r="S389" s="11">
        <v>0</v>
      </c>
      <c r="T389" s="11">
        <v>0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</row>
    <row r="390" spans="1:110" x14ac:dyDescent="0.35">
      <c r="A390" s="7"/>
      <c r="B390" s="77" t="s">
        <v>1176</v>
      </c>
      <c r="C390" s="9" t="s">
        <v>1184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>
        <v>711.31</v>
      </c>
      <c r="N390" s="12">
        <f t="shared" si="7"/>
        <v>711.31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2</v>
      </c>
      <c r="AP390" s="72">
        <v>2</v>
      </c>
      <c r="AQ390" s="72">
        <v>2</v>
      </c>
      <c r="AR390" s="72">
        <v>2</v>
      </c>
      <c r="AS390" s="72">
        <v>2</v>
      </c>
      <c r="AT390" s="72">
        <v>2</v>
      </c>
      <c r="AU390" s="72">
        <v>2</v>
      </c>
      <c r="AV390" s="72">
        <v>2</v>
      </c>
      <c r="AW390" s="72">
        <v>2</v>
      </c>
      <c r="AX390" s="72">
        <v>2</v>
      </c>
      <c r="AY390" s="72">
        <v>2</v>
      </c>
      <c r="AZ390" s="72">
        <v>2</v>
      </c>
      <c r="BA390" s="72">
        <v>2</v>
      </c>
      <c r="BB390" s="72">
        <v>2</v>
      </c>
      <c r="BC390" s="72">
        <v>2</v>
      </c>
      <c r="BD390" s="72">
        <v>2</v>
      </c>
      <c r="BE390" s="72">
        <v>2</v>
      </c>
      <c r="BF390" s="72">
        <v>2</v>
      </c>
      <c r="BG390" s="72">
        <v>2</v>
      </c>
      <c r="BH390" s="72">
        <v>2</v>
      </c>
      <c r="BI390" s="72">
        <v>2</v>
      </c>
      <c r="BJ390" s="72">
        <v>2</v>
      </c>
      <c r="BK390" s="72">
        <v>2</v>
      </c>
      <c r="BL390" s="72">
        <v>2</v>
      </c>
      <c r="BM390" s="72">
        <v>2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</row>
    <row r="391" spans="1:110" x14ac:dyDescent="0.35">
      <c r="A391" s="7"/>
      <c r="B391" s="77" t="s">
        <v>1270</v>
      </c>
      <c r="C391" s="78" t="s">
        <v>1279</v>
      </c>
      <c r="D391" s="10" t="s">
        <v>594</v>
      </c>
      <c r="E391" s="8" t="s">
        <v>1203</v>
      </c>
      <c r="F391" s="10"/>
      <c r="G391" s="10"/>
      <c r="H391" s="10" t="s">
        <v>41</v>
      </c>
      <c r="I391" s="11"/>
      <c r="J391" s="10"/>
      <c r="K391" s="10"/>
      <c r="L391" s="8"/>
      <c r="M391" s="12">
        <v>1692.44</v>
      </c>
      <c r="N391" s="12">
        <f t="shared" si="7"/>
        <v>5077.32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3</v>
      </c>
      <c r="BS391" s="72">
        <v>3</v>
      </c>
      <c r="BT391" s="72">
        <v>3</v>
      </c>
      <c r="BU391" s="72">
        <v>3</v>
      </c>
      <c r="BV391" s="72">
        <v>3</v>
      </c>
      <c r="BW391" s="72">
        <v>3</v>
      </c>
      <c r="BX391" s="72">
        <v>3</v>
      </c>
      <c r="BY391" s="72">
        <v>3</v>
      </c>
      <c r="BZ391" s="72">
        <v>3</v>
      </c>
      <c r="CA391" s="72">
        <v>3</v>
      </c>
      <c r="CB391" s="72">
        <v>3</v>
      </c>
      <c r="CC391" s="72">
        <v>3</v>
      </c>
      <c r="CD391" s="72">
        <v>3</v>
      </c>
      <c r="CE391" s="72">
        <v>3</v>
      </c>
      <c r="CF391" s="72">
        <v>3</v>
      </c>
      <c r="CG391" s="72">
        <v>3</v>
      </c>
      <c r="CH391" s="72">
        <v>3</v>
      </c>
      <c r="CI391" s="72">
        <v>3</v>
      </c>
      <c r="CJ391" s="72">
        <v>3</v>
      </c>
      <c r="CK391" s="72">
        <v>3</v>
      </c>
      <c r="CL391" s="72">
        <v>3</v>
      </c>
      <c r="CM391" s="72">
        <v>3</v>
      </c>
      <c r="CN391" s="72">
        <v>3</v>
      </c>
      <c r="CO391" s="72">
        <v>3</v>
      </c>
      <c r="CP391" s="72">
        <v>3</v>
      </c>
      <c r="CQ391" s="72">
        <v>3</v>
      </c>
      <c r="CR391" s="72">
        <v>3</v>
      </c>
      <c r="CS391" s="72">
        <v>3</v>
      </c>
      <c r="CT391" s="72">
        <v>3</v>
      </c>
      <c r="CU391" s="72">
        <v>3</v>
      </c>
      <c r="CV391" s="72">
        <v>3</v>
      </c>
      <c r="CW391" s="72">
        <v>3</v>
      </c>
      <c r="CX391" s="72">
        <v>3</v>
      </c>
      <c r="CY391" s="72">
        <v>3</v>
      </c>
      <c r="CZ391" s="72">
        <v>3</v>
      </c>
      <c r="DA391" s="72">
        <v>3</v>
      </c>
      <c r="DB391" s="72">
        <v>3</v>
      </c>
      <c r="DC391" s="72">
        <v>3</v>
      </c>
      <c r="DD391" s="72">
        <v>3</v>
      </c>
      <c r="DE391" s="72">
        <v>3</v>
      </c>
      <c r="DF391" s="72">
        <v>3</v>
      </c>
    </row>
    <row r="392" spans="1:110" x14ac:dyDescent="0.35">
      <c r="A392" s="7"/>
      <c r="B392" s="8" t="s">
        <v>677</v>
      </c>
      <c r="C392" s="9" t="s">
        <v>678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</v>
      </c>
      <c r="J392" s="10">
        <v>0</v>
      </c>
      <c r="K392" s="10" t="s">
        <v>153</v>
      </c>
      <c r="L392" s="8" t="s">
        <v>658</v>
      </c>
      <c r="M392" s="12"/>
      <c r="N392" s="12">
        <f t="shared" si="7"/>
        <v>0</v>
      </c>
      <c r="O392" s="11">
        <v>3</v>
      </c>
      <c r="P392" s="11">
        <v>3</v>
      </c>
      <c r="Q392" s="11">
        <v>3</v>
      </c>
      <c r="R392" s="11">
        <v>3</v>
      </c>
      <c r="S392" s="11">
        <v>3</v>
      </c>
      <c r="T392" s="11">
        <v>3</v>
      </c>
      <c r="U392" s="11">
        <v>0</v>
      </c>
      <c r="V392" s="11">
        <v>0</v>
      </c>
      <c r="W392" s="11">
        <v>0</v>
      </c>
      <c r="X392" s="11">
        <v>0</v>
      </c>
      <c r="Y392" s="11">
        <v>0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</row>
    <row r="393" spans="1:110" x14ac:dyDescent="0.35">
      <c r="A393" s="7"/>
      <c r="B393" s="77" t="s">
        <v>1177</v>
      </c>
      <c r="C393" s="9" t="s">
        <v>1185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1030.18</v>
      </c>
      <c r="N393" s="12">
        <f t="shared" si="7"/>
        <v>2060.36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  <c r="DF393" s="72">
        <v>2</v>
      </c>
    </row>
    <row r="394" spans="1:110" x14ac:dyDescent="0.35">
      <c r="A394" s="7"/>
      <c r="B394" s="8" t="s">
        <v>679</v>
      </c>
      <c r="C394" s="9" t="s">
        <v>680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4</v>
      </c>
      <c r="J394" s="10">
        <v>0</v>
      </c>
      <c r="K394" s="10" t="s">
        <v>153</v>
      </c>
      <c r="L394" s="8"/>
      <c r="M394" s="12">
        <v>1843.48</v>
      </c>
      <c r="N394" s="12">
        <f t="shared" si="7"/>
        <v>11060.880000000001</v>
      </c>
      <c r="O394" s="11">
        <v>10</v>
      </c>
      <c r="P394" s="11">
        <v>10</v>
      </c>
      <c r="Q394" s="11">
        <v>10</v>
      </c>
      <c r="R394" s="11">
        <v>10</v>
      </c>
      <c r="S394" s="11">
        <v>10</v>
      </c>
      <c r="T394" s="11">
        <v>10</v>
      </c>
      <c r="U394" s="11">
        <v>4</v>
      </c>
      <c r="V394" s="11">
        <v>4</v>
      </c>
      <c r="W394" s="11">
        <v>4</v>
      </c>
      <c r="X394" s="11">
        <v>4</v>
      </c>
      <c r="Y394" s="11">
        <v>4</v>
      </c>
      <c r="Z394" s="11">
        <v>4</v>
      </c>
      <c r="AA394" s="11">
        <v>4</v>
      </c>
      <c r="AB394" s="11">
        <v>4</v>
      </c>
      <c r="AC394" s="11">
        <v>4</v>
      </c>
      <c r="AD394" s="11">
        <v>4</v>
      </c>
      <c r="AE394" s="11">
        <v>4</v>
      </c>
      <c r="AF394" s="11">
        <v>4</v>
      </c>
      <c r="AG394" s="11">
        <v>4</v>
      </c>
      <c r="AH394" s="11">
        <v>4</v>
      </c>
      <c r="AI394" s="11">
        <v>4</v>
      </c>
      <c r="AJ394" s="11">
        <v>4</v>
      </c>
      <c r="AK394" s="11">
        <v>4</v>
      </c>
      <c r="AL394" s="11">
        <v>4</v>
      </c>
      <c r="AM394" s="11">
        <v>4</v>
      </c>
      <c r="AN394" s="72">
        <v>4</v>
      </c>
      <c r="AO394" s="72">
        <v>6</v>
      </c>
      <c r="AP394" s="72">
        <v>6</v>
      </c>
      <c r="AQ394" s="72">
        <v>6</v>
      </c>
      <c r="AR394" s="72">
        <v>6</v>
      </c>
      <c r="AS394" s="72">
        <v>6</v>
      </c>
      <c r="AT394" s="72">
        <v>6</v>
      </c>
      <c r="AU394" s="72">
        <v>6</v>
      </c>
      <c r="AV394" s="72">
        <v>6</v>
      </c>
      <c r="AW394" s="72">
        <v>6</v>
      </c>
      <c r="AX394" s="72">
        <v>6</v>
      </c>
      <c r="AY394" s="72">
        <v>6</v>
      </c>
      <c r="AZ394" s="72">
        <v>6</v>
      </c>
      <c r="BA394" s="72">
        <v>6</v>
      </c>
      <c r="BB394" s="72">
        <v>6</v>
      </c>
      <c r="BC394" s="72">
        <v>6</v>
      </c>
      <c r="BD394" s="72">
        <v>6</v>
      </c>
      <c r="BE394" s="72">
        <v>6</v>
      </c>
      <c r="BF394" s="72">
        <v>6</v>
      </c>
      <c r="BG394" s="72">
        <v>6</v>
      </c>
      <c r="BH394" s="72">
        <v>6</v>
      </c>
      <c r="BI394" s="72">
        <v>6</v>
      </c>
      <c r="BJ394" s="72">
        <v>6</v>
      </c>
      <c r="BK394" s="72">
        <v>6</v>
      </c>
      <c r="BL394" s="72">
        <v>6</v>
      </c>
      <c r="BM394" s="72">
        <v>6</v>
      </c>
      <c r="BN394" s="72">
        <v>6</v>
      </c>
      <c r="BO394" s="72">
        <v>6</v>
      </c>
      <c r="BP394" s="72">
        <v>6</v>
      </c>
      <c r="BQ394" s="72">
        <v>6</v>
      </c>
      <c r="BR394" s="72">
        <v>6</v>
      </c>
      <c r="BS394" s="72">
        <v>6</v>
      </c>
      <c r="BT394" s="72">
        <v>6</v>
      </c>
      <c r="BU394" s="72">
        <v>6</v>
      </c>
      <c r="BV394" s="72">
        <v>6</v>
      </c>
      <c r="BW394" s="72">
        <v>6</v>
      </c>
      <c r="BX394" s="72">
        <v>6</v>
      </c>
      <c r="BY394" s="72">
        <v>6</v>
      </c>
      <c r="BZ394" s="72">
        <v>6</v>
      </c>
      <c r="CA394" s="72">
        <v>6</v>
      </c>
      <c r="CB394" s="72">
        <v>6</v>
      </c>
      <c r="CC394" s="72">
        <v>6</v>
      </c>
      <c r="CD394" s="72">
        <v>6</v>
      </c>
      <c r="CE394" s="72">
        <v>6</v>
      </c>
      <c r="CF394" s="72">
        <v>6</v>
      </c>
      <c r="CG394" s="72">
        <v>6</v>
      </c>
      <c r="CH394" s="72">
        <v>6</v>
      </c>
      <c r="CI394" s="72">
        <v>6</v>
      </c>
      <c r="CJ394" s="72">
        <v>6</v>
      </c>
      <c r="CK394" s="72">
        <v>6</v>
      </c>
      <c r="CL394" s="72">
        <v>6</v>
      </c>
      <c r="CM394" s="72">
        <v>6</v>
      </c>
      <c r="CN394" s="72">
        <v>6</v>
      </c>
      <c r="CO394" s="72">
        <v>6</v>
      </c>
      <c r="CP394" s="72">
        <v>6</v>
      </c>
      <c r="CQ394" s="72">
        <v>6</v>
      </c>
      <c r="CR394" s="72">
        <v>6</v>
      </c>
      <c r="CS394" s="72">
        <v>6</v>
      </c>
      <c r="CT394" s="72">
        <v>6</v>
      </c>
      <c r="CU394" s="72">
        <v>6</v>
      </c>
      <c r="CV394" s="72">
        <v>6</v>
      </c>
      <c r="CW394" s="72">
        <v>6</v>
      </c>
      <c r="CX394" s="72">
        <v>6</v>
      </c>
      <c r="CY394" s="72">
        <v>6</v>
      </c>
      <c r="CZ394" s="72">
        <v>6</v>
      </c>
      <c r="DA394" s="72">
        <v>6</v>
      </c>
      <c r="DB394" s="72">
        <v>6</v>
      </c>
      <c r="DC394" s="72">
        <v>6</v>
      </c>
      <c r="DD394" s="72">
        <v>6</v>
      </c>
      <c r="DE394" s="72">
        <v>6</v>
      </c>
      <c r="DF394" s="72">
        <v>6</v>
      </c>
    </row>
    <row r="395" spans="1:110" x14ac:dyDescent="0.35">
      <c r="A395" s="7"/>
      <c r="B395" s="77" t="s">
        <v>1271</v>
      </c>
      <c r="C395" s="78" t="s">
        <v>1186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/>
      <c r="J395" s="10"/>
      <c r="K395" s="10"/>
      <c r="L395" s="8"/>
      <c r="M395" s="12"/>
      <c r="N395" s="12">
        <f t="shared" si="7"/>
        <v>0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>
        <v>2</v>
      </c>
      <c r="AP395" s="72">
        <v>2</v>
      </c>
      <c r="AQ395" s="72">
        <v>2</v>
      </c>
      <c r="AR395" s="72">
        <v>2</v>
      </c>
      <c r="AS395" s="72">
        <v>2</v>
      </c>
      <c r="AT395" s="72">
        <v>2</v>
      </c>
      <c r="AU395" s="72">
        <v>2</v>
      </c>
      <c r="AV395" s="72">
        <v>2</v>
      </c>
      <c r="AW395" s="72">
        <v>7</v>
      </c>
      <c r="AX395" s="72">
        <v>7</v>
      </c>
      <c r="AY395" s="72">
        <v>7</v>
      </c>
      <c r="AZ395" s="72">
        <v>7</v>
      </c>
      <c r="BA395" s="72">
        <v>7</v>
      </c>
      <c r="BB395" s="72">
        <v>7</v>
      </c>
      <c r="BC395" s="72">
        <v>7</v>
      </c>
      <c r="BD395" s="72">
        <v>7</v>
      </c>
      <c r="BE395" s="72">
        <v>7</v>
      </c>
      <c r="BF395" s="72">
        <v>7</v>
      </c>
      <c r="BG395" s="72">
        <v>7</v>
      </c>
      <c r="BH395" s="72">
        <v>7</v>
      </c>
      <c r="BI395" s="72">
        <v>7</v>
      </c>
      <c r="BJ395" s="72">
        <v>7</v>
      </c>
      <c r="BK395" s="72">
        <v>7</v>
      </c>
      <c r="BL395" s="72">
        <v>7</v>
      </c>
      <c r="BM395" s="72">
        <v>7</v>
      </c>
      <c r="BN395" s="72">
        <v>7</v>
      </c>
      <c r="BO395" s="72">
        <v>7</v>
      </c>
      <c r="BP395" s="72">
        <v>7</v>
      </c>
      <c r="BQ395" s="72">
        <v>7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</row>
    <row r="396" spans="1:110" x14ac:dyDescent="0.35">
      <c r="A396" s="7"/>
      <c r="B396" s="8" t="s">
        <v>681</v>
      </c>
      <c r="C396" s="9" t="s">
        <v>682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42</v>
      </c>
      <c r="J396" s="10">
        <v>1</v>
      </c>
      <c r="K396" s="10" t="s">
        <v>153</v>
      </c>
      <c r="L396" s="8" t="s">
        <v>683</v>
      </c>
      <c r="M396" s="12">
        <v>1833</v>
      </c>
      <c r="N396" s="12">
        <f t="shared" si="7"/>
        <v>25662</v>
      </c>
      <c r="O396" s="11">
        <v>6</v>
      </c>
      <c r="P396" s="11">
        <v>6</v>
      </c>
      <c r="Q396" s="11">
        <v>18</v>
      </c>
      <c r="R396" s="11">
        <v>43</v>
      </c>
      <c r="S396" s="11">
        <v>43</v>
      </c>
      <c r="T396" s="11">
        <v>43</v>
      </c>
      <c r="U396" s="11">
        <v>43</v>
      </c>
      <c r="V396" s="11">
        <v>43</v>
      </c>
      <c r="W396" s="11">
        <v>43</v>
      </c>
      <c r="X396" s="11">
        <v>43</v>
      </c>
      <c r="Y396" s="11">
        <v>42</v>
      </c>
      <c r="Z396" s="11">
        <v>42</v>
      </c>
      <c r="AA396" s="11">
        <v>42</v>
      </c>
      <c r="AB396" s="11">
        <v>42</v>
      </c>
      <c r="AC396" s="11">
        <v>42</v>
      </c>
      <c r="AD396" s="11">
        <v>42</v>
      </c>
      <c r="AE396" s="11">
        <v>42</v>
      </c>
      <c r="AF396" s="11">
        <v>42</v>
      </c>
      <c r="AG396" s="11">
        <v>42</v>
      </c>
      <c r="AH396" s="11">
        <v>42</v>
      </c>
      <c r="AI396" s="11">
        <v>42</v>
      </c>
      <c r="AJ396" s="11">
        <v>42</v>
      </c>
      <c r="AK396" s="11">
        <v>42</v>
      </c>
      <c r="AL396" s="11">
        <v>42</v>
      </c>
      <c r="AM396" s="11">
        <v>42</v>
      </c>
      <c r="AN396" s="72">
        <v>42</v>
      </c>
      <c r="AO396" s="72">
        <v>42</v>
      </c>
      <c r="AP396" s="72">
        <v>42</v>
      </c>
      <c r="AQ396" s="72">
        <v>42</v>
      </c>
      <c r="AR396" s="72">
        <v>42</v>
      </c>
      <c r="AS396" s="72">
        <v>42</v>
      </c>
      <c r="AT396" s="72">
        <v>42</v>
      </c>
      <c r="AU396" s="72">
        <v>42</v>
      </c>
      <c r="AV396" s="72">
        <v>42</v>
      </c>
      <c r="AW396" s="72">
        <v>42</v>
      </c>
      <c r="AX396" s="72">
        <v>42</v>
      </c>
      <c r="AY396" s="72">
        <v>42</v>
      </c>
      <c r="AZ396" s="72">
        <v>42</v>
      </c>
      <c r="BA396" s="72">
        <v>42</v>
      </c>
      <c r="BB396" s="72">
        <v>42</v>
      </c>
      <c r="BC396" s="72">
        <v>42</v>
      </c>
      <c r="BD396" s="72">
        <v>42</v>
      </c>
      <c r="BE396" s="72">
        <v>42</v>
      </c>
      <c r="BF396" s="72">
        <v>42</v>
      </c>
      <c r="BG396" s="72">
        <v>42</v>
      </c>
      <c r="BH396" s="72">
        <v>42</v>
      </c>
      <c r="BI396" s="72">
        <v>42</v>
      </c>
      <c r="BJ396" s="72">
        <v>42</v>
      </c>
      <c r="BK396" s="72">
        <v>40</v>
      </c>
      <c r="BL396" s="72">
        <v>40</v>
      </c>
      <c r="BM396" s="72">
        <v>40</v>
      </c>
      <c r="BN396" s="72">
        <v>40</v>
      </c>
      <c r="BO396" s="72">
        <v>40</v>
      </c>
      <c r="BP396" s="72">
        <v>40</v>
      </c>
      <c r="BQ396" s="72">
        <v>40</v>
      </c>
      <c r="BR396" s="72">
        <v>38</v>
      </c>
      <c r="BS396" s="72">
        <v>38</v>
      </c>
      <c r="BT396" s="72">
        <v>38</v>
      </c>
      <c r="BU396" s="72">
        <v>38</v>
      </c>
      <c r="BV396" s="72">
        <v>38</v>
      </c>
      <c r="BW396" s="72">
        <v>38</v>
      </c>
      <c r="BX396" s="72">
        <v>38</v>
      </c>
      <c r="BY396" s="72">
        <v>38</v>
      </c>
      <c r="BZ396" s="72">
        <v>38</v>
      </c>
      <c r="CA396" s="72">
        <v>38</v>
      </c>
      <c r="CB396" s="72">
        <v>38</v>
      </c>
      <c r="CC396" s="72">
        <v>38</v>
      </c>
      <c r="CD396" s="72">
        <v>38</v>
      </c>
      <c r="CE396" s="72">
        <v>38</v>
      </c>
      <c r="CF396" s="72">
        <v>38</v>
      </c>
      <c r="CG396" s="72">
        <v>38</v>
      </c>
      <c r="CH396" s="72">
        <v>38</v>
      </c>
      <c r="CI396" s="72">
        <v>38</v>
      </c>
      <c r="CJ396" s="72">
        <v>37</v>
      </c>
      <c r="CK396" s="72">
        <v>37</v>
      </c>
      <c r="CL396" s="72">
        <v>37</v>
      </c>
      <c r="CM396" s="72">
        <v>37</v>
      </c>
      <c r="CN396" s="72">
        <v>37</v>
      </c>
      <c r="CO396" s="72">
        <v>37</v>
      </c>
      <c r="CP396" s="72">
        <v>37</v>
      </c>
      <c r="CQ396" s="72">
        <v>37</v>
      </c>
      <c r="CR396" s="72">
        <v>36</v>
      </c>
      <c r="CS396" s="72">
        <v>36</v>
      </c>
      <c r="CT396" s="72">
        <v>36</v>
      </c>
      <c r="CU396" s="72">
        <v>13</v>
      </c>
      <c r="CV396" s="72">
        <v>13</v>
      </c>
      <c r="CW396" s="72">
        <v>13</v>
      </c>
      <c r="CX396" s="72">
        <v>13</v>
      </c>
      <c r="CY396" s="72">
        <v>13</v>
      </c>
      <c r="CZ396" s="72">
        <v>13</v>
      </c>
      <c r="DA396" s="72">
        <v>13</v>
      </c>
      <c r="DB396" s="72">
        <v>13</v>
      </c>
      <c r="DC396" s="72">
        <v>13</v>
      </c>
      <c r="DD396" s="72">
        <v>13</v>
      </c>
      <c r="DE396" s="72">
        <v>14</v>
      </c>
      <c r="DF396" s="72">
        <v>14</v>
      </c>
    </row>
    <row r="397" spans="1:110" x14ac:dyDescent="0.35">
      <c r="A397" s="7"/>
      <c r="B397" s="8" t="s">
        <v>684</v>
      </c>
      <c r="C397" s="9" t="s">
        <v>685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5</v>
      </c>
      <c r="J397" s="10"/>
      <c r="K397" s="10" t="s">
        <v>153</v>
      </c>
      <c r="L397" s="8"/>
      <c r="M397" s="12">
        <v>2782.61</v>
      </c>
      <c r="N397" s="12">
        <f t="shared" si="7"/>
        <v>19478.27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5</v>
      </c>
      <c r="Y397" s="11">
        <v>5</v>
      </c>
      <c r="Z397" s="11">
        <v>5</v>
      </c>
      <c r="AA397" s="11">
        <v>5</v>
      </c>
      <c r="AB397" s="11">
        <v>5</v>
      </c>
      <c r="AC397" s="11">
        <v>5</v>
      </c>
      <c r="AD397" s="11">
        <v>5</v>
      </c>
      <c r="AE397" s="11">
        <v>5</v>
      </c>
      <c r="AF397" s="11">
        <v>5</v>
      </c>
      <c r="AG397" s="11">
        <v>5</v>
      </c>
      <c r="AH397" s="11">
        <v>5</v>
      </c>
      <c r="AI397" s="11">
        <v>5</v>
      </c>
      <c r="AJ397" s="11">
        <v>5</v>
      </c>
      <c r="AK397" s="11">
        <v>5</v>
      </c>
      <c r="AL397" s="11">
        <v>5</v>
      </c>
      <c r="AM397" s="11">
        <v>5</v>
      </c>
      <c r="AN397" s="72">
        <v>5</v>
      </c>
      <c r="AO397" s="72">
        <v>7</v>
      </c>
      <c r="AP397" s="72">
        <v>7</v>
      </c>
      <c r="AQ397" s="72">
        <v>7</v>
      </c>
      <c r="AR397" s="72">
        <v>7</v>
      </c>
      <c r="AS397" s="72">
        <v>7</v>
      </c>
      <c r="AT397" s="72">
        <v>7</v>
      </c>
      <c r="AU397" s="72">
        <v>7</v>
      </c>
      <c r="AV397" s="72">
        <v>7</v>
      </c>
      <c r="AW397" s="72">
        <v>7</v>
      </c>
      <c r="AX397" s="72">
        <v>7</v>
      </c>
      <c r="AY397" s="72">
        <v>7</v>
      </c>
      <c r="AZ397" s="72">
        <v>7</v>
      </c>
      <c r="BA397" s="72">
        <v>7</v>
      </c>
      <c r="BB397" s="72">
        <v>7</v>
      </c>
      <c r="BC397" s="72">
        <v>7</v>
      </c>
      <c r="BD397" s="72">
        <v>7</v>
      </c>
      <c r="BE397" s="72">
        <v>7</v>
      </c>
      <c r="BF397" s="72">
        <v>7</v>
      </c>
      <c r="BG397" s="72">
        <v>7</v>
      </c>
      <c r="BH397" s="72">
        <v>7</v>
      </c>
      <c r="BI397" s="72">
        <v>7</v>
      </c>
      <c r="BJ397" s="72">
        <v>7</v>
      </c>
      <c r="BK397" s="72">
        <v>7</v>
      </c>
      <c r="BL397" s="72">
        <v>7</v>
      </c>
      <c r="BM397" s="72">
        <v>7</v>
      </c>
      <c r="BN397" s="72">
        <v>7</v>
      </c>
      <c r="BO397" s="72">
        <v>7</v>
      </c>
      <c r="BP397" s="72">
        <v>7</v>
      </c>
      <c r="BQ397" s="72">
        <v>7</v>
      </c>
      <c r="BR397" s="72">
        <v>7</v>
      </c>
      <c r="BS397" s="72">
        <v>7</v>
      </c>
      <c r="BT397" s="72">
        <v>7</v>
      </c>
      <c r="BU397" s="72">
        <v>7</v>
      </c>
      <c r="BV397" s="72">
        <v>7</v>
      </c>
      <c r="BW397" s="72">
        <v>7</v>
      </c>
      <c r="BX397" s="72">
        <v>7</v>
      </c>
      <c r="BY397" s="72">
        <v>7</v>
      </c>
      <c r="BZ397" s="72">
        <v>7</v>
      </c>
      <c r="CA397" s="72">
        <v>7</v>
      </c>
      <c r="CB397" s="72">
        <v>7</v>
      </c>
      <c r="CC397" s="72">
        <v>7</v>
      </c>
      <c r="CD397" s="72">
        <v>7</v>
      </c>
      <c r="CE397" s="72">
        <v>7</v>
      </c>
      <c r="CF397" s="72">
        <v>7</v>
      </c>
      <c r="CG397" s="72">
        <v>7</v>
      </c>
      <c r="CH397" s="72">
        <v>7</v>
      </c>
      <c r="CI397" s="72">
        <v>7</v>
      </c>
      <c r="CJ397" s="72">
        <v>7</v>
      </c>
      <c r="CK397" s="72">
        <v>7</v>
      </c>
      <c r="CL397" s="72">
        <v>7</v>
      </c>
      <c r="CM397" s="72">
        <v>7</v>
      </c>
      <c r="CN397" s="72">
        <v>7</v>
      </c>
      <c r="CO397" s="72">
        <v>7</v>
      </c>
      <c r="CP397" s="72">
        <v>7</v>
      </c>
      <c r="CQ397" s="72">
        <v>7</v>
      </c>
      <c r="CR397" s="72">
        <v>7</v>
      </c>
      <c r="CS397" s="72">
        <v>7</v>
      </c>
      <c r="CT397" s="72">
        <v>7</v>
      </c>
      <c r="CU397" s="72">
        <v>7</v>
      </c>
      <c r="CV397" s="72">
        <v>7</v>
      </c>
      <c r="CW397" s="72">
        <v>7</v>
      </c>
      <c r="CX397" s="72">
        <v>7</v>
      </c>
      <c r="CY397" s="72">
        <v>7</v>
      </c>
      <c r="CZ397" s="72">
        <v>7</v>
      </c>
      <c r="DA397" s="72">
        <v>7</v>
      </c>
      <c r="DB397" s="72">
        <v>7</v>
      </c>
      <c r="DC397" s="72">
        <v>7</v>
      </c>
      <c r="DD397" s="72">
        <v>7</v>
      </c>
      <c r="DE397" s="72">
        <v>7</v>
      </c>
      <c r="DF397" s="72">
        <v>7</v>
      </c>
    </row>
    <row r="398" spans="1:110" x14ac:dyDescent="0.35">
      <c r="A398" s="7"/>
      <c r="B398" s="8" t="s">
        <v>686</v>
      </c>
      <c r="C398" s="9" t="s">
        <v>687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0</v>
      </c>
      <c r="J398" s="10"/>
      <c r="K398" s="10" t="s">
        <v>153</v>
      </c>
      <c r="L398" s="8"/>
      <c r="M398" s="12"/>
      <c r="N398" s="12">
        <f t="shared" si="7"/>
        <v>0</v>
      </c>
      <c r="O398" s="11"/>
      <c r="P398" s="11"/>
      <c r="Q398" s="11">
        <v>2</v>
      </c>
      <c r="R398" s="11">
        <v>2</v>
      </c>
      <c r="S398" s="11">
        <v>2</v>
      </c>
      <c r="T398" s="11">
        <v>2</v>
      </c>
      <c r="U398" s="11">
        <v>2</v>
      </c>
      <c r="V398" s="11">
        <v>2</v>
      </c>
      <c r="W398" s="11">
        <v>2</v>
      </c>
      <c r="X398" s="11">
        <v>2</v>
      </c>
      <c r="Y398" s="11">
        <v>2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0</v>
      </c>
      <c r="AK398" s="11">
        <v>0</v>
      </c>
      <c r="AL398" s="11">
        <v>0</v>
      </c>
      <c r="AM398" s="11">
        <v>0</v>
      </c>
      <c r="AN398" s="72">
        <v>0</v>
      </c>
      <c r="AO398" s="72">
        <v>0</v>
      </c>
      <c r="AP398" s="72">
        <v>0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</row>
    <row r="399" spans="1:110" x14ac:dyDescent="0.35">
      <c r="A399" s="7"/>
      <c r="B399" s="8" t="s">
        <v>688</v>
      </c>
      <c r="C399" s="9" t="s">
        <v>689</v>
      </c>
      <c r="D399" s="10" t="s">
        <v>594</v>
      </c>
      <c r="E399" s="8" t="s">
        <v>1205</v>
      </c>
      <c r="F399" s="10">
        <v>1006</v>
      </c>
      <c r="G399" s="10" t="s">
        <v>40</v>
      </c>
      <c r="H399" s="10" t="s">
        <v>41</v>
      </c>
      <c r="I399" s="11">
        <v>0</v>
      </c>
      <c r="J399" s="10"/>
      <c r="K399" s="10" t="s">
        <v>42</v>
      </c>
      <c r="L399" s="8"/>
      <c r="M399" s="12"/>
      <c r="N399" s="12">
        <f t="shared" si="7"/>
        <v>0</v>
      </c>
      <c r="O399" s="11">
        <v>1</v>
      </c>
      <c r="P399" s="11">
        <v>1</v>
      </c>
      <c r="Q399" s="11">
        <v>1</v>
      </c>
      <c r="R399" s="11">
        <v>1</v>
      </c>
      <c r="S399" s="11">
        <v>1</v>
      </c>
      <c r="T399" s="11">
        <v>1</v>
      </c>
      <c r="U399" s="11">
        <v>1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0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</row>
    <row r="400" spans="1:110" x14ac:dyDescent="0.35">
      <c r="A400" s="7"/>
      <c r="B400" s="8" t="s">
        <v>690</v>
      </c>
      <c r="C400" s="7" t="s">
        <v>691</v>
      </c>
      <c r="D400" s="10" t="s">
        <v>594</v>
      </c>
      <c r="E400" s="8" t="s">
        <v>1205</v>
      </c>
      <c r="F400" s="10">
        <v>1006</v>
      </c>
      <c r="G400" s="10" t="s">
        <v>40</v>
      </c>
      <c r="H400" s="10" t="s">
        <v>41</v>
      </c>
      <c r="I400" s="11">
        <v>60</v>
      </c>
      <c r="J400" s="10">
        <v>0</v>
      </c>
      <c r="K400" s="10" t="s">
        <v>692</v>
      </c>
      <c r="L400" s="8"/>
      <c r="M400" s="12">
        <v>12.78</v>
      </c>
      <c r="N400" s="12">
        <f t="shared" si="7"/>
        <v>345.06</v>
      </c>
      <c r="O400" s="11">
        <v>86</v>
      </c>
      <c r="P400" s="11">
        <v>86</v>
      </c>
      <c r="Q400" s="11">
        <v>119</v>
      </c>
      <c r="R400" s="11">
        <v>144</v>
      </c>
      <c r="S400" s="11">
        <v>144</v>
      </c>
      <c r="T400" s="11">
        <v>144</v>
      </c>
      <c r="U400" s="11">
        <v>100</v>
      </c>
      <c r="V400" s="11">
        <v>100</v>
      </c>
      <c r="W400" s="11">
        <v>100</v>
      </c>
      <c r="X400" s="11">
        <v>100</v>
      </c>
      <c r="Y400" s="11">
        <v>100</v>
      </c>
      <c r="Z400" s="11">
        <v>90</v>
      </c>
      <c r="AA400" s="11">
        <v>90</v>
      </c>
      <c r="AB400" s="11">
        <v>75</v>
      </c>
      <c r="AC400" s="11">
        <v>75</v>
      </c>
      <c r="AD400" s="11">
        <v>75</v>
      </c>
      <c r="AE400" s="11">
        <v>70</v>
      </c>
      <c r="AF400" s="11">
        <v>70</v>
      </c>
      <c r="AG400" s="11">
        <v>70</v>
      </c>
      <c r="AH400" s="11">
        <v>70</v>
      </c>
      <c r="AI400" s="11">
        <v>60</v>
      </c>
      <c r="AJ400" s="11">
        <v>60</v>
      </c>
      <c r="AK400" s="11">
        <v>60</v>
      </c>
      <c r="AL400" s="11">
        <v>58</v>
      </c>
      <c r="AM400" s="11">
        <v>54</v>
      </c>
      <c r="AN400" s="72">
        <v>46</v>
      </c>
      <c r="AO400" s="72">
        <v>47</v>
      </c>
      <c r="AP400" s="72">
        <v>47</v>
      </c>
      <c r="AQ400" s="72">
        <v>47</v>
      </c>
      <c r="AR400" s="72">
        <v>47</v>
      </c>
      <c r="AS400" s="72">
        <v>47</v>
      </c>
      <c r="AT400" s="72">
        <v>47</v>
      </c>
      <c r="AU400" s="72">
        <v>47</v>
      </c>
      <c r="AV400" s="72">
        <v>47</v>
      </c>
      <c r="AW400" s="72">
        <v>47</v>
      </c>
      <c r="AX400" s="72">
        <v>47</v>
      </c>
      <c r="AY400" s="72">
        <v>47</v>
      </c>
      <c r="AZ400" s="72">
        <v>47</v>
      </c>
      <c r="BA400" s="72">
        <v>47</v>
      </c>
      <c r="BB400" s="72">
        <v>44</v>
      </c>
      <c r="BC400" s="72">
        <v>44</v>
      </c>
      <c r="BD400" s="72">
        <v>44</v>
      </c>
      <c r="BE400" s="72">
        <v>44</v>
      </c>
      <c r="BF400" s="72">
        <v>44</v>
      </c>
      <c r="BG400" s="72">
        <v>44</v>
      </c>
      <c r="BH400" s="72">
        <v>44</v>
      </c>
      <c r="BI400" s="72">
        <v>44</v>
      </c>
      <c r="BJ400" s="72">
        <v>44</v>
      </c>
      <c r="BK400" s="72">
        <v>28</v>
      </c>
      <c r="BL400" s="72">
        <v>28</v>
      </c>
      <c r="BM400" s="72">
        <v>28</v>
      </c>
      <c r="BN400" s="72">
        <v>1</v>
      </c>
      <c r="BO400" s="72">
        <v>1</v>
      </c>
      <c r="BP400" s="72">
        <v>1</v>
      </c>
      <c r="BQ400" s="72">
        <v>1</v>
      </c>
      <c r="BR400" s="72">
        <v>0</v>
      </c>
      <c r="BS400" s="72">
        <v>0</v>
      </c>
      <c r="BT400" s="72">
        <v>0</v>
      </c>
      <c r="BU400" s="72">
        <v>0</v>
      </c>
      <c r="BV400" s="72">
        <v>2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50</v>
      </c>
      <c r="CX400" s="72">
        <v>50</v>
      </c>
      <c r="CY400" s="72">
        <v>27</v>
      </c>
      <c r="CZ400" s="72">
        <v>27</v>
      </c>
      <c r="DA400" s="72">
        <v>27</v>
      </c>
      <c r="DB400" s="72">
        <v>27</v>
      </c>
      <c r="DC400" s="72">
        <v>27</v>
      </c>
      <c r="DD400" s="72">
        <v>27</v>
      </c>
      <c r="DE400" s="72">
        <v>27</v>
      </c>
      <c r="DF400" s="72">
        <v>27</v>
      </c>
    </row>
    <row r="401" spans="1:110" x14ac:dyDescent="0.35">
      <c r="A401" s="7"/>
      <c r="B401" s="8" t="s">
        <v>693</v>
      </c>
      <c r="C401" s="9" t="s">
        <v>694</v>
      </c>
      <c r="D401" s="10" t="s">
        <v>594</v>
      </c>
      <c r="E401" s="8" t="s">
        <v>1205</v>
      </c>
      <c r="F401" s="10">
        <v>1006</v>
      </c>
      <c r="G401" s="10" t="s">
        <v>40</v>
      </c>
      <c r="H401" s="10" t="s">
        <v>41</v>
      </c>
      <c r="I401" s="11">
        <v>2</v>
      </c>
      <c r="J401" s="10"/>
      <c r="K401" s="10"/>
      <c r="L401" s="8"/>
      <c r="M401" s="12">
        <v>458.22</v>
      </c>
      <c r="N401" s="12">
        <f t="shared" si="7"/>
        <v>916.44</v>
      </c>
      <c r="O401" s="11">
        <v>2</v>
      </c>
      <c r="P401" s="11">
        <v>2</v>
      </c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2</v>
      </c>
      <c r="AF401" s="11">
        <v>2</v>
      </c>
      <c r="AG401" s="11">
        <v>2</v>
      </c>
      <c r="AH401" s="11">
        <v>2</v>
      </c>
      <c r="AI401" s="11">
        <v>2</v>
      </c>
      <c r="AJ401" s="11">
        <v>2</v>
      </c>
      <c r="AK401" s="11">
        <v>2</v>
      </c>
      <c r="AL401" s="11">
        <v>2</v>
      </c>
      <c r="AM401" s="11">
        <v>2</v>
      </c>
      <c r="AN401" s="72">
        <v>2</v>
      </c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2</v>
      </c>
      <c r="AX401" s="72">
        <v>2</v>
      </c>
      <c r="AY401" s="72">
        <v>2</v>
      </c>
      <c r="AZ401" s="72">
        <v>2</v>
      </c>
      <c r="BA401" s="72">
        <v>2</v>
      </c>
      <c r="BB401" s="72">
        <v>2</v>
      </c>
      <c r="BC401" s="72">
        <v>2</v>
      </c>
      <c r="BD401" s="72">
        <v>2</v>
      </c>
      <c r="BE401" s="72">
        <v>2</v>
      </c>
      <c r="BF401" s="72">
        <v>2</v>
      </c>
      <c r="BG401" s="72">
        <v>2</v>
      </c>
      <c r="BH401" s="72">
        <v>2</v>
      </c>
      <c r="BI401" s="72">
        <v>2</v>
      </c>
      <c r="BJ401" s="72">
        <v>2</v>
      </c>
      <c r="BK401" s="72">
        <v>2</v>
      </c>
      <c r="BL401" s="72">
        <v>2</v>
      </c>
      <c r="BM401" s="72">
        <v>2</v>
      </c>
      <c r="BN401" s="72">
        <v>2</v>
      </c>
      <c r="BO401" s="72">
        <v>2</v>
      </c>
      <c r="BP401" s="72">
        <v>2</v>
      </c>
      <c r="BQ401" s="72">
        <v>2</v>
      </c>
      <c r="BR401" s="72">
        <v>2</v>
      </c>
      <c r="BS401" s="72">
        <v>2</v>
      </c>
      <c r="BT401" s="72">
        <v>2</v>
      </c>
      <c r="BU401" s="72">
        <v>2</v>
      </c>
      <c r="BV401" s="72">
        <v>2</v>
      </c>
      <c r="BW401" s="72">
        <v>2</v>
      </c>
      <c r="BX401" s="72">
        <v>2</v>
      </c>
      <c r="BY401" s="72">
        <v>2</v>
      </c>
      <c r="BZ401" s="72">
        <v>2</v>
      </c>
      <c r="CA401" s="72">
        <v>2</v>
      </c>
      <c r="CB401" s="72">
        <v>2</v>
      </c>
      <c r="CC401" s="72">
        <v>2</v>
      </c>
      <c r="CD401" s="72">
        <v>2</v>
      </c>
      <c r="CE401" s="72">
        <v>2</v>
      </c>
      <c r="CF401" s="72">
        <v>2</v>
      </c>
      <c r="CG401" s="72">
        <v>2</v>
      </c>
      <c r="CH401" s="72">
        <v>2</v>
      </c>
      <c r="CI401" s="72">
        <v>2</v>
      </c>
      <c r="CJ401" s="72">
        <v>2</v>
      </c>
      <c r="CK401" s="72">
        <v>2</v>
      </c>
      <c r="CL401" s="72">
        <v>2</v>
      </c>
      <c r="CM401" s="72">
        <v>2</v>
      </c>
      <c r="CN401" s="72">
        <v>2</v>
      </c>
      <c r="CO401" s="72">
        <v>2</v>
      </c>
      <c r="CP401" s="72">
        <v>2</v>
      </c>
      <c r="CQ401" s="72">
        <v>2</v>
      </c>
      <c r="CR401" s="72">
        <v>2</v>
      </c>
      <c r="CS401" s="72">
        <v>2</v>
      </c>
      <c r="CT401" s="72">
        <v>2</v>
      </c>
      <c r="CU401" s="72">
        <v>2</v>
      </c>
      <c r="CV401" s="72">
        <v>2</v>
      </c>
      <c r="CW401" s="72">
        <v>2</v>
      </c>
      <c r="CX401" s="72">
        <v>2</v>
      </c>
      <c r="CY401" s="72">
        <v>2</v>
      </c>
      <c r="CZ401" s="72">
        <v>2</v>
      </c>
      <c r="DA401" s="72">
        <v>2</v>
      </c>
      <c r="DB401" s="72">
        <v>2</v>
      </c>
      <c r="DC401" s="72">
        <v>2</v>
      </c>
      <c r="DD401" s="72">
        <v>2</v>
      </c>
      <c r="DE401" s="72">
        <v>2</v>
      </c>
      <c r="DF401" s="72">
        <v>2</v>
      </c>
    </row>
    <row r="402" spans="1:110" x14ac:dyDescent="0.35">
      <c r="A402" s="7"/>
      <c r="B402" s="8" t="s">
        <v>695</v>
      </c>
      <c r="C402" s="9" t="s">
        <v>696</v>
      </c>
      <c r="D402" s="10" t="s">
        <v>697</v>
      </c>
      <c r="E402" s="8" t="s">
        <v>1205</v>
      </c>
      <c r="F402" s="10">
        <v>1006</v>
      </c>
      <c r="G402" s="10" t="s">
        <v>40</v>
      </c>
      <c r="H402" s="10" t="s">
        <v>41</v>
      </c>
      <c r="I402" s="11">
        <v>1</v>
      </c>
      <c r="J402" s="10"/>
      <c r="K402" s="10"/>
      <c r="L402" s="8"/>
      <c r="M402" s="12">
        <v>236</v>
      </c>
      <c r="N402" s="12">
        <f t="shared" si="7"/>
        <v>236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1</v>
      </c>
      <c r="BK402" s="72">
        <v>1</v>
      </c>
      <c r="BL402" s="72">
        <v>1</v>
      </c>
      <c r="BM402" s="72">
        <v>1</v>
      </c>
      <c r="BN402" s="72">
        <v>1</v>
      </c>
      <c r="BO402" s="72">
        <v>1</v>
      </c>
      <c r="BP402" s="72">
        <v>1</v>
      </c>
      <c r="BQ402" s="72">
        <v>1</v>
      </c>
      <c r="BR402" s="72">
        <v>1</v>
      </c>
      <c r="BS402" s="72">
        <v>1</v>
      </c>
      <c r="BT402" s="72">
        <v>1</v>
      </c>
      <c r="BU402" s="72">
        <v>1</v>
      </c>
      <c r="BV402" s="72">
        <v>1</v>
      </c>
      <c r="BW402" s="72">
        <v>1</v>
      </c>
      <c r="BX402" s="72">
        <v>1</v>
      </c>
      <c r="BY402" s="72">
        <v>1</v>
      </c>
      <c r="BZ402" s="72">
        <v>1</v>
      </c>
      <c r="CA402" s="72">
        <v>1</v>
      </c>
      <c r="CB402" s="72">
        <v>1</v>
      </c>
      <c r="CC402" s="72">
        <v>1</v>
      </c>
      <c r="CD402" s="72">
        <v>1</v>
      </c>
      <c r="CE402" s="72">
        <v>1</v>
      </c>
      <c r="CF402" s="72">
        <v>1</v>
      </c>
      <c r="CG402" s="72">
        <v>1</v>
      </c>
      <c r="CH402" s="72">
        <v>1</v>
      </c>
      <c r="CI402" s="72">
        <v>1</v>
      </c>
      <c r="CJ402" s="72">
        <v>1</v>
      </c>
      <c r="CK402" s="72">
        <v>1</v>
      </c>
      <c r="CL402" s="72">
        <v>1</v>
      </c>
      <c r="CM402" s="72">
        <v>1</v>
      </c>
      <c r="CN402" s="72">
        <v>1</v>
      </c>
      <c r="CO402" s="72">
        <v>1</v>
      </c>
      <c r="CP402" s="72">
        <v>1</v>
      </c>
      <c r="CQ402" s="72">
        <v>1</v>
      </c>
      <c r="CR402" s="72">
        <v>1</v>
      </c>
      <c r="CS402" s="72">
        <v>1</v>
      </c>
      <c r="CT402" s="72">
        <v>1</v>
      </c>
      <c r="CU402" s="72">
        <v>1</v>
      </c>
      <c r="CV402" s="72">
        <v>1</v>
      </c>
      <c r="CW402" s="72">
        <v>1</v>
      </c>
      <c r="CX402" s="72">
        <v>1</v>
      </c>
      <c r="CY402" s="72">
        <v>1</v>
      </c>
      <c r="CZ402" s="72">
        <v>1</v>
      </c>
      <c r="DA402" s="72">
        <v>1</v>
      </c>
      <c r="DB402" s="72">
        <v>1</v>
      </c>
      <c r="DC402" s="72">
        <v>1</v>
      </c>
      <c r="DD402" s="72">
        <v>1</v>
      </c>
      <c r="DE402" s="72">
        <v>1</v>
      </c>
      <c r="DF402" s="72">
        <v>1</v>
      </c>
    </row>
    <row r="403" spans="1:110" x14ac:dyDescent="0.35">
      <c r="A403" s="7"/>
      <c r="B403" s="77" t="s">
        <v>1247</v>
      </c>
      <c r="C403" s="9" t="s">
        <v>1252</v>
      </c>
      <c r="D403" s="10" t="s">
        <v>697</v>
      </c>
      <c r="E403" s="8" t="s">
        <v>1206</v>
      </c>
      <c r="F403" s="10"/>
      <c r="G403" s="10" t="s">
        <v>40</v>
      </c>
      <c r="H403" s="10" t="s">
        <v>41</v>
      </c>
      <c r="I403" s="11"/>
      <c r="J403" s="10"/>
      <c r="K403" s="10"/>
      <c r="L403" s="8"/>
      <c r="M403" s="12"/>
      <c r="N403" s="12">
        <f t="shared" si="7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72"/>
      <c r="AO403" s="72"/>
      <c r="AP403" s="72"/>
      <c r="AQ403" s="72"/>
      <c r="AR403" s="72"/>
      <c r="AS403" s="72"/>
      <c r="AT403" s="72"/>
      <c r="AU403" s="72">
        <v>9</v>
      </c>
      <c r="AV403" s="72">
        <v>9</v>
      </c>
      <c r="AW403" s="72">
        <v>9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</row>
    <row r="404" spans="1:110" x14ac:dyDescent="0.35">
      <c r="A404" s="7"/>
      <c r="B404" s="77" t="s">
        <v>1248</v>
      </c>
      <c r="C404" s="9" t="s">
        <v>1253</v>
      </c>
      <c r="D404" s="10" t="s">
        <v>697</v>
      </c>
      <c r="E404" s="8" t="s">
        <v>1205</v>
      </c>
      <c r="F404" s="10"/>
      <c r="G404" s="10" t="s">
        <v>40</v>
      </c>
      <c r="H404" s="10" t="s">
        <v>41</v>
      </c>
      <c r="I404" s="11"/>
      <c r="J404" s="10"/>
      <c r="K404" s="10"/>
      <c r="L404" s="8"/>
      <c r="M404" s="12"/>
      <c r="N404" s="12">
        <f t="shared" si="7"/>
        <v>0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/>
      <c r="AP404" s="72"/>
      <c r="AQ404" s="72"/>
      <c r="AR404" s="72"/>
      <c r="AS404" s="72"/>
      <c r="AT404" s="72"/>
      <c r="AU404" s="72">
        <v>9</v>
      </c>
      <c r="AV404" s="72">
        <v>9</v>
      </c>
      <c r="AW404" s="72">
        <v>9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</row>
    <row r="405" spans="1:110" x14ac:dyDescent="0.35">
      <c r="A405" s="7"/>
      <c r="B405" s="14" t="s">
        <v>698</v>
      </c>
      <c r="C405" s="9" t="s">
        <v>699</v>
      </c>
      <c r="D405" s="10" t="s">
        <v>697</v>
      </c>
      <c r="E405" s="8" t="s">
        <v>1206</v>
      </c>
      <c r="F405" s="10">
        <v>1002</v>
      </c>
      <c r="G405" s="10" t="s">
        <v>40</v>
      </c>
      <c r="H405" s="10" t="s">
        <v>41</v>
      </c>
      <c r="I405" s="11">
        <v>6</v>
      </c>
      <c r="J405" s="10"/>
      <c r="K405" s="10" t="s">
        <v>42</v>
      </c>
      <c r="L405" s="8"/>
      <c r="M405" s="12">
        <v>462.33</v>
      </c>
      <c r="N405" s="12">
        <f t="shared" si="7"/>
        <v>2311.65</v>
      </c>
      <c r="O405" s="11">
        <v>6</v>
      </c>
      <c r="P405" s="11">
        <v>6</v>
      </c>
      <c r="Q405" s="11">
        <v>6</v>
      </c>
      <c r="R405" s="11">
        <v>6</v>
      </c>
      <c r="S405" s="11">
        <v>6</v>
      </c>
      <c r="T405" s="11">
        <v>6</v>
      </c>
      <c r="U405" s="11">
        <v>6</v>
      </c>
      <c r="V405" s="11">
        <v>6</v>
      </c>
      <c r="W405" s="11">
        <v>6</v>
      </c>
      <c r="X405" s="11">
        <v>6</v>
      </c>
      <c r="Y405" s="11">
        <v>6</v>
      </c>
      <c r="Z405" s="11">
        <v>6</v>
      </c>
      <c r="AA405" s="11">
        <v>6</v>
      </c>
      <c r="AB405" s="11">
        <v>6</v>
      </c>
      <c r="AC405" s="11">
        <v>6</v>
      </c>
      <c r="AD405" s="11">
        <v>6</v>
      </c>
      <c r="AE405" s="11">
        <v>6</v>
      </c>
      <c r="AF405" s="11">
        <v>6</v>
      </c>
      <c r="AG405" s="11">
        <v>6</v>
      </c>
      <c r="AH405" s="11">
        <v>6</v>
      </c>
      <c r="AI405" s="11">
        <v>6</v>
      </c>
      <c r="AJ405" s="11">
        <v>6</v>
      </c>
      <c r="AK405" s="11">
        <v>6</v>
      </c>
      <c r="AL405" s="11">
        <v>6</v>
      </c>
      <c r="AM405" s="11">
        <v>6</v>
      </c>
      <c r="AN405" s="72">
        <v>6</v>
      </c>
      <c r="AO405" s="72">
        <v>6</v>
      </c>
      <c r="AP405" s="72">
        <v>6</v>
      </c>
      <c r="AQ405" s="72">
        <v>6</v>
      </c>
      <c r="AR405" s="72">
        <v>6</v>
      </c>
      <c r="AS405" s="72">
        <v>6</v>
      </c>
      <c r="AT405" s="72">
        <v>6</v>
      </c>
      <c r="AU405" s="72">
        <v>6</v>
      </c>
      <c r="AV405" s="72">
        <v>6</v>
      </c>
      <c r="AW405" s="72">
        <v>6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5</v>
      </c>
      <c r="BS405" s="72">
        <v>5</v>
      </c>
      <c r="BT405" s="72">
        <v>5</v>
      </c>
      <c r="BU405" s="72">
        <v>5</v>
      </c>
      <c r="BV405" s="72">
        <v>5</v>
      </c>
      <c r="BW405" s="72">
        <v>5</v>
      </c>
      <c r="BX405" s="72">
        <v>5</v>
      </c>
      <c r="BY405" s="72">
        <v>5</v>
      </c>
      <c r="BZ405" s="72">
        <v>5</v>
      </c>
      <c r="CA405" s="72">
        <v>5</v>
      </c>
      <c r="CB405" s="72">
        <v>5</v>
      </c>
      <c r="CC405" s="72">
        <v>5</v>
      </c>
      <c r="CD405" s="72">
        <v>5</v>
      </c>
      <c r="CE405" s="72">
        <v>5</v>
      </c>
      <c r="CF405" s="72">
        <v>5</v>
      </c>
      <c r="CG405" s="72">
        <v>5</v>
      </c>
      <c r="CH405" s="72">
        <v>5</v>
      </c>
      <c r="CI405" s="72">
        <v>5</v>
      </c>
      <c r="CJ405" s="72">
        <v>5</v>
      </c>
      <c r="CK405" s="72">
        <v>5</v>
      </c>
      <c r="CL405" s="72">
        <v>5</v>
      </c>
      <c r="CM405" s="72">
        <v>5</v>
      </c>
      <c r="CN405" s="72">
        <v>5</v>
      </c>
      <c r="CO405" s="72">
        <v>5</v>
      </c>
      <c r="CP405" s="72">
        <v>5</v>
      </c>
      <c r="CQ405" s="72">
        <v>5</v>
      </c>
      <c r="CR405" s="72">
        <v>5</v>
      </c>
      <c r="CS405" s="72">
        <v>5</v>
      </c>
      <c r="CT405" s="72">
        <v>5</v>
      </c>
      <c r="CU405" s="72">
        <v>5</v>
      </c>
      <c r="CV405" s="72">
        <v>5</v>
      </c>
      <c r="CW405" s="72">
        <v>5</v>
      </c>
      <c r="CX405" s="72">
        <v>5</v>
      </c>
      <c r="CY405" s="72">
        <v>5</v>
      </c>
      <c r="CZ405" s="72">
        <v>5</v>
      </c>
      <c r="DA405" s="72">
        <v>5</v>
      </c>
      <c r="DB405" s="72">
        <v>5</v>
      </c>
      <c r="DC405" s="72">
        <v>5</v>
      </c>
      <c r="DD405" s="72">
        <v>5</v>
      </c>
      <c r="DE405" s="72">
        <v>5</v>
      </c>
      <c r="DF405" s="72">
        <v>5</v>
      </c>
    </row>
    <row r="406" spans="1:110" x14ac:dyDescent="0.35">
      <c r="A406" s="7"/>
      <c r="B406" s="14" t="s">
        <v>700</v>
      </c>
      <c r="C406" s="9" t="s">
        <v>701</v>
      </c>
      <c r="D406" s="10" t="s">
        <v>697</v>
      </c>
      <c r="E406" s="8" t="s">
        <v>1206</v>
      </c>
      <c r="F406" s="10">
        <v>1002</v>
      </c>
      <c r="G406" s="10" t="s">
        <v>40</v>
      </c>
      <c r="H406" s="10" t="s">
        <v>41</v>
      </c>
      <c r="I406" s="11">
        <v>18</v>
      </c>
      <c r="J406" s="10"/>
      <c r="K406" s="10"/>
      <c r="L406" s="8"/>
      <c r="M406" s="12">
        <v>263</v>
      </c>
      <c r="N406" s="12">
        <f t="shared" si="7"/>
        <v>789</v>
      </c>
      <c r="O406" s="11">
        <v>18</v>
      </c>
      <c r="P406" s="11">
        <v>18</v>
      </c>
      <c r="Q406" s="11">
        <v>18</v>
      </c>
      <c r="R406" s="11">
        <v>18</v>
      </c>
      <c r="S406" s="11">
        <v>18</v>
      </c>
      <c r="T406" s="11">
        <v>18</v>
      </c>
      <c r="U406" s="11">
        <v>18</v>
      </c>
      <c r="V406" s="11">
        <v>18</v>
      </c>
      <c r="W406" s="11">
        <v>18</v>
      </c>
      <c r="X406" s="11">
        <v>18</v>
      </c>
      <c r="Y406" s="11">
        <v>18</v>
      </c>
      <c r="Z406" s="11">
        <v>18</v>
      </c>
      <c r="AA406" s="11">
        <v>18</v>
      </c>
      <c r="AB406" s="11">
        <v>18</v>
      </c>
      <c r="AC406" s="11">
        <v>18</v>
      </c>
      <c r="AD406" s="11">
        <v>18</v>
      </c>
      <c r="AE406" s="11">
        <v>18</v>
      </c>
      <c r="AF406" s="11">
        <v>18</v>
      </c>
      <c r="AG406" s="11">
        <v>18</v>
      </c>
      <c r="AH406" s="11">
        <v>18</v>
      </c>
      <c r="AI406" s="11">
        <v>18</v>
      </c>
      <c r="AJ406" s="11">
        <v>18</v>
      </c>
      <c r="AK406" s="11">
        <v>18</v>
      </c>
      <c r="AL406" s="11">
        <v>18</v>
      </c>
      <c r="AM406" s="11">
        <v>18</v>
      </c>
      <c r="AN406" s="72">
        <v>18</v>
      </c>
      <c r="AO406" s="72">
        <v>18</v>
      </c>
      <c r="AP406" s="72">
        <v>10</v>
      </c>
      <c r="AQ406" s="72">
        <v>10</v>
      </c>
      <c r="AR406" s="72">
        <v>10</v>
      </c>
      <c r="AS406" s="72">
        <v>10</v>
      </c>
      <c r="AT406" s="72">
        <v>10</v>
      </c>
      <c r="AU406" s="72">
        <v>10</v>
      </c>
      <c r="AV406" s="72">
        <v>10</v>
      </c>
      <c r="AW406" s="72">
        <v>10</v>
      </c>
      <c r="AX406" s="72">
        <v>10</v>
      </c>
      <c r="AY406" s="72">
        <v>10</v>
      </c>
      <c r="AZ406" s="72">
        <v>10</v>
      </c>
      <c r="BA406" s="72">
        <v>10</v>
      </c>
      <c r="BB406" s="72">
        <v>10</v>
      </c>
      <c r="BC406" s="72">
        <v>10</v>
      </c>
      <c r="BD406" s="72">
        <v>10</v>
      </c>
      <c r="BE406" s="72">
        <v>10</v>
      </c>
      <c r="BF406" s="72">
        <v>10</v>
      </c>
      <c r="BG406" s="72">
        <v>10</v>
      </c>
      <c r="BH406" s="72">
        <v>10</v>
      </c>
      <c r="BI406" s="72">
        <v>10</v>
      </c>
      <c r="BJ406" s="72">
        <v>10</v>
      </c>
      <c r="BK406" s="72">
        <v>10</v>
      </c>
      <c r="BL406" s="72">
        <v>10</v>
      </c>
      <c r="BM406" s="72">
        <v>10</v>
      </c>
      <c r="BN406" s="72">
        <v>10</v>
      </c>
      <c r="BO406" s="72">
        <v>9</v>
      </c>
      <c r="BP406" s="72">
        <v>9</v>
      </c>
      <c r="BQ406" s="72">
        <v>6</v>
      </c>
      <c r="BR406" s="72">
        <v>4</v>
      </c>
      <c r="BS406" s="72">
        <v>3</v>
      </c>
      <c r="BT406" s="72">
        <v>3</v>
      </c>
      <c r="BU406" s="72">
        <v>3</v>
      </c>
      <c r="BV406" s="72">
        <v>3</v>
      </c>
      <c r="BW406" s="72">
        <v>3</v>
      </c>
      <c r="BX406" s="72">
        <v>3</v>
      </c>
      <c r="BY406" s="72">
        <v>3</v>
      </c>
      <c r="BZ406" s="72">
        <v>3</v>
      </c>
      <c r="CA406" s="72">
        <v>3</v>
      </c>
      <c r="CB406" s="72">
        <v>3</v>
      </c>
      <c r="CC406" s="72">
        <v>3</v>
      </c>
      <c r="CD406" s="72">
        <v>3</v>
      </c>
      <c r="CE406" s="72">
        <v>3</v>
      </c>
      <c r="CF406" s="72">
        <v>3</v>
      </c>
      <c r="CG406" s="72">
        <v>3</v>
      </c>
      <c r="CH406" s="72">
        <v>3</v>
      </c>
      <c r="CI406" s="72">
        <v>3</v>
      </c>
      <c r="CJ406" s="72">
        <v>3</v>
      </c>
      <c r="CK406" s="72">
        <v>3</v>
      </c>
      <c r="CL406" s="72">
        <v>3</v>
      </c>
      <c r="CM406" s="72">
        <v>3</v>
      </c>
      <c r="CN406" s="72">
        <v>3</v>
      </c>
      <c r="CO406" s="72">
        <v>3</v>
      </c>
      <c r="CP406" s="72">
        <v>3</v>
      </c>
      <c r="CQ406" s="72">
        <v>3</v>
      </c>
      <c r="CR406" s="72">
        <v>3</v>
      </c>
      <c r="CS406" s="72">
        <v>3</v>
      </c>
      <c r="CT406" s="72">
        <v>3</v>
      </c>
      <c r="CU406" s="72">
        <v>3</v>
      </c>
      <c r="CV406" s="72">
        <v>3</v>
      </c>
      <c r="CW406" s="72">
        <v>3</v>
      </c>
      <c r="CX406" s="72">
        <v>3</v>
      </c>
      <c r="CY406" s="72">
        <v>3</v>
      </c>
      <c r="CZ406" s="72">
        <v>3</v>
      </c>
      <c r="DA406" s="72">
        <v>3</v>
      </c>
      <c r="DB406" s="72">
        <v>3</v>
      </c>
      <c r="DC406" s="72">
        <v>3</v>
      </c>
      <c r="DD406" s="72">
        <v>3</v>
      </c>
      <c r="DE406" s="72">
        <v>3</v>
      </c>
      <c r="DF406" s="72">
        <v>3</v>
      </c>
    </row>
    <row r="407" spans="1:110" x14ac:dyDescent="0.35">
      <c r="A407" s="7"/>
      <c r="B407" s="14" t="s">
        <v>1379</v>
      </c>
      <c r="C407" s="9" t="s">
        <v>701</v>
      </c>
      <c r="D407" s="10" t="s">
        <v>697</v>
      </c>
      <c r="E407" s="8" t="s">
        <v>1206</v>
      </c>
      <c r="F407" s="10"/>
      <c r="G407" s="10"/>
      <c r="H407" s="10" t="s">
        <v>41</v>
      </c>
      <c r="I407" s="11"/>
      <c r="J407" s="10"/>
      <c r="K407" s="10"/>
      <c r="L407" s="8"/>
      <c r="M407" s="12">
        <v>263</v>
      </c>
      <c r="N407" s="12">
        <f t="shared" si="7"/>
        <v>263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>
        <v>1</v>
      </c>
      <c r="BR407" s="72">
        <v>1</v>
      </c>
      <c r="BS407" s="72">
        <v>1</v>
      </c>
      <c r="BT407" s="72">
        <v>1</v>
      </c>
      <c r="BU407" s="72">
        <v>1</v>
      </c>
      <c r="BV407" s="72">
        <v>1</v>
      </c>
      <c r="BW407" s="72">
        <v>1</v>
      </c>
      <c r="BX407" s="72">
        <v>1</v>
      </c>
      <c r="BY407" s="72">
        <v>1</v>
      </c>
      <c r="BZ407" s="72">
        <v>1</v>
      </c>
      <c r="CA407" s="72">
        <v>1</v>
      </c>
      <c r="CB407" s="72">
        <v>1</v>
      </c>
      <c r="CC407" s="72">
        <v>1</v>
      </c>
      <c r="CD407" s="72">
        <v>1</v>
      </c>
      <c r="CE407" s="72">
        <v>1</v>
      </c>
      <c r="CF407" s="72">
        <v>1</v>
      </c>
      <c r="CG407" s="72">
        <v>1</v>
      </c>
      <c r="CH407" s="72">
        <v>1</v>
      </c>
      <c r="CI407" s="72">
        <v>1</v>
      </c>
      <c r="CJ407" s="72">
        <v>1</v>
      </c>
      <c r="CK407" s="72">
        <v>1</v>
      </c>
      <c r="CL407" s="72">
        <v>1</v>
      </c>
      <c r="CM407" s="72">
        <v>1</v>
      </c>
      <c r="CN407" s="72">
        <v>1</v>
      </c>
      <c r="CO407" s="72">
        <v>1</v>
      </c>
      <c r="CP407" s="72">
        <v>1</v>
      </c>
      <c r="CQ407" s="72">
        <v>1</v>
      </c>
      <c r="CR407" s="72">
        <v>1</v>
      </c>
      <c r="CS407" s="72">
        <v>1</v>
      </c>
      <c r="CT407" s="72">
        <v>1</v>
      </c>
      <c r="CU407" s="72">
        <v>1</v>
      </c>
      <c r="CV407" s="72">
        <v>1</v>
      </c>
      <c r="CW407" s="72">
        <v>1</v>
      </c>
      <c r="CX407" s="72">
        <v>1</v>
      </c>
      <c r="CY407" s="72">
        <v>1</v>
      </c>
      <c r="CZ407" s="72">
        <v>1</v>
      </c>
      <c r="DA407" s="72">
        <v>1</v>
      </c>
      <c r="DB407" s="72">
        <v>1</v>
      </c>
      <c r="DC407" s="72">
        <v>1</v>
      </c>
      <c r="DD407" s="72">
        <v>1</v>
      </c>
      <c r="DE407" s="72">
        <v>1</v>
      </c>
      <c r="DF407" s="72">
        <v>1</v>
      </c>
    </row>
    <row r="408" spans="1:110" x14ac:dyDescent="0.35">
      <c r="A408" s="7"/>
      <c r="B408" s="8" t="s">
        <v>702</v>
      </c>
      <c r="C408" s="9" t="s">
        <v>703</v>
      </c>
      <c r="D408" s="10" t="s">
        <v>697</v>
      </c>
      <c r="E408" s="8" t="s">
        <v>1206</v>
      </c>
      <c r="F408" s="10">
        <v>1002</v>
      </c>
      <c r="G408" s="10" t="s">
        <v>40</v>
      </c>
      <c r="H408" s="10" t="s">
        <v>41</v>
      </c>
      <c r="I408" s="11">
        <v>7</v>
      </c>
      <c r="J408" s="10"/>
      <c r="K408" s="10" t="s">
        <v>42</v>
      </c>
      <c r="L408" s="8"/>
      <c r="M408" s="12">
        <v>96.1</v>
      </c>
      <c r="N408" s="12">
        <f t="shared" si="7"/>
        <v>0</v>
      </c>
      <c r="O408" s="11">
        <v>25</v>
      </c>
      <c r="P408" s="11">
        <v>25</v>
      </c>
      <c r="Q408" s="11">
        <v>25</v>
      </c>
      <c r="R408" s="11">
        <v>25</v>
      </c>
      <c r="S408" s="11">
        <v>25</v>
      </c>
      <c r="T408" s="11">
        <v>25</v>
      </c>
      <c r="U408" s="11">
        <v>25</v>
      </c>
      <c r="V408" s="11">
        <v>25</v>
      </c>
      <c r="W408" s="11">
        <v>25</v>
      </c>
      <c r="X408" s="11">
        <v>10</v>
      </c>
      <c r="Y408" s="11">
        <v>10</v>
      </c>
      <c r="Z408" s="11">
        <v>7</v>
      </c>
      <c r="AA408" s="11">
        <v>7</v>
      </c>
      <c r="AB408" s="11">
        <v>7</v>
      </c>
      <c r="AC408" s="11">
        <v>7</v>
      </c>
      <c r="AD408" s="11">
        <v>7</v>
      </c>
      <c r="AE408" s="11">
        <v>7</v>
      </c>
      <c r="AF408" s="11">
        <v>7</v>
      </c>
      <c r="AG408" s="11">
        <v>7</v>
      </c>
      <c r="AH408" s="11">
        <v>7</v>
      </c>
      <c r="AI408" s="11">
        <v>7</v>
      </c>
      <c r="AJ408" s="11">
        <v>7</v>
      </c>
      <c r="AK408" s="11">
        <v>7</v>
      </c>
      <c r="AL408" s="11">
        <v>7</v>
      </c>
      <c r="AM408" s="11">
        <v>7</v>
      </c>
      <c r="AN408" s="72">
        <v>7</v>
      </c>
      <c r="AO408" s="72">
        <v>7</v>
      </c>
      <c r="AP408" s="72">
        <v>7</v>
      </c>
      <c r="AQ408" s="72">
        <v>7</v>
      </c>
      <c r="AR408" s="72">
        <v>7</v>
      </c>
      <c r="AS408" s="72">
        <v>7</v>
      </c>
      <c r="AT408" s="72">
        <v>7</v>
      </c>
      <c r="AU408" s="72">
        <v>7</v>
      </c>
      <c r="AV408" s="72">
        <v>7</v>
      </c>
      <c r="AW408" s="72">
        <v>7</v>
      </c>
      <c r="AX408" s="72">
        <v>7</v>
      </c>
      <c r="AY408" s="72">
        <v>7</v>
      </c>
      <c r="AZ408" s="72">
        <v>7</v>
      </c>
      <c r="BA408" s="72">
        <v>7</v>
      </c>
      <c r="BB408" s="72">
        <v>7</v>
      </c>
      <c r="BC408" s="72">
        <v>7</v>
      </c>
      <c r="BD408" s="72">
        <v>7</v>
      </c>
      <c r="BE408" s="72">
        <v>7</v>
      </c>
      <c r="BF408" s="72">
        <v>7</v>
      </c>
      <c r="BG408" s="72">
        <v>7</v>
      </c>
      <c r="BH408" s="72">
        <v>7</v>
      </c>
      <c r="BI408" s="72">
        <v>7</v>
      </c>
      <c r="BJ408" s="72">
        <v>7</v>
      </c>
      <c r="BK408" s="72">
        <v>7</v>
      </c>
      <c r="BL408" s="72">
        <v>7</v>
      </c>
      <c r="BM408" s="72">
        <v>7</v>
      </c>
      <c r="BN408" s="72">
        <v>7</v>
      </c>
      <c r="BO408" s="72">
        <v>7</v>
      </c>
      <c r="BP408" s="72">
        <v>7</v>
      </c>
      <c r="BQ408" s="72">
        <v>7</v>
      </c>
      <c r="BR408" s="72">
        <v>7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</row>
    <row r="409" spans="1:110" x14ac:dyDescent="0.35">
      <c r="A409" s="7"/>
      <c r="B409" s="8" t="s">
        <v>704</v>
      </c>
      <c r="C409" s="9" t="s">
        <v>705</v>
      </c>
      <c r="D409" s="10" t="s">
        <v>697</v>
      </c>
      <c r="E409" s="8" t="s">
        <v>1206</v>
      </c>
      <c r="F409" s="10">
        <v>1002</v>
      </c>
      <c r="G409" s="10" t="s">
        <v>40</v>
      </c>
      <c r="H409" s="10" t="s">
        <v>41</v>
      </c>
      <c r="I409" s="11">
        <v>190</v>
      </c>
      <c r="J409" s="10"/>
      <c r="K409" s="10" t="s">
        <v>42</v>
      </c>
      <c r="L409" s="8"/>
      <c r="M409" s="12">
        <v>96</v>
      </c>
      <c r="N409" s="12">
        <f t="shared" si="7"/>
        <v>96</v>
      </c>
      <c r="O409" s="11">
        <v>188</v>
      </c>
      <c r="P409" s="11">
        <v>188</v>
      </c>
      <c r="Q409" s="11">
        <v>188</v>
      </c>
      <c r="R409" s="11">
        <v>188</v>
      </c>
      <c r="S409" s="11">
        <v>188</v>
      </c>
      <c r="T409" s="11">
        <v>188</v>
      </c>
      <c r="U409" s="11">
        <v>188</v>
      </c>
      <c r="V409" s="11">
        <v>188</v>
      </c>
      <c r="W409" s="11">
        <v>188</v>
      </c>
      <c r="X409" s="11">
        <v>188</v>
      </c>
      <c r="Y409" s="11">
        <v>188</v>
      </c>
      <c r="Z409" s="11">
        <v>188</v>
      </c>
      <c r="AA409" s="11">
        <v>188</v>
      </c>
      <c r="AB409" s="11">
        <v>188</v>
      </c>
      <c r="AC409" s="11">
        <v>190</v>
      </c>
      <c r="AD409" s="11">
        <v>190</v>
      </c>
      <c r="AE409" s="11">
        <v>190</v>
      </c>
      <c r="AF409" s="11">
        <v>190</v>
      </c>
      <c r="AG409" s="11">
        <v>190</v>
      </c>
      <c r="AH409" s="11">
        <v>190</v>
      </c>
      <c r="AI409" s="11">
        <v>190</v>
      </c>
      <c r="AJ409" s="11">
        <v>190</v>
      </c>
      <c r="AK409" s="11">
        <v>190</v>
      </c>
      <c r="AL409" s="11">
        <v>190</v>
      </c>
      <c r="AM409" s="11">
        <v>190</v>
      </c>
      <c r="AN409" s="72">
        <v>190</v>
      </c>
      <c r="AO409" s="72">
        <v>190</v>
      </c>
      <c r="AP409" s="72">
        <v>189</v>
      </c>
      <c r="AQ409" s="72">
        <v>189</v>
      </c>
      <c r="AR409" s="72">
        <v>189</v>
      </c>
      <c r="AS409" s="72">
        <v>189</v>
      </c>
      <c r="AT409" s="72">
        <v>189</v>
      </c>
      <c r="AU409" s="72">
        <v>189</v>
      </c>
      <c r="AV409" s="72">
        <v>189</v>
      </c>
      <c r="AW409" s="72">
        <v>189</v>
      </c>
      <c r="AX409" s="72">
        <v>188</v>
      </c>
      <c r="AY409" s="72">
        <v>188</v>
      </c>
      <c r="AZ409" s="72">
        <v>188</v>
      </c>
      <c r="BA409" s="72">
        <v>188</v>
      </c>
      <c r="BB409" s="72">
        <v>188</v>
      </c>
      <c r="BC409" s="72">
        <v>188</v>
      </c>
      <c r="BD409" s="72">
        <v>188</v>
      </c>
      <c r="BE409" s="72">
        <v>188</v>
      </c>
      <c r="BF409" s="72">
        <v>188</v>
      </c>
      <c r="BG409" s="72">
        <v>188</v>
      </c>
      <c r="BH409" s="72">
        <v>179</v>
      </c>
      <c r="BI409" s="72">
        <v>179</v>
      </c>
      <c r="BJ409" s="72">
        <v>179</v>
      </c>
      <c r="BK409" s="72">
        <v>179</v>
      </c>
      <c r="BL409" s="72">
        <v>179</v>
      </c>
      <c r="BM409" s="72">
        <v>167</v>
      </c>
      <c r="BN409" s="72">
        <v>161</v>
      </c>
      <c r="BO409" s="72">
        <v>110</v>
      </c>
      <c r="BP409" s="72">
        <v>103</v>
      </c>
      <c r="BQ409" s="72">
        <v>97</v>
      </c>
      <c r="BR409" s="72">
        <v>66</v>
      </c>
      <c r="BS409" s="72">
        <v>66</v>
      </c>
      <c r="BT409" s="72">
        <v>66</v>
      </c>
      <c r="BU409" s="72">
        <v>65</v>
      </c>
      <c r="BV409" s="72">
        <v>65</v>
      </c>
      <c r="BW409" s="72">
        <v>65</v>
      </c>
      <c r="BX409" s="72">
        <v>65</v>
      </c>
      <c r="BY409" s="72">
        <v>65</v>
      </c>
      <c r="BZ409" s="72">
        <v>62</v>
      </c>
      <c r="CA409" s="72">
        <v>43</v>
      </c>
      <c r="CB409" s="72">
        <v>43</v>
      </c>
      <c r="CC409" s="72">
        <v>43</v>
      </c>
      <c r="CD409" s="72">
        <v>41</v>
      </c>
      <c r="CE409" s="72">
        <v>41</v>
      </c>
      <c r="CF409" s="72">
        <v>41</v>
      </c>
      <c r="CG409" s="72">
        <v>41</v>
      </c>
      <c r="CH409" s="72">
        <v>35</v>
      </c>
      <c r="CI409" s="72">
        <v>34</v>
      </c>
      <c r="CJ409" s="72">
        <v>27</v>
      </c>
      <c r="CK409" s="72">
        <v>23</v>
      </c>
      <c r="CL409" s="72">
        <v>23</v>
      </c>
      <c r="CM409" s="72">
        <v>20</v>
      </c>
      <c r="CN409" s="72">
        <v>14</v>
      </c>
      <c r="CO409" s="72">
        <v>2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  <c r="DF409" s="72">
        <v>1</v>
      </c>
    </row>
    <row r="410" spans="1:110" x14ac:dyDescent="0.35">
      <c r="A410" s="7"/>
      <c r="B410" s="8" t="s">
        <v>706</v>
      </c>
      <c r="C410" s="9" t="s">
        <v>707</v>
      </c>
      <c r="D410" s="10" t="s">
        <v>697</v>
      </c>
      <c r="E410" s="8" t="s">
        <v>1205</v>
      </c>
      <c r="F410" s="10">
        <v>1006</v>
      </c>
      <c r="G410" s="10" t="s">
        <v>40</v>
      </c>
      <c r="H410" s="10" t="s">
        <v>41</v>
      </c>
      <c r="I410" s="11">
        <v>2</v>
      </c>
      <c r="J410" s="10"/>
      <c r="K410" s="10" t="s">
        <v>42</v>
      </c>
      <c r="L410" s="8"/>
      <c r="M410" s="12">
        <v>18</v>
      </c>
      <c r="N410" s="12">
        <f t="shared" si="7"/>
        <v>36</v>
      </c>
      <c r="O410" s="11">
        <v>6</v>
      </c>
      <c r="P410" s="11">
        <v>6</v>
      </c>
      <c r="Q410" s="11">
        <v>6</v>
      </c>
      <c r="R410" s="11">
        <v>5</v>
      </c>
      <c r="S410" s="11">
        <v>5</v>
      </c>
      <c r="T410" s="11">
        <v>3</v>
      </c>
      <c r="U410" s="11">
        <v>3</v>
      </c>
      <c r="V410" s="11">
        <v>3</v>
      </c>
      <c r="W410" s="11">
        <v>3</v>
      </c>
      <c r="X410" s="11">
        <v>3</v>
      </c>
      <c r="Y410" s="11">
        <v>3</v>
      </c>
      <c r="Z410" s="11">
        <v>2</v>
      </c>
      <c r="AA410" s="11">
        <v>2</v>
      </c>
      <c r="AB410" s="11">
        <v>2</v>
      </c>
      <c r="AC410" s="11">
        <v>2</v>
      </c>
      <c r="AD410" s="11">
        <v>2</v>
      </c>
      <c r="AE410" s="11">
        <v>2</v>
      </c>
      <c r="AF410" s="11">
        <v>2</v>
      </c>
      <c r="AG410" s="11">
        <v>2</v>
      </c>
      <c r="AH410" s="11">
        <v>2</v>
      </c>
      <c r="AI410" s="11">
        <v>2</v>
      </c>
      <c r="AJ410" s="11">
        <v>2</v>
      </c>
      <c r="AK410" s="11">
        <v>2</v>
      </c>
      <c r="AL410" s="11">
        <v>2</v>
      </c>
      <c r="AM410" s="11">
        <v>2</v>
      </c>
      <c r="AN410" s="72">
        <v>2</v>
      </c>
      <c r="AO410" s="72">
        <v>2</v>
      </c>
      <c r="AP410" s="72">
        <v>2</v>
      </c>
      <c r="AQ410" s="72">
        <v>2</v>
      </c>
      <c r="AR410" s="72">
        <v>2</v>
      </c>
      <c r="AS410" s="72">
        <v>2</v>
      </c>
      <c r="AT410" s="72">
        <v>2</v>
      </c>
      <c r="AU410" s="72">
        <v>2</v>
      </c>
      <c r="AV410" s="72">
        <v>2</v>
      </c>
      <c r="AW410" s="72">
        <v>2</v>
      </c>
      <c r="AX410" s="72">
        <v>2</v>
      </c>
      <c r="AY410" s="72">
        <v>2</v>
      </c>
      <c r="AZ410" s="72">
        <v>2</v>
      </c>
      <c r="BA410" s="72">
        <v>2</v>
      </c>
      <c r="BB410" s="72">
        <v>2</v>
      </c>
      <c r="BC410" s="72">
        <v>2</v>
      </c>
      <c r="BD410" s="72">
        <v>2</v>
      </c>
      <c r="BE410" s="72">
        <v>2</v>
      </c>
      <c r="BF410" s="72">
        <v>2</v>
      </c>
      <c r="BG410" s="72">
        <v>2</v>
      </c>
      <c r="BH410" s="72">
        <v>2</v>
      </c>
      <c r="BI410" s="72">
        <v>2</v>
      </c>
      <c r="BJ410" s="72">
        <v>2</v>
      </c>
      <c r="BK410" s="72">
        <v>2</v>
      </c>
      <c r="BL410" s="72">
        <v>2</v>
      </c>
      <c r="BM410" s="72">
        <v>2</v>
      </c>
      <c r="BN410" s="72">
        <v>2</v>
      </c>
      <c r="BO410" s="72">
        <v>1</v>
      </c>
      <c r="BP410" s="72">
        <v>1</v>
      </c>
      <c r="BQ410" s="72">
        <v>2</v>
      </c>
      <c r="BR410" s="72">
        <v>2</v>
      </c>
      <c r="BS410" s="72">
        <v>2</v>
      </c>
      <c r="BT410" s="72">
        <v>2</v>
      </c>
      <c r="BU410" s="72">
        <v>2</v>
      </c>
      <c r="BV410" s="72">
        <v>2</v>
      </c>
      <c r="BW410" s="72">
        <v>2</v>
      </c>
      <c r="BX410" s="72">
        <v>2</v>
      </c>
      <c r="BY410" s="72">
        <v>2</v>
      </c>
      <c r="BZ410" s="72">
        <v>2</v>
      </c>
      <c r="CA410" s="72">
        <v>2</v>
      </c>
      <c r="CB410" s="72">
        <v>2</v>
      </c>
      <c r="CC410" s="72">
        <v>2</v>
      </c>
      <c r="CD410" s="72">
        <v>2</v>
      </c>
      <c r="CE410" s="72">
        <v>2</v>
      </c>
      <c r="CF410" s="72">
        <v>2</v>
      </c>
      <c r="CG410" s="72">
        <v>2</v>
      </c>
      <c r="CH410" s="72">
        <v>2</v>
      </c>
      <c r="CI410" s="72">
        <v>2</v>
      </c>
      <c r="CJ410" s="72">
        <v>2</v>
      </c>
      <c r="CK410" s="72">
        <v>2</v>
      </c>
      <c r="CL410" s="72">
        <v>1</v>
      </c>
      <c r="CM410" s="72">
        <v>1</v>
      </c>
      <c r="CN410" s="72">
        <v>1</v>
      </c>
      <c r="CO410" s="72">
        <v>1</v>
      </c>
      <c r="CP410" s="72">
        <v>1</v>
      </c>
      <c r="CQ410" s="72">
        <v>1</v>
      </c>
      <c r="CR410" s="72">
        <v>1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2</v>
      </c>
      <c r="CY410" s="72">
        <v>2</v>
      </c>
      <c r="CZ410" s="72">
        <v>2</v>
      </c>
      <c r="DA410" s="72">
        <v>2</v>
      </c>
      <c r="DB410" s="72">
        <v>2</v>
      </c>
      <c r="DC410" s="72">
        <v>2</v>
      </c>
      <c r="DD410" s="72">
        <v>2</v>
      </c>
      <c r="DE410" s="72">
        <v>2</v>
      </c>
      <c r="DF410" s="72">
        <v>2</v>
      </c>
    </row>
    <row r="411" spans="1:110" x14ac:dyDescent="0.35">
      <c r="A411" s="7"/>
      <c r="B411" s="8" t="s">
        <v>708</v>
      </c>
      <c r="C411" s="9" t="s">
        <v>709</v>
      </c>
      <c r="D411" s="10" t="s">
        <v>697</v>
      </c>
      <c r="E411" s="8" t="s">
        <v>1205</v>
      </c>
      <c r="F411" s="10">
        <v>1006</v>
      </c>
      <c r="G411" s="10" t="s">
        <v>40</v>
      </c>
      <c r="H411" s="10" t="s">
        <v>41</v>
      </c>
      <c r="I411" s="11">
        <v>23</v>
      </c>
      <c r="J411" s="10">
        <v>3</v>
      </c>
      <c r="K411" s="10" t="s">
        <v>42</v>
      </c>
      <c r="L411" s="8" t="s">
        <v>710</v>
      </c>
      <c r="M411" s="12">
        <v>30</v>
      </c>
      <c r="N411" s="12">
        <f t="shared" si="7"/>
        <v>120</v>
      </c>
      <c r="O411" s="11">
        <v>24</v>
      </c>
      <c r="P411" s="11">
        <v>24</v>
      </c>
      <c r="Q411" s="11">
        <v>24</v>
      </c>
      <c r="R411" s="11">
        <v>20</v>
      </c>
      <c r="S411" s="11">
        <v>20</v>
      </c>
      <c r="T411" s="11">
        <v>20</v>
      </c>
      <c r="U411" s="11">
        <v>20</v>
      </c>
      <c r="V411" s="11">
        <v>20</v>
      </c>
      <c r="W411" s="11">
        <v>23</v>
      </c>
      <c r="X411" s="11">
        <v>23</v>
      </c>
      <c r="Y411" s="11">
        <v>23</v>
      </c>
      <c r="Z411" s="11">
        <v>23</v>
      </c>
      <c r="AA411" s="11">
        <v>23</v>
      </c>
      <c r="AB411" s="11">
        <v>23</v>
      </c>
      <c r="AC411" s="11">
        <v>23</v>
      </c>
      <c r="AD411" s="11">
        <v>23</v>
      </c>
      <c r="AE411" s="11">
        <v>23</v>
      </c>
      <c r="AF411" s="11">
        <v>21</v>
      </c>
      <c r="AG411" s="11">
        <v>23</v>
      </c>
      <c r="AH411" s="11">
        <v>23</v>
      </c>
      <c r="AI411" s="11">
        <v>23</v>
      </c>
      <c r="AJ411" s="11">
        <v>23</v>
      </c>
      <c r="AK411" s="11">
        <v>23</v>
      </c>
      <c r="AL411" s="11">
        <v>23</v>
      </c>
      <c r="AM411" s="11">
        <v>23</v>
      </c>
      <c r="AN411" s="72">
        <v>19</v>
      </c>
      <c r="AO411" s="72">
        <v>23</v>
      </c>
      <c r="AP411" s="72">
        <v>23</v>
      </c>
      <c r="AQ411" s="72">
        <v>23</v>
      </c>
      <c r="AR411" s="72">
        <v>23</v>
      </c>
      <c r="AS411" s="72">
        <v>23</v>
      </c>
      <c r="AT411" s="72">
        <v>23</v>
      </c>
      <c r="AU411" s="72">
        <v>23</v>
      </c>
      <c r="AV411" s="72">
        <v>23</v>
      </c>
      <c r="AW411" s="72">
        <v>23</v>
      </c>
      <c r="AX411" s="72">
        <v>23</v>
      </c>
      <c r="AY411" s="72">
        <v>23</v>
      </c>
      <c r="AZ411" s="72">
        <v>21</v>
      </c>
      <c r="BA411" s="72">
        <v>21</v>
      </c>
      <c r="BB411" s="72">
        <v>5</v>
      </c>
      <c r="BC411" s="72">
        <v>5</v>
      </c>
      <c r="BD411" s="72">
        <v>5</v>
      </c>
      <c r="BE411" s="72">
        <v>4</v>
      </c>
      <c r="BF411" s="72">
        <v>4</v>
      </c>
      <c r="BG411" s="72">
        <v>4</v>
      </c>
      <c r="BH411" s="72">
        <v>2</v>
      </c>
      <c r="BI411" s="72">
        <v>2</v>
      </c>
      <c r="BJ411" s="72">
        <v>2</v>
      </c>
      <c r="BK411" s="72">
        <v>2</v>
      </c>
      <c r="BL411" s="72">
        <v>2</v>
      </c>
      <c r="BM411" s="72">
        <v>0</v>
      </c>
      <c r="BN411" s="72">
        <v>2</v>
      </c>
      <c r="BO411" s="72">
        <v>2</v>
      </c>
      <c r="BP411" s="72">
        <v>0</v>
      </c>
      <c r="BQ411" s="72">
        <v>0</v>
      </c>
      <c r="BR411" s="72">
        <v>1</v>
      </c>
      <c r="BS411" s="72">
        <v>1</v>
      </c>
      <c r="BT411" s="72">
        <v>1</v>
      </c>
      <c r="BU411" s="72">
        <v>1</v>
      </c>
      <c r="BV411" s="72">
        <v>1</v>
      </c>
      <c r="BW411" s="72">
        <v>1</v>
      </c>
      <c r="BX411" s="72">
        <v>1</v>
      </c>
      <c r="BY411" s="72">
        <v>1</v>
      </c>
      <c r="BZ411" s="72">
        <v>1</v>
      </c>
      <c r="CA411" s="72">
        <v>1</v>
      </c>
      <c r="CB411" s="72">
        <v>1</v>
      </c>
      <c r="CC411" s="72">
        <v>1</v>
      </c>
      <c r="CD411" s="72">
        <v>1</v>
      </c>
      <c r="CE411" s="72">
        <v>1</v>
      </c>
      <c r="CF411" s="72">
        <v>1</v>
      </c>
      <c r="CG411" s="72">
        <v>1</v>
      </c>
      <c r="CH411" s="72">
        <v>1</v>
      </c>
      <c r="CI411" s="72">
        <v>1</v>
      </c>
      <c r="CJ411" s="72">
        <v>1</v>
      </c>
      <c r="CK411" s="72">
        <v>1</v>
      </c>
      <c r="CL411" s="72">
        <v>1</v>
      </c>
      <c r="CM411" s="72">
        <v>1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4</v>
      </c>
      <c r="CX411" s="72">
        <v>4</v>
      </c>
      <c r="CY411" s="72">
        <v>4</v>
      </c>
      <c r="CZ411" s="72">
        <v>4</v>
      </c>
      <c r="DA411" s="72">
        <v>4</v>
      </c>
      <c r="DB411" s="72">
        <v>4</v>
      </c>
      <c r="DC411" s="72">
        <v>4</v>
      </c>
      <c r="DD411" s="72">
        <v>4</v>
      </c>
      <c r="DE411" s="72">
        <v>4</v>
      </c>
      <c r="DF411" s="72">
        <v>4</v>
      </c>
    </row>
    <row r="412" spans="1:110" x14ac:dyDescent="0.35">
      <c r="A412" s="7"/>
      <c r="B412" s="8" t="s">
        <v>711</v>
      </c>
      <c r="C412" s="9" t="s">
        <v>712</v>
      </c>
      <c r="D412" s="10" t="s">
        <v>697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1</v>
      </c>
      <c r="J412" s="10"/>
      <c r="K412" s="10"/>
      <c r="L412" s="8"/>
      <c r="M412" s="12">
        <v>149.16999999999999</v>
      </c>
      <c r="N412" s="12">
        <f t="shared" si="7"/>
        <v>0</v>
      </c>
      <c r="O412" s="11">
        <v>1</v>
      </c>
      <c r="P412" s="11">
        <v>1</v>
      </c>
      <c r="Q412" s="11">
        <v>1</v>
      </c>
      <c r="R412" s="11">
        <v>1</v>
      </c>
      <c r="S412" s="11">
        <v>1</v>
      </c>
      <c r="T412" s="11">
        <v>1</v>
      </c>
      <c r="U412" s="11">
        <v>1</v>
      </c>
      <c r="V412" s="11">
        <v>1</v>
      </c>
      <c r="W412" s="11">
        <v>1</v>
      </c>
      <c r="X412" s="11">
        <v>1</v>
      </c>
      <c r="Y412" s="11">
        <v>1</v>
      </c>
      <c r="Z412" s="11">
        <v>1</v>
      </c>
      <c r="AA412" s="11">
        <v>1</v>
      </c>
      <c r="AB412" s="11">
        <v>1</v>
      </c>
      <c r="AC412" s="11">
        <v>1</v>
      </c>
      <c r="AD412" s="11">
        <v>1</v>
      </c>
      <c r="AE412" s="11">
        <v>1</v>
      </c>
      <c r="AF412" s="11">
        <v>1</v>
      </c>
      <c r="AG412" s="11">
        <v>1</v>
      </c>
      <c r="AH412" s="11">
        <v>1</v>
      </c>
      <c r="AI412" s="11">
        <v>1</v>
      </c>
      <c r="AJ412" s="11">
        <v>1</v>
      </c>
      <c r="AK412" s="11">
        <v>1</v>
      </c>
      <c r="AL412" s="11">
        <v>1</v>
      </c>
      <c r="AM412" s="11">
        <v>1</v>
      </c>
      <c r="AN412" s="72">
        <v>1</v>
      </c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1</v>
      </c>
      <c r="BK412" s="72">
        <v>1</v>
      </c>
      <c r="BL412" s="72">
        <v>1</v>
      </c>
      <c r="BM412" s="72">
        <v>1</v>
      </c>
      <c r="BN412" s="72">
        <v>1</v>
      </c>
      <c r="BO412" s="72">
        <v>1</v>
      </c>
      <c r="BP412" s="72">
        <v>1</v>
      </c>
      <c r="BQ412" s="72">
        <v>1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</row>
    <row r="413" spans="1:110" x14ac:dyDescent="0.35">
      <c r="A413" s="7"/>
      <c r="B413" s="8" t="s">
        <v>713</v>
      </c>
      <c r="C413" s="9" t="s">
        <v>714</v>
      </c>
      <c r="D413" s="10" t="s">
        <v>697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17</v>
      </c>
      <c r="J413" s="10"/>
      <c r="K413" s="10"/>
      <c r="L413" s="8"/>
      <c r="M413" s="12"/>
      <c r="N413" s="12">
        <f t="shared" si="7"/>
        <v>0</v>
      </c>
      <c r="O413" s="11">
        <v>28</v>
      </c>
      <c r="P413" s="11">
        <v>28</v>
      </c>
      <c r="Q413" s="11">
        <v>28</v>
      </c>
      <c r="R413" s="11">
        <v>28</v>
      </c>
      <c r="S413" s="11">
        <v>28</v>
      </c>
      <c r="T413" s="11">
        <v>28</v>
      </c>
      <c r="U413" s="11">
        <v>28</v>
      </c>
      <c r="V413" s="11">
        <v>28</v>
      </c>
      <c r="W413" s="11">
        <v>28</v>
      </c>
      <c r="X413" s="11">
        <v>28</v>
      </c>
      <c r="Y413" s="11">
        <v>28</v>
      </c>
      <c r="Z413" s="11">
        <v>27</v>
      </c>
      <c r="AA413" s="11">
        <v>27</v>
      </c>
      <c r="AB413" s="11">
        <v>27</v>
      </c>
      <c r="AC413" s="11">
        <v>27</v>
      </c>
      <c r="AD413" s="11">
        <v>27</v>
      </c>
      <c r="AE413" s="11">
        <v>27</v>
      </c>
      <c r="AF413" s="11">
        <v>17</v>
      </c>
      <c r="AG413" s="11">
        <v>17</v>
      </c>
      <c r="AH413" s="11">
        <v>17</v>
      </c>
      <c r="AI413" s="11">
        <v>17</v>
      </c>
      <c r="AJ413" s="11">
        <v>17</v>
      </c>
      <c r="AK413" s="11">
        <v>17</v>
      </c>
      <c r="AL413" s="11">
        <v>17</v>
      </c>
      <c r="AM413" s="11">
        <v>17</v>
      </c>
      <c r="AN413" s="72">
        <v>17</v>
      </c>
      <c r="AO413" s="72">
        <v>17</v>
      </c>
      <c r="AP413" s="72">
        <v>17</v>
      </c>
      <c r="AQ413" s="72">
        <v>17</v>
      </c>
      <c r="AR413" s="72">
        <v>17</v>
      </c>
      <c r="AS413" s="72">
        <v>17</v>
      </c>
      <c r="AT413" s="72">
        <v>17</v>
      </c>
      <c r="AU413" s="72">
        <v>17</v>
      </c>
      <c r="AV413" s="72">
        <v>17</v>
      </c>
      <c r="AW413" s="72">
        <v>17</v>
      </c>
      <c r="AX413" s="72">
        <v>17</v>
      </c>
      <c r="AY413" s="72">
        <v>17</v>
      </c>
      <c r="AZ413" s="72">
        <v>17</v>
      </c>
      <c r="BA413" s="72">
        <v>17</v>
      </c>
      <c r="BB413" s="72">
        <v>17</v>
      </c>
      <c r="BC413" s="72">
        <v>17</v>
      </c>
      <c r="BD413" s="72">
        <v>17</v>
      </c>
      <c r="BE413" s="72">
        <v>17</v>
      </c>
      <c r="BF413" s="72">
        <v>17</v>
      </c>
      <c r="BG413" s="72">
        <v>17</v>
      </c>
      <c r="BH413" s="72">
        <v>17</v>
      </c>
      <c r="BI413" s="72">
        <v>17</v>
      </c>
      <c r="BJ413" s="72">
        <v>17</v>
      </c>
      <c r="BK413" s="72">
        <v>8</v>
      </c>
      <c r="BL413" s="72">
        <v>9</v>
      </c>
      <c r="BM413" s="72">
        <v>9</v>
      </c>
      <c r="BN413" s="72">
        <v>9</v>
      </c>
      <c r="BO413" s="72">
        <v>9</v>
      </c>
      <c r="BP413" s="72">
        <v>9</v>
      </c>
      <c r="BQ413" s="72">
        <v>3</v>
      </c>
      <c r="BR413" s="72">
        <v>2</v>
      </c>
      <c r="BS413" s="72">
        <v>0</v>
      </c>
      <c r="BT413" s="72">
        <v>1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</row>
    <row r="414" spans="1:110" x14ac:dyDescent="0.35">
      <c r="A414" s="7"/>
      <c r="B414" s="8" t="s">
        <v>1386</v>
      </c>
      <c r="C414" s="9" t="s">
        <v>714</v>
      </c>
      <c r="D414" s="10" t="s">
        <v>697</v>
      </c>
      <c r="E414" s="8" t="s">
        <v>1203</v>
      </c>
      <c r="F414" s="10"/>
      <c r="G414" s="10"/>
      <c r="H414" s="10" t="s">
        <v>41</v>
      </c>
      <c r="I414" s="11">
        <v>0</v>
      </c>
      <c r="J414" s="10"/>
      <c r="K414" s="10"/>
      <c r="L414" s="8"/>
      <c r="M414" s="12">
        <v>415</v>
      </c>
      <c r="N414" s="12">
        <f t="shared" si="7"/>
        <v>0</v>
      </c>
      <c r="O414" s="11">
        <v>0</v>
      </c>
      <c r="P414" s="11">
        <v>0</v>
      </c>
      <c r="Q414" s="11">
        <v>0</v>
      </c>
      <c r="R414" s="11">
        <v>0</v>
      </c>
      <c r="S414" s="11">
        <v>0</v>
      </c>
      <c r="T414" s="11">
        <v>0</v>
      </c>
      <c r="U414" s="11">
        <v>0</v>
      </c>
      <c r="V414" s="11">
        <v>0</v>
      </c>
      <c r="W414" s="11">
        <v>0</v>
      </c>
      <c r="X414" s="11">
        <v>0</v>
      </c>
      <c r="Y414" s="11">
        <v>0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0</v>
      </c>
    </row>
    <row r="415" spans="1:110" x14ac:dyDescent="0.35">
      <c r="A415" s="7"/>
      <c r="B415" s="8" t="s">
        <v>715</v>
      </c>
      <c r="C415" s="9" t="s">
        <v>716</v>
      </c>
      <c r="D415" s="10" t="s">
        <v>697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/>
      <c r="L415" s="8"/>
      <c r="M415" s="12">
        <v>625</v>
      </c>
      <c r="N415" s="12">
        <f t="shared" si="7"/>
        <v>0</v>
      </c>
      <c r="O415" s="11">
        <v>6</v>
      </c>
      <c r="P415" s="11">
        <v>6</v>
      </c>
      <c r="Q415" s="11">
        <v>6</v>
      </c>
      <c r="R415" s="11">
        <v>6</v>
      </c>
      <c r="S415" s="11">
        <v>6</v>
      </c>
      <c r="T415" s="11">
        <v>6</v>
      </c>
      <c r="U415" s="11">
        <v>6</v>
      </c>
      <c r="V415" s="11">
        <v>5</v>
      </c>
      <c r="W415" s="11">
        <v>5</v>
      </c>
      <c r="X415" s="11">
        <v>3</v>
      </c>
      <c r="Y415" s="11">
        <v>3</v>
      </c>
      <c r="Z415" s="11">
        <v>3</v>
      </c>
      <c r="AA415" s="11">
        <v>3</v>
      </c>
      <c r="AB415" s="11">
        <v>3</v>
      </c>
      <c r="AC415" s="11">
        <v>3</v>
      </c>
      <c r="AD415" s="11">
        <v>3</v>
      </c>
      <c r="AE415" s="11">
        <v>2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</row>
    <row r="416" spans="1:110" x14ac:dyDescent="0.35">
      <c r="A416" s="7"/>
      <c r="B416" s="77" t="s">
        <v>1309</v>
      </c>
      <c r="C416" s="9" t="s">
        <v>1311</v>
      </c>
      <c r="D416" s="10" t="s">
        <v>697</v>
      </c>
      <c r="E416" s="8" t="s">
        <v>1203</v>
      </c>
      <c r="F416" s="10"/>
      <c r="G416" s="10"/>
      <c r="H416" s="10" t="s">
        <v>41</v>
      </c>
      <c r="I416" s="11"/>
      <c r="J416" s="10"/>
      <c r="K416" s="10"/>
      <c r="L416" s="8"/>
      <c r="M416" s="12"/>
      <c r="N416" s="12">
        <f t="shared" si="7"/>
        <v>0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>
        <v>2</v>
      </c>
      <c r="BF416" s="72">
        <v>2</v>
      </c>
      <c r="BG416" s="72">
        <v>2</v>
      </c>
      <c r="BH416" s="72">
        <v>1</v>
      </c>
      <c r="BI416" s="72">
        <v>1</v>
      </c>
      <c r="BJ416" s="72">
        <v>1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</row>
    <row r="417" spans="1:110" x14ac:dyDescent="0.35">
      <c r="A417" s="7"/>
      <c r="B417" s="8" t="s">
        <v>717</v>
      </c>
      <c r="C417" s="9" t="s">
        <v>718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20</v>
      </c>
      <c r="J417" s="10"/>
      <c r="K417" s="10"/>
      <c r="L417" s="8"/>
      <c r="M417" s="12">
        <v>490</v>
      </c>
      <c r="N417" s="12">
        <f t="shared" si="7"/>
        <v>9800</v>
      </c>
      <c r="O417" s="11">
        <v>20</v>
      </c>
      <c r="P417" s="11">
        <v>20</v>
      </c>
      <c r="Q417" s="11">
        <v>20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20</v>
      </c>
      <c r="X417" s="11">
        <v>20</v>
      </c>
      <c r="Y417" s="11">
        <v>20</v>
      </c>
      <c r="Z417" s="11">
        <v>20</v>
      </c>
      <c r="AA417" s="11">
        <v>20</v>
      </c>
      <c r="AB417" s="11">
        <v>20</v>
      </c>
      <c r="AC417" s="11">
        <v>20</v>
      </c>
      <c r="AD417" s="11">
        <v>20</v>
      </c>
      <c r="AE417" s="11">
        <v>20</v>
      </c>
      <c r="AF417" s="11">
        <v>20</v>
      </c>
      <c r="AG417" s="11">
        <v>20</v>
      </c>
      <c r="AH417" s="11">
        <v>20</v>
      </c>
      <c r="AI417" s="11">
        <v>20</v>
      </c>
      <c r="AJ417" s="11">
        <v>20</v>
      </c>
      <c r="AK417" s="11">
        <v>20</v>
      </c>
      <c r="AL417" s="11">
        <v>20</v>
      </c>
      <c r="AM417" s="11">
        <v>20</v>
      </c>
      <c r="AN417" s="72">
        <v>20</v>
      </c>
      <c r="AO417" s="72">
        <v>20</v>
      </c>
      <c r="AP417" s="72">
        <v>20</v>
      </c>
      <c r="AQ417" s="72">
        <v>20</v>
      </c>
      <c r="AR417" s="72">
        <v>20</v>
      </c>
      <c r="AS417" s="72">
        <v>20</v>
      </c>
      <c r="AT417" s="72">
        <v>20</v>
      </c>
      <c r="AU417" s="72">
        <v>20</v>
      </c>
      <c r="AV417" s="72">
        <v>20</v>
      </c>
      <c r="AW417" s="72">
        <v>20</v>
      </c>
      <c r="AX417" s="72">
        <v>20</v>
      </c>
      <c r="AY417" s="72">
        <v>20</v>
      </c>
      <c r="AZ417" s="72">
        <v>20</v>
      </c>
      <c r="BA417" s="72">
        <v>20</v>
      </c>
      <c r="BB417" s="72">
        <v>20</v>
      </c>
      <c r="BC417" s="72">
        <v>20</v>
      </c>
      <c r="BD417" s="72">
        <v>20</v>
      </c>
      <c r="BE417" s="72">
        <v>20</v>
      </c>
      <c r="BF417" s="72">
        <v>20</v>
      </c>
      <c r="BG417" s="72">
        <v>20</v>
      </c>
      <c r="BH417" s="72">
        <v>20</v>
      </c>
      <c r="BI417" s="72">
        <v>20</v>
      </c>
      <c r="BJ417" s="72">
        <v>20</v>
      </c>
      <c r="BK417" s="72">
        <v>20</v>
      </c>
      <c r="BL417" s="72">
        <v>20</v>
      </c>
      <c r="BM417" s="72">
        <v>20</v>
      </c>
      <c r="BN417" s="72">
        <v>20</v>
      </c>
      <c r="BO417" s="72">
        <v>20</v>
      </c>
      <c r="BP417" s="72">
        <v>20</v>
      </c>
      <c r="BQ417" s="72">
        <v>20</v>
      </c>
      <c r="BR417" s="72">
        <v>20</v>
      </c>
      <c r="BS417" s="72">
        <v>20</v>
      </c>
      <c r="BT417" s="72">
        <v>20</v>
      </c>
      <c r="BU417" s="72">
        <v>20</v>
      </c>
      <c r="BV417" s="72">
        <v>20</v>
      </c>
      <c r="BW417" s="72">
        <v>20</v>
      </c>
      <c r="BX417" s="72">
        <v>20</v>
      </c>
      <c r="BY417" s="72">
        <v>20</v>
      </c>
      <c r="BZ417" s="72">
        <v>20</v>
      </c>
      <c r="CA417" s="72">
        <v>20</v>
      </c>
      <c r="CB417" s="72">
        <v>20</v>
      </c>
      <c r="CC417" s="72">
        <v>20</v>
      </c>
      <c r="CD417" s="72">
        <v>20</v>
      </c>
      <c r="CE417" s="72">
        <v>20</v>
      </c>
      <c r="CF417" s="72">
        <v>20</v>
      </c>
      <c r="CG417" s="72">
        <v>20</v>
      </c>
      <c r="CH417" s="72">
        <v>20</v>
      </c>
      <c r="CI417" s="72">
        <v>20</v>
      </c>
      <c r="CJ417" s="72">
        <v>20</v>
      </c>
      <c r="CK417" s="72">
        <v>20</v>
      </c>
      <c r="CL417" s="72">
        <v>20</v>
      </c>
      <c r="CM417" s="72">
        <v>20</v>
      </c>
      <c r="CN417" s="72">
        <v>20</v>
      </c>
      <c r="CO417" s="72">
        <v>20</v>
      </c>
      <c r="CP417" s="72">
        <v>20</v>
      </c>
      <c r="CQ417" s="72">
        <v>20</v>
      </c>
      <c r="CR417" s="72">
        <v>20</v>
      </c>
      <c r="CS417" s="72">
        <v>20</v>
      </c>
      <c r="CT417" s="72">
        <v>20</v>
      </c>
      <c r="CU417" s="72">
        <v>20</v>
      </c>
      <c r="CV417" s="72">
        <v>20</v>
      </c>
      <c r="CW417" s="72">
        <v>20</v>
      </c>
      <c r="CX417" s="72">
        <v>20</v>
      </c>
      <c r="CY417" s="72">
        <v>20</v>
      </c>
      <c r="CZ417" s="72">
        <v>20</v>
      </c>
      <c r="DA417" s="72">
        <v>20</v>
      </c>
      <c r="DB417" s="72">
        <v>20</v>
      </c>
      <c r="DC417" s="72">
        <v>20</v>
      </c>
      <c r="DD417" s="72">
        <v>20</v>
      </c>
      <c r="DE417" s="72">
        <v>20</v>
      </c>
      <c r="DF417" s="72">
        <v>20</v>
      </c>
    </row>
    <row r="418" spans="1:110" x14ac:dyDescent="0.35">
      <c r="A418" s="7"/>
      <c r="B418" s="8" t="s">
        <v>719</v>
      </c>
      <c r="C418" s="9" t="s">
        <v>720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</v>
      </c>
      <c r="J418" s="10"/>
      <c r="K418" s="10" t="s">
        <v>42</v>
      </c>
      <c r="L418" s="8" t="s">
        <v>721</v>
      </c>
      <c r="M418" s="12">
        <v>184</v>
      </c>
      <c r="N418" s="12">
        <f t="shared" si="7"/>
        <v>0</v>
      </c>
      <c r="O418" s="11">
        <v>2</v>
      </c>
      <c r="P418" s="11">
        <v>2</v>
      </c>
      <c r="Q418" s="11">
        <v>2</v>
      </c>
      <c r="R418" s="11">
        <v>2</v>
      </c>
      <c r="S418" s="11">
        <v>2</v>
      </c>
      <c r="T418" s="11">
        <v>2</v>
      </c>
      <c r="U418" s="11">
        <v>2</v>
      </c>
      <c r="V418" s="11">
        <v>2</v>
      </c>
      <c r="W418" s="11">
        <v>2</v>
      </c>
      <c r="X418" s="11">
        <v>2</v>
      </c>
      <c r="Y418" s="11">
        <v>2</v>
      </c>
      <c r="Z418" s="11">
        <v>2</v>
      </c>
      <c r="AA418" s="11">
        <v>2</v>
      </c>
      <c r="AB418" s="11">
        <v>2</v>
      </c>
      <c r="AC418" s="11">
        <v>2</v>
      </c>
      <c r="AD418" s="11">
        <v>2</v>
      </c>
      <c r="AE418" s="11">
        <v>2</v>
      </c>
      <c r="AF418" s="11">
        <v>2</v>
      </c>
      <c r="AG418" s="11">
        <v>2</v>
      </c>
      <c r="AH418" s="11">
        <v>2</v>
      </c>
      <c r="AI418" s="11">
        <v>2</v>
      </c>
      <c r="AJ418" s="11">
        <v>2</v>
      </c>
      <c r="AK418" s="11">
        <v>2</v>
      </c>
      <c r="AL418" s="11">
        <v>2</v>
      </c>
      <c r="AM418" s="11">
        <v>2</v>
      </c>
      <c r="AN418" s="72">
        <v>2</v>
      </c>
      <c r="AO418" s="72">
        <v>2</v>
      </c>
      <c r="AP418" s="72">
        <v>2</v>
      </c>
      <c r="AQ418" s="72">
        <v>2</v>
      </c>
      <c r="AR418" s="72">
        <v>2</v>
      </c>
      <c r="AS418" s="72">
        <v>2</v>
      </c>
      <c r="AT418" s="72">
        <v>2</v>
      </c>
      <c r="AU418" s="72">
        <v>2</v>
      </c>
      <c r="AV418" s="72">
        <v>2</v>
      </c>
      <c r="AW418" s="72">
        <v>2</v>
      </c>
      <c r="AX418" s="72">
        <v>2</v>
      </c>
      <c r="AY418" s="72">
        <v>2</v>
      </c>
      <c r="AZ418" s="72">
        <v>2</v>
      </c>
      <c r="BA418" s="72">
        <v>2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</row>
    <row r="419" spans="1:110" x14ac:dyDescent="0.35">
      <c r="A419" s="7"/>
      <c r="B419" s="8" t="s">
        <v>722</v>
      </c>
      <c r="C419" s="9" t="s">
        <v>723</v>
      </c>
      <c r="D419" s="10" t="s">
        <v>697</v>
      </c>
      <c r="E419" s="8" t="s">
        <v>1205</v>
      </c>
      <c r="F419" s="10">
        <v>1006</v>
      </c>
      <c r="G419" s="10" t="s">
        <v>40</v>
      </c>
      <c r="H419" s="10" t="s">
        <v>41</v>
      </c>
      <c r="I419" s="11">
        <v>8</v>
      </c>
      <c r="J419" s="10"/>
      <c r="K419" s="10" t="s">
        <v>42</v>
      </c>
      <c r="L419" s="8"/>
      <c r="M419" s="12">
        <v>227</v>
      </c>
      <c r="N419" s="12">
        <f t="shared" si="7"/>
        <v>1135</v>
      </c>
      <c r="O419" s="11">
        <v>8</v>
      </c>
      <c r="P419" s="11">
        <v>8</v>
      </c>
      <c r="Q419" s="11">
        <v>8</v>
      </c>
      <c r="R419" s="11">
        <v>8</v>
      </c>
      <c r="S419" s="11">
        <v>8</v>
      </c>
      <c r="T419" s="11">
        <v>8</v>
      </c>
      <c r="U419" s="11">
        <v>8</v>
      </c>
      <c r="V419" s="11">
        <v>8</v>
      </c>
      <c r="W419" s="11">
        <v>8</v>
      </c>
      <c r="X419" s="11">
        <v>8</v>
      </c>
      <c r="Y419" s="11">
        <v>8</v>
      </c>
      <c r="Z419" s="11">
        <v>8</v>
      </c>
      <c r="AA419" s="11">
        <v>8</v>
      </c>
      <c r="AB419" s="11">
        <v>8</v>
      </c>
      <c r="AC419" s="11">
        <v>8</v>
      </c>
      <c r="AD419" s="11">
        <v>8</v>
      </c>
      <c r="AE419" s="11">
        <v>8</v>
      </c>
      <c r="AF419" s="11">
        <v>8</v>
      </c>
      <c r="AG419" s="11">
        <v>8</v>
      </c>
      <c r="AH419" s="11">
        <v>8</v>
      </c>
      <c r="AI419" s="11">
        <v>8</v>
      </c>
      <c r="AJ419" s="11">
        <v>8</v>
      </c>
      <c r="AK419" s="11">
        <v>8</v>
      </c>
      <c r="AL419" s="11">
        <v>8</v>
      </c>
      <c r="AM419" s="11">
        <v>8</v>
      </c>
      <c r="AN419" s="72">
        <v>8</v>
      </c>
      <c r="AO419" s="72">
        <v>8</v>
      </c>
      <c r="AP419" s="72">
        <v>8</v>
      </c>
      <c r="AQ419" s="72">
        <v>8</v>
      </c>
      <c r="AR419" s="72">
        <v>8</v>
      </c>
      <c r="AS419" s="72">
        <v>8</v>
      </c>
      <c r="AT419" s="72">
        <v>7</v>
      </c>
      <c r="AU419" s="72">
        <v>7</v>
      </c>
      <c r="AV419" s="72">
        <v>7</v>
      </c>
      <c r="AW419" s="72">
        <v>7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  <c r="DF419" s="72">
        <v>5</v>
      </c>
    </row>
    <row r="420" spans="1:110" x14ac:dyDescent="0.35">
      <c r="A420" s="7"/>
      <c r="B420" s="8" t="s">
        <v>724</v>
      </c>
      <c r="C420" s="9" t="s">
        <v>725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3</v>
      </c>
      <c r="J420" s="10"/>
      <c r="K420" s="10"/>
      <c r="L420" s="8"/>
      <c r="M420" s="12">
        <v>400</v>
      </c>
      <c r="N420" s="12">
        <f t="shared" si="7"/>
        <v>1200</v>
      </c>
      <c r="O420" s="11">
        <v>3</v>
      </c>
      <c r="P420" s="11">
        <v>3</v>
      </c>
      <c r="Q420" s="11">
        <v>3</v>
      </c>
      <c r="R420" s="11">
        <v>3</v>
      </c>
      <c r="S420" s="11">
        <v>3</v>
      </c>
      <c r="T420" s="11">
        <v>3</v>
      </c>
      <c r="U420" s="11">
        <v>3</v>
      </c>
      <c r="V420" s="11">
        <v>3</v>
      </c>
      <c r="W420" s="11">
        <v>3</v>
      </c>
      <c r="X420" s="11">
        <v>3</v>
      </c>
      <c r="Y420" s="11">
        <v>3</v>
      </c>
      <c r="Z420" s="11">
        <v>3</v>
      </c>
      <c r="AA420" s="11">
        <v>3</v>
      </c>
      <c r="AB420" s="11">
        <v>3</v>
      </c>
      <c r="AC420" s="11">
        <v>3</v>
      </c>
      <c r="AD420" s="11">
        <v>3</v>
      </c>
      <c r="AE420" s="11">
        <v>3</v>
      </c>
      <c r="AF420" s="11">
        <v>3</v>
      </c>
      <c r="AG420" s="11">
        <v>3</v>
      </c>
      <c r="AH420" s="11">
        <v>3</v>
      </c>
      <c r="AI420" s="11">
        <v>3</v>
      </c>
      <c r="AJ420" s="11">
        <v>3</v>
      </c>
      <c r="AK420" s="11">
        <v>3</v>
      </c>
      <c r="AL420" s="11">
        <v>3</v>
      </c>
      <c r="AM420" s="11">
        <v>3</v>
      </c>
      <c r="AN420" s="72">
        <v>3</v>
      </c>
      <c r="AO420" s="72">
        <v>3</v>
      </c>
      <c r="AP420" s="72">
        <v>3</v>
      </c>
      <c r="AQ420" s="72">
        <v>3</v>
      </c>
      <c r="AR420" s="72">
        <v>3</v>
      </c>
      <c r="AS420" s="72">
        <v>3</v>
      </c>
      <c r="AT420" s="72">
        <v>3</v>
      </c>
      <c r="AU420" s="72">
        <v>3</v>
      </c>
      <c r="AV420" s="72">
        <v>3</v>
      </c>
      <c r="AW420" s="72">
        <v>3</v>
      </c>
      <c r="AX420" s="72">
        <v>3</v>
      </c>
      <c r="AY420" s="72">
        <v>3</v>
      </c>
      <c r="AZ420" s="72">
        <v>3</v>
      </c>
      <c r="BA420" s="72">
        <v>3</v>
      </c>
      <c r="BB420" s="72">
        <v>3</v>
      </c>
      <c r="BC420" s="72">
        <v>3</v>
      </c>
      <c r="BD420" s="72">
        <v>3</v>
      </c>
      <c r="BE420" s="72">
        <v>3</v>
      </c>
      <c r="BF420" s="72">
        <v>3</v>
      </c>
      <c r="BG420" s="72">
        <v>3</v>
      </c>
      <c r="BH420" s="72">
        <v>3</v>
      </c>
      <c r="BI420" s="72">
        <v>3</v>
      </c>
      <c r="BJ420" s="72">
        <v>3</v>
      </c>
      <c r="BK420" s="72">
        <v>3</v>
      </c>
      <c r="BL420" s="72">
        <v>3</v>
      </c>
      <c r="BM420" s="72">
        <v>3</v>
      </c>
      <c r="BN420" s="72">
        <v>3</v>
      </c>
      <c r="BO420" s="72">
        <v>3</v>
      </c>
      <c r="BP420" s="72">
        <v>3</v>
      </c>
      <c r="BQ420" s="72">
        <v>3</v>
      </c>
      <c r="BR420" s="72">
        <v>3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  <c r="DF420" s="72">
        <v>3</v>
      </c>
    </row>
    <row r="421" spans="1:110" x14ac:dyDescent="0.35">
      <c r="A421" s="7"/>
      <c r="B421" s="8" t="s">
        <v>726</v>
      </c>
      <c r="C421" s="35" t="s">
        <v>727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4</v>
      </c>
      <c r="J421" s="10"/>
      <c r="K421" s="10"/>
      <c r="L421" s="8"/>
      <c r="M421" s="12">
        <v>883</v>
      </c>
      <c r="N421" s="12">
        <f t="shared" si="7"/>
        <v>3532</v>
      </c>
      <c r="O421" s="11">
        <v>5</v>
      </c>
      <c r="P421" s="11">
        <v>4</v>
      </c>
      <c r="Q421" s="11">
        <v>4</v>
      </c>
      <c r="R421" s="11">
        <v>4</v>
      </c>
      <c r="S421" s="11">
        <v>4</v>
      </c>
      <c r="T421" s="11">
        <v>4</v>
      </c>
      <c r="U421" s="11">
        <v>4</v>
      </c>
      <c r="V421" s="11">
        <v>4</v>
      </c>
      <c r="W421" s="11">
        <v>4</v>
      </c>
      <c r="X421" s="11">
        <v>4</v>
      </c>
      <c r="Y421" s="11">
        <v>4</v>
      </c>
      <c r="Z421" s="11">
        <v>4</v>
      </c>
      <c r="AA421" s="11">
        <v>4</v>
      </c>
      <c r="AB421" s="11">
        <v>4</v>
      </c>
      <c r="AC421" s="11">
        <v>4</v>
      </c>
      <c r="AD421" s="11">
        <v>4</v>
      </c>
      <c r="AE421" s="11">
        <v>4</v>
      </c>
      <c r="AF421" s="11">
        <v>4</v>
      </c>
      <c r="AG421" s="11">
        <v>4</v>
      </c>
      <c r="AH421" s="11">
        <v>4</v>
      </c>
      <c r="AI421" s="11">
        <v>4</v>
      </c>
      <c r="AJ421" s="11">
        <v>4</v>
      </c>
      <c r="AK421" s="11">
        <v>4</v>
      </c>
      <c r="AL421" s="11">
        <v>4</v>
      </c>
      <c r="AM421" s="11">
        <v>4</v>
      </c>
      <c r="AN421" s="72">
        <v>4</v>
      </c>
      <c r="AO421" s="72">
        <v>4</v>
      </c>
      <c r="AP421" s="72">
        <v>4</v>
      </c>
      <c r="AQ421" s="72">
        <v>4</v>
      </c>
      <c r="AR421" s="72">
        <v>4</v>
      </c>
      <c r="AS421" s="72">
        <v>4</v>
      </c>
      <c r="AT421" s="72">
        <v>4</v>
      </c>
      <c r="AU421" s="72">
        <v>4</v>
      </c>
      <c r="AV421" s="72">
        <v>4</v>
      </c>
      <c r="AW421" s="72">
        <v>4</v>
      </c>
      <c r="AX421" s="72">
        <v>4</v>
      </c>
      <c r="AY421" s="72">
        <v>4</v>
      </c>
      <c r="AZ421" s="72">
        <v>4</v>
      </c>
      <c r="BA421" s="72">
        <v>4</v>
      </c>
      <c r="BB421" s="72">
        <v>4</v>
      </c>
      <c r="BC421" s="72">
        <v>4</v>
      </c>
      <c r="BD421" s="72">
        <v>4</v>
      </c>
      <c r="BE421" s="72">
        <v>4</v>
      </c>
      <c r="BF421" s="72">
        <v>4</v>
      </c>
      <c r="BG421" s="72">
        <v>4</v>
      </c>
      <c r="BH421" s="72">
        <v>4</v>
      </c>
      <c r="BI421" s="72">
        <v>4</v>
      </c>
      <c r="BJ421" s="72">
        <v>4</v>
      </c>
      <c r="BK421" s="72">
        <v>4</v>
      </c>
      <c r="BL421" s="72">
        <v>4</v>
      </c>
      <c r="BM421" s="72">
        <v>4</v>
      </c>
      <c r="BN421" s="72">
        <v>4</v>
      </c>
      <c r="BO421" s="72">
        <v>4</v>
      </c>
      <c r="BP421" s="72">
        <v>4</v>
      </c>
      <c r="BQ421" s="72">
        <v>4</v>
      </c>
      <c r="BR421" s="72">
        <v>4</v>
      </c>
      <c r="BS421" s="72">
        <v>4</v>
      </c>
      <c r="BT421" s="72">
        <v>4</v>
      </c>
      <c r="BU421" s="72">
        <v>4</v>
      </c>
      <c r="BV421" s="72">
        <v>4</v>
      </c>
      <c r="BW421" s="72">
        <v>4</v>
      </c>
      <c r="BX421" s="72">
        <v>4</v>
      </c>
      <c r="BY421" s="72">
        <v>4</v>
      </c>
      <c r="BZ421" s="72">
        <v>4</v>
      </c>
      <c r="CA421" s="72">
        <v>4</v>
      </c>
      <c r="CB421" s="72">
        <v>4</v>
      </c>
      <c r="CC421" s="72">
        <v>4</v>
      </c>
      <c r="CD421" s="72">
        <v>4</v>
      </c>
      <c r="CE421" s="72">
        <v>4</v>
      </c>
      <c r="CF421" s="72">
        <v>4</v>
      </c>
      <c r="CG421" s="72">
        <v>4</v>
      </c>
      <c r="CH421" s="72">
        <v>4</v>
      </c>
      <c r="CI421" s="72">
        <v>4</v>
      </c>
      <c r="CJ421" s="72">
        <v>4</v>
      </c>
      <c r="CK421" s="72">
        <v>4</v>
      </c>
      <c r="CL421" s="72">
        <v>4</v>
      </c>
      <c r="CM421" s="72">
        <v>4</v>
      </c>
      <c r="CN421" s="72">
        <v>4</v>
      </c>
      <c r="CO421" s="72">
        <v>4</v>
      </c>
      <c r="CP421" s="72">
        <v>4</v>
      </c>
      <c r="CQ421" s="72">
        <v>4</v>
      </c>
      <c r="CR421" s="72">
        <v>4</v>
      </c>
      <c r="CS421" s="72">
        <v>4</v>
      </c>
      <c r="CT421" s="72">
        <v>4</v>
      </c>
      <c r="CU421" s="72">
        <v>4</v>
      </c>
      <c r="CV421" s="72">
        <v>4</v>
      </c>
      <c r="CW421" s="72">
        <v>4</v>
      </c>
      <c r="CX421" s="72">
        <v>4</v>
      </c>
      <c r="CY421" s="72">
        <v>4</v>
      </c>
      <c r="CZ421" s="72">
        <v>4</v>
      </c>
      <c r="DA421" s="72">
        <v>4</v>
      </c>
      <c r="DB421" s="72">
        <v>4</v>
      </c>
      <c r="DC421" s="72">
        <v>4</v>
      </c>
      <c r="DD421" s="72">
        <v>4</v>
      </c>
      <c r="DE421" s="72">
        <v>4</v>
      </c>
      <c r="DF421" s="72">
        <v>4</v>
      </c>
    </row>
    <row r="422" spans="1:110" x14ac:dyDescent="0.35">
      <c r="A422" s="7"/>
      <c r="B422" s="14" t="s">
        <v>728</v>
      </c>
      <c r="C422" s="9" t="s">
        <v>729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11</v>
      </c>
      <c r="J422" s="10"/>
      <c r="K422" s="10" t="s">
        <v>42</v>
      </c>
      <c r="L422" s="8"/>
      <c r="M422" s="12">
        <v>805</v>
      </c>
      <c r="N422" s="12">
        <f t="shared" si="7"/>
        <v>7245</v>
      </c>
      <c r="O422" s="11">
        <v>11</v>
      </c>
      <c r="P422" s="11">
        <v>11</v>
      </c>
      <c r="Q422" s="11">
        <v>11</v>
      </c>
      <c r="R422" s="11">
        <v>11</v>
      </c>
      <c r="S422" s="11">
        <v>11</v>
      </c>
      <c r="T422" s="11">
        <v>11</v>
      </c>
      <c r="U422" s="11">
        <v>11</v>
      </c>
      <c r="V422" s="11">
        <v>11</v>
      </c>
      <c r="W422" s="11">
        <v>11</v>
      </c>
      <c r="X422" s="11">
        <v>11</v>
      </c>
      <c r="Y422" s="11">
        <v>11</v>
      </c>
      <c r="Z422" s="11">
        <v>11</v>
      </c>
      <c r="AA422" s="11">
        <v>11</v>
      </c>
      <c r="AB422" s="11">
        <v>11</v>
      </c>
      <c r="AC422" s="11">
        <v>11</v>
      </c>
      <c r="AD422" s="11">
        <v>11</v>
      </c>
      <c r="AE422" s="11">
        <v>11</v>
      </c>
      <c r="AF422" s="11">
        <v>11</v>
      </c>
      <c r="AG422" s="11">
        <v>11</v>
      </c>
      <c r="AH422" s="11">
        <v>11</v>
      </c>
      <c r="AI422" s="11">
        <v>11</v>
      </c>
      <c r="AJ422" s="11">
        <v>11</v>
      </c>
      <c r="AK422" s="11">
        <v>11</v>
      </c>
      <c r="AL422" s="11">
        <v>11</v>
      </c>
      <c r="AM422" s="11">
        <v>11</v>
      </c>
      <c r="AN422" s="72">
        <v>11</v>
      </c>
      <c r="AO422" s="72">
        <v>11</v>
      </c>
      <c r="AP422" s="72">
        <v>11</v>
      </c>
      <c r="AQ422" s="72">
        <v>11</v>
      </c>
      <c r="AR422" s="72">
        <v>11</v>
      </c>
      <c r="AS422" s="72">
        <v>11</v>
      </c>
      <c r="AT422" s="72">
        <v>11</v>
      </c>
      <c r="AU422" s="72">
        <v>11</v>
      </c>
      <c r="AV422" s="72">
        <v>11</v>
      </c>
      <c r="AW422" s="72">
        <v>11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9</v>
      </c>
      <c r="BI422" s="72">
        <v>9</v>
      </c>
      <c r="BJ422" s="72">
        <v>9</v>
      </c>
      <c r="BK422" s="72">
        <v>9</v>
      </c>
      <c r="BL422" s="72">
        <v>9</v>
      </c>
      <c r="BM422" s="72">
        <v>9</v>
      </c>
      <c r="BN422" s="72">
        <v>9</v>
      </c>
      <c r="BO422" s="72">
        <v>9</v>
      </c>
      <c r="BP422" s="72">
        <v>9</v>
      </c>
      <c r="BQ422" s="72">
        <v>9</v>
      </c>
      <c r="BR422" s="72">
        <v>9</v>
      </c>
      <c r="BS422" s="72">
        <v>9</v>
      </c>
      <c r="BT422" s="72">
        <v>9</v>
      </c>
      <c r="BU422" s="72">
        <v>9</v>
      </c>
      <c r="BV422" s="72">
        <v>9</v>
      </c>
      <c r="BW422" s="72">
        <v>9</v>
      </c>
      <c r="BX422" s="72">
        <v>9</v>
      </c>
      <c r="BY422" s="72">
        <v>9</v>
      </c>
      <c r="BZ422" s="72">
        <v>9</v>
      </c>
      <c r="CA422" s="72">
        <v>9</v>
      </c>
      <c r="CB422" s="72">
        <v>9</v>
      </c>
      <c r="CC422" s="72">
        <v>9</v>
      </c>
      <c r="CD422" s="72">
        <v>9</v>
      </c>
      <c r="CE422" s="72">
        <v>9</v>
      </c>
      <c r="CF422" s="72">
        <v>9</v>
      </c>
      <c r="CG422" s="72">
        <v>9</v>
      </c>
      <c r="CH422" s="72">
        <v>9</v>
      </c>
      <c r="CI422" s="72">
        <v>9</v>
      </c>
      <c r="CJ422" s="72">
        <v>9</v>
      </c>
      <c r="CK422" s="72">
        <v>9</v>
      </c>
      <c r="CL422" s="72">
        <v>9</v>
      </c>
      <c r="CM422" s="72">
        <v>9</v>
      </c>
      <c r="CN422" s="72">
        <v>9</v>
      </c>
      <c r="CO422" s="72">
        <v>9</v>
      </c>
      <c r="CP422" s="72">
        <v>9</v>
      </c>
      <c r="CQ422" s="72">
        <v>9</v>
      </c>
      <c r="CR422" s="72">
        <v>9</v>
      </c>
      <c r="CS422" s="72">
        <v>9</v>
      </c>
      <c r="CT422" s="72">
        <v>9</v>
      </c>
      <c r="CU422" s="72">
        <v>9</v>
      </c>
      <c r="CV422" s="72">
        <v>9</v>
      </c>
      <c r="CW422" s="72">
        <v>9</v>
      </c>
      <c r="CX422" s="72">
        <v>9</v>
      </c>
      <c r="CY422" s="72">
        <v>9</v>
      </c>
      <c r="CZ422" s="72">
        <v>9</v>
      </c>
      <c r="DA422" s="72">
        <v>9</v>
      </c>
      <c r="DB422" s="72">
        <v>9</v>
      </c>
      <c r="DC422" s="72">
        <v>9</v>
      </c>
      <c r="DD422" s="72">
        <v>9</v>
      </c>
      <c r="DE422" s="72">
        <v>9</v>
      </c>
      <c r="DF422" s="72">
        <v>9</v>
      </c>
    </row>
    <row r="423" spans="1:110" x14ac:dyDescent="0.35">
      <c r="A423" s="7"/>
      <c r="B423" s="8" t="s">
        <v>730</v>
      </c>
      <c r="C423" s="9" t="s">
        <v>731</v>
      </c>
      <c r="D423" s="10" t="s">
        <v>697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12</v>
      </c>
      <c r="J423" s="10"/>
      <c r="K423" s="10" t="s">
        <v>42</v>
      </c>
      <c r="L423" s="8"/>
      <c r="M423" s="12">
        <v>1108</v>
      </c>
      <c r="N423" s="12">
        <f t="shared" si="7"/>
        <v>12188</v>
      </c>
      <c r="O423" s="11">
        <v>12</v>
      </c>
      <c r="P423" s="11">
        <v>12</v>
      </c>
      <c r="Q423" s="11">
        <v>12</v>
      </c>
      <c r="R423" s="11">
        <v>12</v>
      </c>
      <c r="S423" s="11">
        <v>12</v>
      </c>
      <c r="T423" s="11">
        <v>12</v>
      </c>
      <c r="U423" s="11">
        <v>12</v>
      </c>
      <c r="V423" s="11">
        <v>12</v>
      </c>
      <c r="W423" s="11">
        <v>12</v>
      </c>
      <c r="X423" s="11">
        <v>12</v>
      </c>
      <c r="Y423" s="11">
        <v>12</v>
      </c>
      <c r="Z423" s="11">
        <v>12</v>
      </c>
      <c r="AA423" s="11">
        <v>12</v>
      </c>
      <c r="AB423" s="11">
        <v>12</v>
      </c>
      <c r="AC423" s="11">
        <v>12</v>
      </c>
      <c r="AD423" s="11">
        <v>12</v>
      </c>
      <c r="AE423" s="11">
        <v>12</v>
      </c>
      <c r="AF423" s="11">
        <v>12</v>
      </c>
      <c r="AG423" s="11">
        <v>12</v>
      </c>
      <c r="AH423" s="11">
        <v>12</v>
      </c>
      <c r="AI423" s="11">
        <v>12</v>
      </c>
      <c r="AJ423" s="11">
        <v>12</v>
      </c>
      <c r="AK423" s="11">
        <v>12</v>
      </c>
      <c r="AL423" s="11">
        <v>12</v>
      </c>
      <c r="AM423" s="11">
        <v>12</v>
      </c>
      <c r="AN423" s="72">
        <v>12</v>
      </c>
      <c r="AO423" s="72">
        <v>12</v>
      </c>
      <c r="AP423" s="72">
        <v>12</v>
      </c>
      <c r="AQ423" s="72">
        <v>12</v>
      </c>
      <c r="AR423" s="72">
        <v>12</v>
      </c>
      <c r="AS423" s="72">
        <v>12</v>
      </c>
      <c r="AT423" s="72">
        <v>11</v>
      </c>
      <c r="AU423" s="72">
        <v>11</v>
      </c>
      <c r="AV423" s="72">
        <v>11</v>
      </c>
      <c r="AW423" s="72">
        <v>11</v>
      </c>
      <c r="AX423" s="72">
        <v>11</v>
      </c>
      <c r="AY423" s="72">
        <v>11</v>
      </c>
      <c r="AZ423" s="72">
        <v>11</v>
      </c>
      <c r="BA423" s="72">
        <v>11</v>
      </c>
      <c r="BB423" s="72">
        <v>11</v>
      </c>
      <c r="BC423" s="72">
        <v>11</v>
      </c>
      <c r="BD423" s="72">
        <v>11</v>
      </c>
      <c r="BE423" s="72">
        <v>11</v>
      </c>
      <c r="BF423" s="72">
        <v>11</v>
      </c>
      <c r="BG423" s="72">
        <v>11</v>
      </c>
      <c r="BH423" s="72">
        <v>11</v>
      </c>
      <c r="BI423" s="72">
        <v>11</v>
      </c>
      <c r="BJ423" s="72">
        <v>11</v>
      </c>
      <c r="BK423" s="72">
        <v>11</v>
      </c>
      <c r="BL423" s="72">
        <v>11</v>
      </c>
      <c r="BM423" s="72">
        <v>11</v>
      </c>
      <c r="BN423" s="72">
        <v>11</v>
      </c>
      <c r="BO423" s="72">
        <v>11</v>
      </c>
      <c r="BP423" s="72">
        <v>11</v>
      </c>
      <c r="BQ423" s="72">
        <v>11</v>
      </c>
      <c r="BR423" s="72">
        <v>11</v>
      </c>
      <c r="BS423" s="72">
        <v>11</v>
      </c>
      <c r="BT423" s="72">
        <v>11</v>
      </c>
      <c r="BU423" s="72">
        <v>11</v>
      </c>
      <c r="BV423" s="72">
        <v>11</v>
      </c>
      <c r="BW423" s="72">
        <v>11</v>
      </c>
      <c r="BX423" s="72">
        <v>11</v>
      </c>
      <c r="BY423" s="72">
        <v>11</v>
      </c>
      <c r="BZ423" s="72">
        <v>11</v>
      </c>
      <c r="CA423" s="72">
        <v>11</v>
      </c>
      <c r="CB423" s="72">
        <v>11</v>
      </c>
      <c r="CC423" s="72">
        <v>11</v>
      </c>
      <c r="CD423" s="72">
        <v>11</v>
      </c>
      <c r="CE423" s="72">
        <v>11</v>
      </c>
      <c r="CF423" s="72">
        <v>11</v>
      </c>
      <c r="CG423" s="72">
        <v>11</v>
      </c>
      <c r="CH423" s="72">
        <v>11</v>
      </c>
      <c r="CI423" s="72">
        <v>11</v>
      </c>
      <c r="CJ423" s="72">
        <v>11</v>
      </c>
      <c r="CK423" s="72">
        <v>11</v>
      </c>
      <c r="CL423" s="72">
        <v>11</v>
      </c>
      <c r="CM423" s="72">
        <v>11</v>
      </c>
      <c r="CN423" s="72">
        <v>11</v>
      </c>
      <c r="CO423" s="72">
        <v>11</v>
      </c>
      <c r="CP423" s="72">
        <v>11</v>
      </c>
      <c r="CQ423" s="72">
        <v>11</v>
      </c>
      <c r="CR423" s="72">
        <v>11</v>
      </c>
      <c r="CS423" s="72">
        <v>11</v>
      </c>
      <c r="CT423" s="72">
        <v>11</v>
      </c>
      <c r="CU423" s="72">
        <v>11</v>
      </c>
      <c r="CV423" s="72">
        <v>11</v>
      </c>
      <c r="CW423" s="72">
        <v>11</v>
      </c>
      <c r="CX423" s="72">
        <v>11</v>
      </c>
      <c r="CY423" s="72">
        <v>11</v>
      </c>
      <c r="CZ423" s="72">
        <v>11</v>
      </c>
      <c r="DA423" s="72">
        <v>11</v>
      </c>
      <c r="DB423" s="72">
        <v>11</v>
      </c>
      <c r="DC423" s="72">
        <v>11</v>
      </c>
      <c r="DD423" s="72">
        <v>11</v>
      </c>
      <c r="DE423" s="72">
        <v>11</v>
      </c>
      <c r="DF423" s="72">
        <v>11</v>
      </c>
    </row>
    <row r="424" spans="1:110" x14ac:dyDescent="0.35">
      <c r="A424" s="7"/>
      <c r="B424" s="8" t="s">
        <v>732</v>
      </c>
      <c r="C424" s="9" t="s">
        <v>733</v>
      </c>
      <c r="D424" s="10" t="s">
        <v>697</v>
      </c>
      <c r="E424" s="8" t="s">
        <v>1060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/>
      <c r="L424" s="8"/>
      <c r="M424" s="12">
        <v>930</v>
      </c>
      <c r="N424" s="12">
        <f t="shared" si="7"/>
        <v>930</v>
      </c>
      <c r="O424" s="11">
        <v>1</v>
      </c>
      <c r="P424" s="11">
        <v>1</v>
      </c>
      <c r="Q424" s="11">
        <v>1</v>
      </c>
      <c r="R424" s="11">
        <v>1</v>
      </c>
      <c r="S424" s="11">
        <v>1</v>
      </c>
      <c r="T424" s="11">
        <v>1</v>
      </c>
      <c r="U424" s="11">
        <v>1</v>
      </c>
      <c r="V424" s="11">
        <v>1</v>
      </c>
      <c r="W424" s="11">
        <v>1</v>
      </c>
      <c r="X424" s="11">
        <v>1</v>
      </c>
      <c r="Y424" s="11">
        <v>1</v>
      </c>
      <c r="Z424" s="11">
        <v>1</v>
      </c>
      <c r="AA424" s="11">
        <v>1</v>
      </c>
      <c r="AB424" s="11">
        <v>1</v>
      </c>
      <c r="AC424" s="11">
        <v>1</v>
      </c>
      <c r="AD424" s="11">
        <v>1</v>
      </c>
      <c r="AE424" s="11">
        <v>1</v>
      </c>
      <c r="AF424" s="11">
        <v>1</v>
      </c>
      <c r="AG424" s="11">
        <v>1</v>
      </c>
      <c r="AH424" s="11">
        <v>1</v>
      </c>
      <c r="AI424" s="11">
        <v>1</v>
      </c>
      <c r="AJ424" s="11">
        <v>1</v>
      </c>
      <c r="AK424" s="11">
        <v>1</v>
      </c>
      <c r="AL424" s="11">
        <v>1</v>
      </c>
      <c r="AM424" s="11">
        <v>1</v>
      </c>
      <c r="AN424" s="72">
        <v>1</v>
      </c>
      <c r="AO424" s="72">
        <v>1</v>
      </c>
      <c r="AP424" s="72">
        <v>1</v>
      </c>
      <c r="AQ424" s="72">
        <v>1</v>
      </c>
      <c r="AR424" s="72">
        <v>1</v>
      </c>
      <c r="AS424" s="72">
        <v>1</v>
      </c>
      <c r="AT424" s="72">
        <v>1</v>
      </c>
      <c r="AU424" s="72">
        <v>1</v>
      </c>
      <c r="AV424" s="72">
        <v>1</v>
      </c>
      <c r="AW424" s="72">
        <v>1</v>
      </c>
      <c r="AX424" s="72">
        <v>1</v>
      </c>
      <c r="AY424" s="72">
        <v>1</v>
      </c>
      <c r="AZ424" s="72">
        <v>1</v>
      </c>
      <c r="BA424" s="72">
        <v>1</v>
      </c>
      <c r="BB424" s="72">
        <v>1</v>
      </c>
      <c r="BC424" s="72">
        <v>1</v>
      </c>
      <c r="BD424" s="72">
        <v>1</v>
      </c>
      <c r="BE424" s="72">
        <v>1</v>
      </c>
      <c r="BF424" s="72">
        <v>1</v>
      </c>
      <c r="BG424" s="72">
        <v>1</v>
      </c>
      <c r="BH424" s="72">
        <v>1</v>
      </c>
      <c r="BI424" s="72">
        <v>1</v>
      </c>
      <c r="BJ424" s="72">
        <v>1</v>
      </c>
      <c r="BK424" s="72">
        <v>1</v>
      </c>
      <c r="BL424" s="72">
        <v>1</v>
      </c>
      <c r="BM424" s="72">
        <v>1</v>
      </c>
      <c r="BN424" s="72">
        <v>1</v>
      </c>
      <c r="BO424" s="72">
        <v>1</v>
      </c>
      <c r="BP424" s="72">
        <v>1</v>
      </c>
      <c r="BQ424" s="72">
        <v>1</v>
      </c>
      <c r="BR424" s="72">
        <v>1</v>
      </c>
      <c r="BS424" s="72">
        <v>1</v>
      </c>
      <c r="BT424" s="72">
        <v>1</v>
      </c>
      <c r="BU424" s="72">
        <v>1</v>
      </c>
      <c r="BV424" s="72">
        <v>1</v>
      </c>
      <c r="BW424" s="72">
        <v>1</v>
      </c>
      <c r="BX424" s="72">
        <v>1</v>
      </c>
      <c r="BY424" s="72">
        <v>1</v>
      </c>
      <c r="BZ424" s="72">
        <v>1</v>
      </c>
      <c r="CA424" s="72">
        <v>1</v>
      </c>
      <c r="CB424" s="72">
        <v>1</v>
      </c>
      <c r="CC424" s="72">
        <v>1</v>
      </c>
      <c r="CD424" s="72">
        <v>1</v>
      </c>
      <c r="CE424" s="72">
        <v>1</v>
      </c>
      <c r="CF424" s="72">
        <v>1</v>
      </c>
      <c r="CG424" s="72">
        <v>1</v>
      </c>
      <c r="CH424" s="72">
        <v>1</v>
      </c>
      <c r="CI424" s="72">
        <v>1</v>
      </c>
      <c r="CJ424" s="72">
        <v>1</v>
      </c>
      <c r="CK424" s="72">
        <v>1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1</v>
      </c>
      <c r="CT424" s="72">
        <v>1</v>
      </c>
      <c r="CU424" s="72">
        <v>1</v>
      </c>
      <c r="CV424" s="72">
        <v>1</v>
      </c>
      <c r="CW424" s="72">
        <v>1</v>
      </c>
      <c r="CX424" s="72">
        <v>1</v>
      </c>
      <c r="CY424" s="72">
        <v>1</v>
      </c>
      <c r="CZ424" s="72">
        <v>1</v>
      </c>
      <c r="DA424" s="72">
        <v>1</v>
      </c>
      <c r="DB424" s="72">
        <v>1</v>
      </c>
      <c r="DC424" s="72">
        <v>1</v>
      </c>
      <c r="DD424" s="72">
        <v>1</v>
      </c>
      <c r="DE424" s="72">
        <v>1</v>
      </c>
      <c r="DF424" s="72">
        <v>1</v>
      </c>
    </row>
    <row r="425" spans="1:110" x14ac:dyDescent="0.35">
      <c r="A425" s="7"/>
      <c r="B425" s="8" t="s">
        <v>734</v>
      </c>
      <c r="C425" s="9" t="s">
        <v>735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16</v>
      </c>
      <c r="J425" s="10"/>
      <c r="K425" s="10"/>
      <c r="L425" s="8"/>
      <c r="M425" s="12">
        <v>98</v>
      </c>
      <c r="N425" s="12">
        <f t="shared" si="7"/>
        <v>1568</v>
      </c>
      <c r="O425" s="11">
        <v>20</v>
      </c>
      <c r="P425" s="11">
        <v>20</v>
      </c>
      <c r="Q425" s="11">
        <v>20</v>
      </c>
      <c r="R425" s="11">
        <v>20</v>
      </c>
      <c r="S425" s="11">
        <v>20</v>
      </c>
      <c r="T425" s="11">
        <v>20</v>
      </c>
      <c r="U425" s="11">
        <v>16</v>
      </c>
      <c r="V425" s="11">
        <v>16</v>
      </c>
      <c r="W425" s="11">
        <v>16</v>
      </c>
      <c r="X425" s="11">
        <v>16</v>
      </c>
      <c r="Y425" s="11">
        <v>16</v>
      </c>
      <c r="Z425" s="11">
        <v>16</v>
      </c>
      <c r="AA425" s="11">
        <v>16</v>
      </c>
      <c r="AB425" s="11">
        <v>16</v>
      </c>
      <c r="AC425" s="11">
        <v>16</v>
      </c>
      <c r="AD425" s="11">
        <v>16</v>
      </c>
      <c r="AE425" s="11">
        <v>16</v>
      </c>
      <c r="AF425" s="11">
        <v>16</v>
      </c>
      <c r="AG425" s="11">
        <v>16</v>
      </c>
      <c r="AH425" s="11">
        <v>16</v>
      </c>
      <c r="AI425" s="11">
        <v>16</v>
      </c>
      <c r="AJ425" s="11">
        <v>16</v>
      </c>
      <c r="AK425" s="11">
        <v>16</v>
      </c>
      <c r="AL425" s="11">
        <v>16</v>
      </c>
      <c r="AM425" s="11">
        <v>16</v>
      </c>
      <c r="AN425" s="72">
        <v>16</v>
      </c>
      <c r="AO425" s="72">
        <v>16</v>
      </c>
      <c r="AP425" s="72">
        <v>16</v>
      </c>
      <c r="AQ425" s="72">
        <v>16</v>
      </c>
      <c r="AR425" s="72">
        <v>16</v>
      </c>
      <c r="AS425" s="72">
        <v>16</v>
      </c>
      <c r="AT425" s="72">
        <v>16</v>
      </c>
      <c r="AU425" s="72">
        <v>16</v>
      </c>
      <c r="AV425" s="72">
        <v>16</v>
      </c>
      <c r="AW425" s="72">
        <v>16</v>
      </c>
      <c r="AX425" s="72">
        <v>16</v>
      </c>
      <c r="AY425" s="72">
        <v>16</v>
      </c>
      <c r="AZ425" s="72">
        <v>16</v>
      </c>
      <c r="BA425" s="72">
        <v>16</v>
      </c>
      <c r="BB425" s="72">
        <v>16</v>
      </c>
      <c r="BC425" s="72">
        <v>16</v>
      </c>
      <c r="BD425" s="72">
        <v>16</v>
      </c>
      <c r="BE425" s="72">
        <v>16</v>
      </c>
      <c r="BF425" s="72">
        <v>16</v>
      </c>
      <c r="BG425" s="72">
        <v>16</v>
      </c>
      <c r="BH425" s="72">
        <v>16</v>
      </c>
      <c r="BI425" s="72">
        <v>16</v>
      </c>
      <c r="BJ425" s="72">
        <v>16</v>
      </c>
      <c r="BK425" s="72">
        <v>16</v>
      </c>
      <c r="BL425" s="72">
        <v>16</v>
      </c>
      <c r="BM425" s="72">
        <v>16</v>
      </c>
      <c r="BN425" s="72">
        <v>16</v>
      </c>
      <c r="BO425" s="72">
        <v>16</v>
      </c>
      <c r="BP425" s="72">
        <v>16</v>
      </c>
      <c r="BQ425" s="72">
        <v>16</v>
      </c>
      <c r="BR425" s="72">
        <v>16</v>
      </c>
      <c r="BS425" s="72">
        <v>16</v>
      </c>
      <c r="BT425" s="72">
        <v>16</v>
      </c>
      <c r="BU425" s="72">
        <v>16</v>
      </c>
      <c r="BV425" s="72">
        <v>16</v>
      </c>
      <c r="BW425" s="72">
        <v>16</v>
      </c>
      <c r="BX425" s="72">
        <v>16</v>
      </c>
      <c r="BY425" s="72">
        <v>16</v>
      </c>
      <c r="BZ425" s="72">
        <v>16</v>
      </c>
      <c r="CA425" s="72">
        <v>16</v>
      </c>
      <c r="CB425" s="72">
        <v>16</v>
      </c>
      <c r="CC425" s="72">
        <v>16</v>
      </c>
      <c r="CD425" s="72">
        <v>16</v>
      </c>
      <c r="CE425" s="72">
        <v>16</v>
      </c>
      <c r="CF425" s="72">
        <v>16</v>
      </c>
      <c r="CG425" s="72">
        <v>16</v>
      </c>
      <c r="CH425" s="72">
        <v>16</v>
      </c>
      <c r="CI425" s="72">
        <v>16</v>
      </c>
      <c r="CJ425" s="72">
        <v>16</v>
      </c>
      <c r="CK425" s="72">
        <v>16</v>
      </c>
      <c r="CL425" s="72">
        <v>16</v>
      </c>
      <c r="CM425" s="72">
        <v>16</v>
      </c>
      <c r="CN425" s="72">
        <v>16</v>
      </c>
      <c r="CO425" s="72">
        <v>16</v>
      </c>
      <c r="CP425" s="72">
        <v>16</v>
      </c>
      <c r="CQ425" s="72">
        <v>16</v>
      </c>
      <c r="CR425" s="72">
        <v>16</v>
      </c>
      <c r="CS425" s="72">
        <v>16</v>
      </c>
      <c r="CT425" s="72">
        <v>16</v>
      </c>
      <c r="CU425" s="72">
        <v>16</v>
      </c>
      <c r="CV425" s="72">
        <v>16</v>
      </c>
      <c r="CW425" s="72">
        <v>16</v>
      </c>
      <c r="CX425" s="72">
        <v>16</v>
      </c>
      <c r="CY425" s="72">
        <v>16</v>
      </c>
      <c r="CZ425" s="72">
        <v>16</v>
      </c>
      <c r="DA425" s="72">
        <v>16</v>
      </c>
      <c r="DB425" s="72">
        <v>16</v>
      </c>
      <c r="DC425" s="72">
        <v>16</v>
      </c>
      <c r="DD425" s="72">
        <v>16</v>
      </c>
      <c r="DE425" s="72">
        <v>16</v>
      </c>
      <c r="DF425" s="72">
        <v>16</v>
      </c>
    </row>
    <row r="426" spans="1:110" x14ac:dyDescent="0.35">
      <c r="A426" s="7"/>
      <c r="B426" s="8" t="s">
        <v>736</v>
      </c>
      <c r="C426" s="9" t="s">
        <v>737</v>
      </c>
      <c r="D426" s="10" t="s">
        <v>697</v>
      </c>
      <c r="E426" s="8" t="s">
        <v>1207</v>
      </c>
      <c r="F426" s="10">
        <v>1006</v>
      </c>
      <c r="G426" s="10" t="s">
        <v>40</v>
      </c>
      <c r="H426" s="10" t="s">
        <v>41</v>
      </c>
      <c r="I426" s="11">
        <v>54</v>
      </c>
      <c r="J426" s="10"/>
      <c r="K426" s="10" t="s">
        <v>526</v>
      </c>
      <c r="L426" s="8"/>
      <c r="M426" s="12">
        <v>71.38</v>
      </c>
      <c r="N426" s="12">
        <f t="shared" si="7"/>
        <v>3854.5199999999995</v>
      </c>
      <c r="O426" s="11">
        <v>54</v>
      </c>
      <c r="P426" s="11">
        <v>54</v>
      </c>
      <c r="Q426" s="11">
        <v>54</v>
      </c>
      <c r="R426" s="11">
        <v>54</v>
      </c>
      <c r="S426" s="11">
        <v>54</v>
      </c>
      <c r="T426" s="11">
        <v>54</v>
      </c>
      <c r="U426" s="11">
        <v>54</v>
      </c>
      <c r="V426" s="11">
        <v>54</v>
      </c>
      <c r="W426" s="11">
        <v>54</v>
      </c>
      <c r="X426" s="11">
        <v>54</v>
      </c>
      <c r="Y426" s="11">
        <v>54</v>
      </c>
      <c r="Z426" s="11">
        <v>54</v>
      </c>
      <c r="AA426" s="11">
        <v>54</v>
      </c>
      <c r="AB426" s="11">
        <v>54</v>
      </c>
      <c r="AC426" s="11">
        <v>54</v>
      </c>
      <c r="AD426" s="11">
        <v>54</v>
      </c>
      <c r="AE426" s="11">
        <v>54</v>
      </c>
      <c r="AF426" s="11">
        <v>54</v>
      </c>
      <c r="AG426" s="11">
        <v>54</v>
      </c>
      <c r="AH426" s="11">
        <v>54</v>
      </c>
      <c r="AI426" s="11">
        <v>54</v>
      </c>
      <c r="AJ426" s="11">
        <v>54</v>
      </c>
      <c r="AK426" s="11">
        <v>54</v>
      </c>
      <c r="AL426" s="11">
        <v>54</v>
      </c>
      <c r="AM426" s="11">
        <v>54</v>
      </c>
      <c r="AN426" s="72">
        <v>54</v>
      </c>
      <c r="AO426" s="72">
        <v>54</v>
      </c>
      <c r="AP426" s="72">
        <v>54</v>
      </c>
      <c r="AQ426" s="72">
        <v>54</v>
      </c>
      <c r="AR426" s="72">
        <v>54</v>
      </c>
      <c r="AS426" s="72">
        <v>54</v>
      </c>
      <c r="AT426" s="72">
        <v>54</v>
      </c>
      <c r="AU426" s="72">
        <v>54</v>
      </c>
      <c r="AV426" s="72">
        <v>54</v>
      </c>
      <c r="AW426" s="72">
        <v>54</v>
      </c>
      <c r="AX426" s="72">
        <v>54</v>
      </c>
      <c r="AY426" s="72">
        <v>54</v>
      </c>
      <c r="AZ426" s="72">
        <v>54</v>
      </c>
      <c r="BA426" s="72">
        <v>54</v>
      </c>
      <c r="BB426" s="72">
        <v>54</v>
      </c>
      <c r="BC426" s="72">
        <v>54</v>
      </c>
      <c r="BD426" s="72">
        <v>54</v>
      </c>
      <c r="BE426" s="72">
        <v>54</v>
      </c>
      <c r="BF426" s="72">
        <v>54</v>
      </c>
      <c r="BG426" s="72">
        <v>54</v>
      </c>
      <c r="BH426" s="72">
        <v>54</v>
      </c>
      <c r="BI426" s="72">
        <v>54</v>
      </c>
      <c r="BJ426" s="72">
        <v>54</v>
      </c>
      <c r="BK426" s="72">
        <v>54</v>
      </c>
      <c r="BL426" s="72">
        <v>54</v>
      </c>
      <c r="BM426" s="72">
        <v>54</v>
      </c>
      <c r="BN426" s="72">
        <v>54</v>
      </c>
      <c r="BO426" s="72">
        <v>54</v>
      </c>
      <c r="BP426" s="72">
        <v>54</v>
      </c>
      <c r="BQ426" s="72">
        <v>54</v>
      </c>
      <c r="BR426" s="72">
        <v>54</v>
      </c>
      <c r="BS426" s="72">
        <v>54</v>
      </c>
      <c r="BT426" s="72">
        <v>54</v>
      </c>
      <c r="BU426" s="72">
        <v>54</v>
      </c>
      <c r="BV426" s="72">
        <v>54</v>
      </c>
      <c r="BW426" s="72">
        <v>54</v>
      </c>
      <c r="BX426" s="72">
        <v>54</v>
      </c>
      <c r="BY426" s="72">
        <v>54</v>
      </c>
      <c r="BZ426" s="72">
        <v>54</v>
      </c>
      <c r="CA426" s="72">
        <v>54</v>
      </c>
      <c r="CB426" s="72">
        <v>54</v>
      </c>
      <c r="CC426" s="72">
        <v>54</v>
      </c>
      <c r="CD426" s="72">
        <v>54</v>
      </c>
      <c r="CE426" s="72">
        <v>54</v>
      </c>
      <c r="CF426" s="72">
        <v>54</v>
      </c>
      <c r="CG426" s="72">
        <v>54</v>
      </c>
      <c r="CH426" s="72">
        <v>54</v>
      </c>
      <c r="CI426" s="72">
        <v>54</v>
      </c>
      <c r="CJ426" s="72">
        <v>54</v>
      </c>
      <c r="CK426" s="72">
        <v>54</v>
      </c>
      <c r="CL426" s="72">
        <v>54</v>
      </c>
      <c r="CM426" s="72">
        <v>54</v>
      </c>
      <c r="CN426" s="72">
        <v>54</v>
      </c>
      <c r="CO426" s="72">
        <v>54</v>
      </c>
      <c r="CP426" s="72">
        <v>54</v>
      </c>
      <c r="CQ426" s="72">
        <v>54</v>
      </c>
      <c r="CR426" s="72">
        <v>54</v>
      </c>
      <c r="CS426" s="72">
        <v>54</v>
      </c>
      <c r="CT426" s="72">
        <v>54</v>
      </c>
      <c r="CU426" s="72">
        <v>54</v>
      </c>
      <c r="CV426" s="72">
        <v>54</v>
      </c>
      <c r="CW426" s="72">
        <v>54</v>
      </c>
      <c r="CX426" s="72">
        <v>54</v>
      </c>
      <c r="CY426" s="72">
        <v>54</v>
      </c>
      <c r="CZ426" s="72">
        <v>54</v>
      </c>
      <c r="DA426" s="72">
        <v>54</v>
      </c>
      <c r="DB426" s="72">
        <v>54</v>
      </c>
      <c r="DC426" s="72">
        <v>54</v>
      </c>
      <c r="DD426" s="72">
        <v>54</v>
      </c>
      <c r="DE426" s="72">
        <v>54</v>
      </c>
      <c r="DF426" s="72">
        <v>54</v>
      </c>
    </row>
    <row r="427" spans="1:110" x14ac:dyDescent="0.35">
      <c r="A427" s="7"/>
      <c r="B427" s="77" t="s">
        <v>1122</v>
      </c>
      <c r="C427" s="78" t="s">
        <v>1375</v>
      </c>
      <c r="D427" s="10" t="s">
        <v>697</v>
      </c>
      <c r="E427" s="8" t="s">
        <v>1207</v>
      </c>
      <c r="F427" s="10"/>
      <c r="G427" s="10"/>
      <c r="H427" s="10" t="s">
        <v>41</v>
      </c>
      <c r="I427" s="11"/>
      <c r="J427" s="10"/>
      <c r="K427" s="10"/>
      <c r="L427" s="8"/>
      <c r="M427" s="12">
        <v>46</v>
      </c>
      <c r="N427" s="12">
        <f t="shared" si="7"/>
        <v>460</v>
      </c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>
        <v>10</v>
      </c>
      <c r="BN427" s="72">
        <v>10</v>
      </c>
      <c r="BO427" s="72">
        <v>10</v>
      </c>
      <c r="BP427" s="72">
        <v>10</v>
      </c>
      <c r="BQ427" s="72">
        <v>10</v>
      </c>
      <c r="BR427" s="72">
        <v>10</v>
      </c>
      <c r="BS427" s="72">
        <v>10</v>
      </c>
      <c r="BT427" s="72">
        <v>10</v>
      </c>
      <c r="BU427" s="72">
        <v>10</v>
      </c>
      <c r="BV427" s="72">
        <v>10</v>
      </c>
      <c r="BW427" s="72">
        <v>10</v>
      </c>
      <c r="BX427" s="72">
        <v>10</v>
      </c>
      <c r="BY427" s="72">
        <v>10</v>
      </c>
      <c r="BZ427" s="72">
        <v>10</v>
      </c>
      <c r="CA427" s="72">
        <v>10</v>
      </c>
      <c r="CB427" s="72">
        <v>10</v>
      </c>
      <c r="CC427" s="72">
        <v>10</v>
      </c>
      <c r="CD427" s="72">
        <v>10</v>
      </c>
      <c r="CE427" s="72">
        <v>10</v>
      </c>
      <c r="CF427" s="72">
        <v>10</v>
      </c>
      <c r="CG427" s="72">
        <v>10</v>
      </c>
      <c r="CH427" s="72">
        <v>10</v>
      </c>
      <c r="CI427" s="72">
        <v>10</v>
      </c>
      <c r="CJ427" s="72">
        <v>10</v>
      </c>
      <c r="CK427" s="72">
        <v>10</v>
      </c>
      <c r="CL427" s="72">
        <v>10</v>
      </c>
      <c r="CM427" s="72">
        <v>10</v>
      </c>
      <c r="CN427" s="72">
        <v>10</v>
      </c>
      <c r="CO427" s="72">
        <v>10</v>
      </c>
      <c r="CP427" s="72">
        <v>10</v>
      </c>
      <c r="CQ427" s="72">
        <v>10</v>
      </c>
      <c r="CR427" s="72">
        <v>10</v>
      </c>
      <c r="CS427" s="72">
        <v>10</v>
      </c>
      <c r="CT427" s="72">
        <v>10</v>
      </c>
      <c r="CU427" s="72">
        <v>10</v>
      </c>
      <c r="CV427" s="72">
        <v>10</v>
      </c>
      <c r="CW427" s="72">
        <v>10</v>
      </c>
      <c r="CX427" s="72">
        <v>10</v>
      </c>
      <c r="CY427" s="72">
        <v>10</v>
      </c>
      <c r="CZ427" s="72">
        <v>10</v>
      </c>
      <c r="DA427" s="72">
        <v>10</v>
      </c>
      <c r="DB427" s="72">
        <v>10</v>
      </c>
      <c r="DC427" s="72">
        <v>10</v>
      </c>
      <c r="DD427" s="72">
        <v>10</v>
      </c>
      <c r="DE427" s="72">
        <v>10</v>
      </c>
      <c r="DF427" s="72">
        <v>10</v>
      </c>
    </row>
    <row r="428" spans="1:110" x14ac:dyDescent="0.35">
      <c r="A428" s="7"/>
      <c r="B428" s="14" t="s">
        <v>738</v>
      </c>
      <c r="C428" s="9" t="s">
        <v>739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2</v>
      </c>
      <c r="J428" s="10"/>
      <c r="K428" s="10" t="s">
        <v>42</v>
      </c>
      <c r="L428" s="8"/>
      <c r="M428" s="12">
        <v>213.5</v>
      </c>
      <c r="N428" s="12">
        <f t="shared" si="7"/>
        <v>213.5</v>
      </c>
      <c r="O428" s="11">
        <v>2</v>
      </c>
      <c r="P428" s="11">
        <v>2</v>
      </c>
      <c r="Q428" s="11">
        <v>2</v>
      </c>
      <c r="R428" s="11">
        <v>2</v>
      </c>
      <c r="S428" s="11">
        <v>2</v>
      </c>
      <c r="T428" s="11">
        <v>2</v>
      </c>
      <c r="U428" s="11">
        <v>2</v>
      </c>
      <c r="V428" s="11">
        <v>2</v>
      </c>
      <c r="W428" s="11">
        <v>2</v>
      </c>
      <c r="X428" s="11">
        <v>2</v>
      </c>
      <c r="Y428" s="11">
        <v>2</v>
      </c>
      <c r="Z428" s="11">
        <v>2</v>
      </c>
      <c r="AA428" s="11">
        <v>2</v>
      </c>
      <c r="AB428" s="11">
        <v>2</v>
      </c>
      <c r="AC428" s="11">
        <v>2</v>
      </c>
      <c r="AD428" s="11">
        <v>2</v>
      </c>
      <c r="AE428" s="11">
        <v>2</v>
      </c>
      <c r="AF428" s="11">
        <v>2</v>
      </c>
      <c r="AG428" s="11">
        <v>2</v>
      </c>
      <c r="AH428" s="11">
        <v>2</v>
      </c>
      <c r="AI428" s="11">
        <v>2</v>
      </c>
      <c r="AJ428" s="11">
        <v>2</v>
      </c>
      <c r="AK428" s="11">
        <v>2</v>
      </c>
      <c r="AL428" s="11">
        <v>2</v>
      </c>
      <c r="AM428" s="11">
        <v>2</v>
      </c>
      <c r="AN428" s="72">
        <v>2</v>
      </c>
      <c r="AO428" s="72">
        <v>2</v>
      </c>
      <c r="AP428" s="72">
        <v>2</v>
      </c>
      <c r="AQ428" s="72">
        <v>2</v>
      </c>
      <c r="AR428" s="72">
        <v>2</v>
      </c>
      <c r="AS428" s="72">
        <v>2</v>
      </c>
      <c r="AT428" s="72">
        <v>2</v>
      </c>
      <c r="AU428" s="72">
        <v>2</v>
      </c>
      <c r="AV428" s="72">
        <v>2</v>
      </c>
      <c r="AW428" s="72">
        <v>2</v>
      </c>
      <c r="AX428" s="72">
        <v>2</v>
      </c>
      <c r="AY428" s="72">
        <v>2</v>
      </c>
      <c r="AZ428" s="72">
        <v>2</v>
      </c>
      <c r="BA428" s="72">
        <v>2</v>
      </c>
      <c r="BB428" s="72">
        <v>2</v>
      </c>
      <c r="BC428" s="72">
        <v>2</v>
      </c>
      <c r="BD428" s="72">
        <v>2</v>
      </c>
      <c r="BE428" s="72">
        <v>2</v>
      </c>
      <c r="BF428" s="72">
        <v>2</v>
      </c>
      <c r="BG428" s="72">
        <v>2</v>
      </c>
      <c r="BH428" s="72">
        <v>2</v>
      </c>
      <c r="BI428" s="72">
        <v>2</v>
      </c>
      <c r="BJ428" s="72">
        <v>2</v>
      </c>
      <c r="BK428" s="72">
        <v>2</v>
      </c>
      <c r="BL428" s="72">
        <v>2</v>
      </c>
      <c r="BM428" s="72">
        <v>2</v>
      </c>
      <c r="BN428" s="72">
        <v>2</v>
      </c>
      <c r="BO428" s="72">
        <v>2</v>
      </c>
      <c r="BP428" s="72">
        <v>2</v>
      </c>
      <c r="BQ428" s="72">
        <v>2</v>
      </c>
      <c r="BR428" s="72">
        <v>2</v>
      </c>
      <c r="BS428" s="72">
        <v>2</v>
      </c>
      <c r="BT428" s="72">
        <v>2</v>
      </c>
      <c r="BU428" s="72">
        <v>2</v>
      </c>
      <c r="BV428" s="72">
        <v>2</v>
      </c>
      <c r="BW428" s="72">
        <v>2</v>
      </c>
      <c r="BX428" s="72">
        <v>2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</row>
    <row r="429" spans="1:110" x14ac:dyDescent="0.35">
      <c r="A429" s="7"/>
      <c r="B429" s="90">
        <v>3310016001</v>
      </c>
      <c r="C429" s="9" t="s">
        <v>1261</v>
      </c>
      <c r="D429" s="10" t="s">
        <v>1259</v>
      </c>
      <c r="E429" s="8" t="s">
        <v>1260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2"/>
      <c r="N429" s="12">
        <f t="shared" si="7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/>
      <c r="AV429" s="72">
        <v>1</v>
      </c>
      <c r="AW429" s="72">
        <v>1</v>
      </c>
      <c r="AX429" s="72">
        <v>1</v>
      </c>
      <c r="AY429" s="72">
        <v>1</v>
      </c>
      <c r="AZ429" s="72">
        <v>1</v>
      </c>
      <c r="BA429" s="72">
        <v>1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</row>
    <row r="430" spans="1:110" x14ac:dyDescent="0.35">
      <c r="A430" s="7"/>
      <c r="B430" s="8" t="s">
        <v>740</v>
      </c>
      <c r="C430" s="9" t="s">
        <v>741</v>
      </c>
      <c r="D430" s="10" t="s">
        <v>742</v>
      </c>
      <c r="E430" s="8" t="s">
        <v>1205</v>
      </c>
      <c r="F430" s="10">
        <v>1005</v>
      </c>
      <c r="G430" s="10" t="s">
        <v>40</v>
      </c>
      <c r="H430" s="10" t="s">
        <v>41</v>
      </c>
      <c r="I430" s="11">
        <v>2</v>
      </c>
      <c r="J430" s="10"/>
      <c r="K430" s="10" t="s">
        <v>566</v>
      </c>
      <c r="L430" s="8"/>
      <c r="M430" s="12"/>
      <c r="N430" s="12">
        <f t="shared" si="7"/>
        <v>0</v>
      </c>
      <c r="O430" s="11">
        <v>2</v>
      </c>
      <c r="P430" s="11">
        <v>2</v>
      </c>
      <c r="Q430" s="11">
        <v>2</v>
      </c>
      <c r="R430" s="11">
        <v>2</v>
      </c>
      <c r="S430" s="11">
        <v>2</v>
      </c>
      <c r="T430" s="11">
        <v>2</v>
      </c>
      <c r="U430" s="11">
        <v>2</v>
      </c>
      <c r="V430" s="11">
        <v>2</v>
      </c>
      <c r="W430" s="11">
        <v>2</v>
      </c>
      <c r="X430" s="11">
        <v>2</v>
      </c>
      <c r="Y430" s="11">
        <v>2</v>
      </c>
      <c r="Z430" s="11">
        <v>2</v>
      </c>
      <c r="AA430" s="11">
        <v>2</v>
      </c>
      <c r="AB430" s="11">
        <v>2</v>
      </c>
      <c r="AC430" s="11">
        <v>2</v>
      </c>
      <c r="AD430" s="11">
        <v>2</v>
      </c>
      <c r="AE430" s="11">
        <v>2</v>
      </c>
      <c r="AF430" s="11">
        <v>2</v>
      </c>
      <c r="AG430" s="11">
        <v>2</v>
      </c>
      <c r="AH430" s="11">
        <v>2</v>
      </c>
      <c r="AI430" s="11">
        <v>2</v>
      </c>
      <c r="AJ430" s="11">
        <v>2</v>
      </c>
      <c r="AK430" s="11">
        <v>2</v>
      </c>
      <c r="AL430" s="11">
        <v>2</v>
      </c>
      <c r="AM430" s="11">
        <v>2</v>
      </c>
      <c r="AN430" s="72">
        <v>2</v>
      </c>
      <c r="AO430" s="72">
        <v>2</v>
      </c>
      <c r="AP430" s="72">
        <v>2</v>
      </c>
      <c r="AQ430" s="72">
        <v>2</v>
      </c>
      <c r="AR430" s="72">
        <v>2</v>
      </c>
      <c r="AS430" s="72">
        <v>2</v>
      </c>
      <c r="AT430" s="72">
        <v>2</v>
      </c>
      <c r="AU430" s="72">
        <v>2</v>
      </c>
      <c r="AV430" s="72">
        <v>2</v>
      </c>
      <c r="AW430" s="72">
        <v>2</v>
      </c>
      <c r="AX430" s="72">
        <v>2</v>
      </c>
      <c r="AY430" s="72">
        <v>2</v>
      </c>
      <c r="AZ430" s="72">
        <v>2</v>
      </c>
      <c r="BA430" s="72">
        <v>2</v>
      </c>
      <c r="BB430" s="72">
        <v>2</v>
      </c>
      <c r="BC430" s="72">
        <v>2</v>
      </c>
      <c r="BD430" s="72">
        <v>2</v>
      </c>
      <c r="BE430" s="72">
        <v>2</v>
      </c>
      <c r="BF430" s="72">
        <v>2</v>
      </c>
      <c r="BG430" s="72">
        <v>2</v>
      </c>
      <c r="BH430" s="72">
        <v>2</v>
      </c>
      <c r="BI430" s="72">
        <v>2</v>
      </c>
      <c r="BJ430" s="72">
        <v>2</v>
      </c>
      <c r="BK430" s="72">
        <v>2</v>
      </c>
      <c r="BL430" s="72">
        <v>2</v>
      </c>
      <c r="BM430" s="72">
        <v>2</v>
      </c>
      <c r="BN430" s="72">
        <v>2</v>
      </c>
      <c r="BO430" s="72">
        <v>2</v>
      </c>
      <c r="BP430" s="72">
        <v>2</v>
      </c>
      <c r="BQ430" s="72">
        <v>2</v>
      </c>
      <c r="BR430" s="72">
        <v>2</v>
      </c>
      <c r="BS430" s="72">
        <v>2</v>
      </c>
      <c r="BT430" s="72">
        <v>2</v>
      </c>
      <c r="BU430" s="72">
        <v>2</v>
      </c>
      <c r="BV430" s="72">
        <v>2</v>
      </c>
      <c r="BW430" s="72">
        <v>2</v>
      </c>
      <c r="BX430" s="72">
        <v>2</v>
      </c>
      <c r="BY430" s="72">
        <v>2</v>
      </c>
      <c r="BZ430" s="72">
        <v>2</v>
      </c>
      <c r="CA430" s="72">
        <v>2</v>
      </c>
      <c r="CB430" s="72">
        <v>2</v>
      </c>
      <c r="CC430" s="72">
        <v>2</v>
      </c>
      <c r="CD430" s="72">
        <v>2</v>
      </c>
      <c r="CE430" s="72">
        <v>2</v>
      </c>
      <c r="CF430" s="72">
        <v>2</v>
      </c>
      <c r="CG430" s="72">
        <v>2</v>
      </c>
      <c r="CH430" s="72">
        <v>2</v>
      </c>
      <c r="CI430" s="72">
        <v>2</v>
      </c>
      <c r="CJ430" s="72">
        <v>2</v>
      </c>
      <c r="CK430" s="72">
        <v>2</v>
      </c>
      <c r="CL430" s="72">
        <v>2</v>
      </c>
      <c r="CM430" s="72">
        <v>2</v>
      </c>
      <c r="CN430" s="72">
        <v>2</v>
      </c>
      <c r="CO430" s="72">
        <v>2</v>
      </c>
      <c r="CP430" s="72">
        <v>2</v>
      </c>
      <c r="CQ430" s="72">
        <v>2</v>
      </c>
      <c r="CR430" s="72">
        <v>2</v>
      </c>
      <c r="CS430" s="72">
        <v>2</v>
      </c>
      <c r="CT430" s="72">
        <v>2</v>
      </c>
      <c r="CU430" s="72">
        <v>2</v>
      </c>
      <c r="CV430" s="72">
        <v>2</v>
      </c>
      <c r="CW430" s="72">
        <v>2</v>
      </c>
      <c r="CX430" s="72">
        <v>2</v>
      </c>
      <c r="CY430" s="72">
        <v>2</v>
      </c>
      <c r="CZ430" s="72">
        <v>2</v>
      </c>
      <c r="DA430" s="72">
        <v>2</v>
      </c>
      <c r="DB430" s="72">
        <v>2</v>
      </c>
      <c r="DC430" s="72">
        <v>2</v>
      </c>
      <c r="DD430" s="72">
        <v>2</v>
      </c>
      <c r="DE430" s="72">
        <v>2</v>
      </c>
      <c r="DF430" s="72">
        <v>2</v>
      </c>
    </row>
    <row r="431" spans="1:110" x14ac:dyDescent="0.35">
      <c r="A431" s="7"/>
      <c r="B431" s="8" t="s">
        <v>743</v>
      </c>
      <c r="C431" s="9" t="s">
        <v>744</v>
      </c>
      <c r="D431" s="10" t="s">
        <v>745</v>
      </c>
      <c r="E431" s="8" t="s">
        <v>1229</v>
      </c>
      <c r="F431" s="10"/>
      <c r="G431" s="10" t="s">
        <v>40</v>
      </c>
      <c r="H431" s="10" t="s">
        <v>41</v>
      </c>
      <c r="I431" s="11">
        <v>4</v>
      </c>
      <c r="J431" s="10">
        <v>2</v>
      </c>
      <c r="K431" s="10"/>
      <c r="L431" s="8" t="s">
        <v>746</v>
      </c>
      <c r="M431" s="12"/>
      <c r="N431" s="12">
        <f t="shared" si="7"/>
        <v>0</v>
      </c>
      <c r="O431" s="11"/>
      <c r="P431" s="11"/>
      <c r="Q431" s="11"/>
      <c r="R431" s="11"/>
      <c r="S431" s="11"/>
      <c r="T431" s="11"/>
      <c r="U431" s="11">
        <v>0</v>
      </c>
      <c r="V431" s="11"/>
      <c r="W431" s="11">
        <v>0</v>
      </c>
      <c r="X431" s="11"/>
      <c r="Y431" s="11"/>
      <c r="Z431" s="11">
        <v>0</v>
      </c>
      <c r="AA431" s="11"/>
      <c r="AB431" s="11">
        <v>0</v>
      </c>
      <c r="AC431" s="11">
        <v>0</v>
      </c>
      <c r="AD431" s="11">
        <v>0</v>
      </c>
      <c r="AE431" s="11">
        <v>0</v>
      </c>
      <c r="AF431" s="11">
        <v>0</v>
      </c>
      <c r="AG431" s="11">
        <v>0</v>
      </c>
      <c r="AH431" s="11">
        <v>0</v>
      </c>
      <c r="AI431" s="11">
        <v>4</v>
      </c>
      <c r="AJ431" s="11">
        <v>4</v>
      </c>
      <c r="AK431" s="11">
        <v>4</v>
      </c>
      <c r="AL431" s="11">
        <v>4</v>
      </c>
      <c r="AM431" s="11">
        <v>4</v>
      </c>
      <c r="AN431" s="72">
        <v>4</v>
      </c>
      <c r="AO431" s="72">
        <v>4</v>
      </c>
      <c r="AP431" s="72">
        <v>4</v>
      </c>
      <c r="AQ431" s="72">
        <v>4</v>
      </c>
      <c r="AR431" s="72">
        <v>4</v>
      </c>
      <c r="AS431" s="72">
        <v>4</v>
      </c>
      <c r="AT431" s="72">
        <v>4</v>
      </c>
      <c r="AU431" s="72">
        <v>4</v>
      </c>
      <c r="AV431" s="72">
        <v>4</v>
      </c>
      <c r="AW431" s="72">
        <v>4</v>
      </c>
      <c r="AX431" s="72">
        <v>4</v>
      </c>
      <c r="AY431" s="72">
        <v>4</v>
      </c>
      <c r="AZ431" s="72">
        <v>4</v>
      </c>
      <c r="BA431" s="72">
        <v>4</v>
      </c>
      <c r="BB431" s="72">
        <v>4</v>
      </c>
      <c r="BC431" s="72">
        <v>4</v>
      </c>
      <c r="BD431" s="72">
        <v>4</v>
      </c>
      <c r="BE431" s="72">
        <v>4</v>
      </c>
      <c r="BF431" s="72">
        <v>4</v>
      </c>
      <c r="BG431" s="72">
        <v>4</v>
      </c>
      <c r="BH431" s="72">
        <v>4</v>
      </c>
      <c r="BI431" s="72">
        <v>4</v>
      </c>
      <c r="BJ431" s="72">
        <v>4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</row>
    <row r="432" spans="1:110" x14ac:dyDescent="0.35">
      <c r="A432" s="7"/>
      <c r="B432" s="8" t="s">
        <v>747</v>
      </c>
      <c r="C432" s="35" t="s">
        <v>1159</v>
      </c>
      <c r="D432" s="10" t="s">
        <v>748</v>
      </c>
      <c r="E432" s="8" t="s">
        <v>1229</v>
      </c>
      <c r="F432" s="10"/>
      <c r="G432" s="10" t="s">
        <v>40</v>
      </c>
      <c r="H432" s="10" t="s">
        <v>41</v>
      </c>
      <c r="I432" s="11">
        <v>2</v>
      </c>
      <c r="J432" s="10"/>
      <c r="K432" s="10" t="s">
        <v>550</v>
      </c>
      <c r="L432" s="8"/>
      <c r="M432" s="12"/>
      <c r="N432" s="12">
        <f t="shared" si="7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>
        <v>3</v>
      </c>
      <c r="AA432" s="11"/>
      <c r="AB432" s="11"/>
      <c r="AC432" s="11">
        <v>0</v>
      </c>
      <c r="AD432" s="11">
        <v>0</v>
      </c>
      <c r="AE432" s="11">
        <v>0</v>
      </c>
      <c r="AF432" s="11">
        <v>0</v>
      </c>
      <c r="AG432" s="11">
        <v>0</v>
      </c>
      <c r="AH432" s="11">
        <v>0</v>
      </c>
      <c r="AI432" s="11">
        <v>2</v>
      </c>
      <c r="AJ432" s="11">
        <v>2</v>
      </c>
      <c r="AK432" s="11">
        <v>2</v>
      </c>
      <c r="AL432" s="11">
        <v>1</v>
      </c>
      <c r="AM432" s="11">
        <v>1</v>
      </c>
      <c r="AN432" s="72">
        <v>1</v>
      </c>
      <c r="AO432" s="72">
        <v>1</v>
      </c>
      <c r="AP432" s="72">
        <v>1</v>
      </c>
      <c r="AQ432" s="72">
        <v>1</v>
      </c>
      <c r="AR432" s="72">
        <v>1</v>
      </c>
      <c r="AS432" s="72">
        <v>1</v>
      </c>
      <c r="AT432" s="72">
        <v>1</v>
      </c>
      <c r="AU432" s="72">
        <v>1</v>
      </c>
      <c r="AV432" s="72">
        <v>1</v>
      </c>
      <c r="AW432" s="72">
        <v>1</v>
      </c>
      <c r="AX432" s="72">
        <v>1</v>
      </c>
      <c r="AY432" s="72">
        <v>1</v>
      </c>
      <c r="AZ432" s="72">
        <v>1</v>
      </c>
      <c r="BA432" s="72">
        <v>1</v>
      </c>
      <c r="BB432" s="72">
        <v>1</v>
      </c>
      <c r="BC432" s="72">
        <v>1</v>
      </c>
      <c r="BD432" s="72">
        <v>1</v>
      </c>
      <c r="BE432" s="72">
        <v>1</v>
      </c>
      <c r="BF432" s="72">
        <v>1</v>
      </c>
      <c r="BG432" s="72">
        <v>1</v>
      </c>
      <c r="BH432" s="72">
        <v>1</v>
      </c>
      <c r="BI432" s="72">
        <v>1</v>
      </c>
      <c r="BJ432" s="72">
        <v>1</v>
      </c>
      <c r="BK432" s="72">
        <v>1</v>
      </c>
      <c r="BL432" s="72">
        <v>1</v>
      </c>
      <c r="BM432" s="72">
        <v>1</v>
      </c>
      <c r="BN432" s="72">
        <v>1</v>
      </c>
      <c r="BO432" s="72">
        <v>1</v>
      </c>
      <c r="BP432" s="72">
        <v>1</v>
      </c>
      <c r="BQ432" s="72">
        <v>1</v>
      </c>
      <c r="BR432" s="72">
        <v>1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sqref>A312</xm:sqref>
            </x14:sparkline>
            <x14:sparkline>
              <xm:f>Stok!I314:AP314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Stok!I330:AP330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Stok!I332:AP332</xm:f>
              <xm:sqref>A330</xm:sqref>
            </x14:sparkline>
            <x14:sparkline>
              <xm:f>Stok!I333:AP333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Stok!I339:AP339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Stok!I343:AP343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Stok!I352:AP352</xm:f>
              <xm:sqref>A351</xm:sqref>
            </x14:sparkline>
            <x14:sparkline>
              <xm:f>Stok!I354:AP354</xm:f>
              <xm:sqref>A352</xm:sqref>
            </x14:sparkline>
            <x14:sparkline>
              <xm:f>Stok!I355:AP355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Stok!I364:AP364</xm:f>
              <xm:sqref>A362</xm:sqref>
            </x14:sparkline>
            <x14:sparkline>
              <xm:f>Stok!I366:AP366</xm:f>
              <xm:sqref>A363</xm:sqref>
            </x14:sparkline>
            <x14:sparkline>
              <xm:f>Stok!I366:AP366</xm:f>
              <xm:sqref>A364</xm:sqref>
            </x14:sparkline>
            <x14:sparkline>
              <xm:f>Stok!I367:AP367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Stok!I375:AP375</xm:f>
              <xm:sqref>A373</xm:sqref>
            </x14:sparkline>
            <x14:sparkline>
              <xm:f>Stok!I377:AP377</xm:f>
              <xm:sqref>A374</xm:sqref>
            </x14:sparkline>
            <x14:sparkline>
              <xm:sqref>A375</xm:sqref>
            </x14:sparkline>
            <x14:sparkline>
              <xm:sqref>A376</xm:sqref>
            </x14:sparkline>
            <x14:sparkline>
              <xm:f>Stok!I380:AP380</xm:f>
              <xm:sqref>A377</xm:sqref>
            </x14:sparkline>
            <x14:sparkline>
              <xm:f>Stok!I381:AP381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Stok!I384:AP384</xm:f>
              <xm:sqref>A382</xm:sqref>
            </x14:sparkline>
            <x14:sparkline>
              <xm:f>Stok!I385:AP385</xm:f>
              <xm:sqref>A383</xm:sqref>
            </x14:sparkline>
            <x14:sparkline>
              <xm:f>Stok!I386:AP386</xm:f>
              <xm:sqref>A384</xm:sqref>
            </x14:sparkline>
            <x14:sparkline>
              <xm:f>Stok!I387:AP387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Stok!I393:AP393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Stok!I410:AP410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Stok!I417:AP417</xm:f>
              <xm:sqref>A413</xm:sqref>
            </x14:sparkline>
            <x14:sparkline>
              <xm:f>Stok!I418:AP418</xm:f>
              <xm:sqref>A414</xm:sqref>
            </x14:sparkline>
            <x14:sparkline>
              <xm:f>Stok!I418:AP418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Stok!I428:AP428</xm:f>
              <xm:sqref>A425</xm:sqref>
            </x14:sparkline>
            <x14:sparkline>
              <xm:f>Stok!I430:AP430</xm:f>
              <xm:sqref>A426</xm:sqref>
            </x14:sparkline>
            <x14:sparkline>
              <xm:f>Stok!I431:AP431</xm:f>
              <xm:sqref>A427</xm:sqref>
            </x14:sparkline>
            <x14:sparkline>
              <xm:f>Stok!I431:AP431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sqref>A431</xm:sqref>
            </x14:sparkline>
            <x14:sparkline>
              <xm:sqref>A432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2026-06-22T06:51:18Z</dcterms:modified>
</cp:coreProperties>
</file>