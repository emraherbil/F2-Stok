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3B68B29-B184-4521-A4FA-CFDE3F71403A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2" i="2"/>
  <c r="DI336" i="2"/>
  <c r="DI139" i="2"/>
  <c r="L6" i="6" l="1"/>
  <c r="X2" i="6" s="1"/>
  <c r="L7" i="6"/>
  <c r="DH336" i="2" l="1"/>
  <c r="DH139" i="2"/>
  <c r="DG336" i="2"/>
  <c r="DG139" i="2"/>
  <c r="L8" i="6" l="1"/>
  <c r="DF336" i="2"/>
  <c r="DF139" i="2"/>
  <c r="L9" i="6" l="1"/>
  <c r="L10" i="6"/>
  <c r="DE336" i="2"/>
  <c r="DE139" i="2"/>
  <c r="L11" i="6" l="1"/>
  <c r="DD336" i="2"/>
  <c r="DD139" i="2"/>
  <c r="L12" i="6"/>
  <c r="DC139" i="2" l="1"/>
  <c r="DB139" i="2"/>
  <c r="L13" i="6" l="1"/>
  <c r="L14" i="6"/>
  <c r="DA139" i="2"/>
  <c r="L15" i="6" l="1"/>
  <c r="CZ139" i="2"/>
  <c r="L16" i="6" l="1"/>
  <c r="L17" i="6"/>
  <c r="L18" i="6" l="1"/>
  <c r="L19" i="6" l="1"/>
  <c r="L20" i="6" l="1"/>
  <c r="L21" i="6" l="1"/>
  <c r="L22" i="6"/>
  <c r="L23" i="6" l="1"/>
  <c r="L24" i="6" l="1"/>
  <c r="L25" i="6"/>
  <c r="L26" i="6" l="1"/>
  <c r="M33" i="2" l="1"/>
  <c r="L27" i="6" l="1"/>
  <c r="L28" i="6" l="1"/>
  <c r="L29" i="6"/>
  <c r="L30" i="6" l="1"/>
  <c r="L31" i="6"/>
  <c r="L32" i="6" l="1"/>
  <c r="L33" i="6" l="1"/>
  <c r="L34" i="6"/>
  <c r="L35" i="6" l="1"/>
  <c r="L36" i="6" l="1"/>
  <c r="L37" i="6" l="1"/>
  <c r="L38" i="6" l="1"/>
  <c r="L39" i="6"/>
  <c r="L40" i="6" l="1"/>
  <c r="L41" i="6" l="1"/>
  <c r="L42" i="6" l="1"/>
  <c r="L43" i="6" l="1"/>
  <c r="L44" i="6" l="1"/>
  <c r="L45" i="6" l="1"/>
  <c r="L46" i="6" l="1"/>
  <c r="BU141" i="2"/>
  <c r="L47" i="6" l="1"/>
  <c r="L48" i="6" l="1"/>
  <c r="BS188" i="2" l="1"/>
  <c r="L49" i="6" l="1"/>
  <c r="L50" i="6" l="1"/>
  <c r="L51" i="6" l="1"/>
  <c r="L52" i="6"/>
  <c r="L53" i="6"/>
  <c r="L54" i="6" l="1"/>
  <c r="L55" i="6"/>
  <c r="L56" i="6" l="1"/>
  <c r="L57" i="6"/>
  <c r="L102" i="6" l="1"/>
  <c r="L58" i="6" l="1"/>
  <c r="L59" i="6" l="1"/>
  <c r="L60" i="6" l="1"/>
  <c r="L61" i="6" l="1"/>
  <c r="L62" i="6" l="1"/>
  <c r="L63" i="6"/>
  <c r="L64" i="6" l="1"/>
  <c r="L65" i="6"/>
  <c r="L66" i="6" l="1"/>
  <c r="G2" i="6" l="1"/>
  <c r="L67" i="6" l="1"/>
  <c r="L68" i="6" l="1"/>
  <c r="L69" i="6" l="1"/>
  <c r="L70" i="6" l="1"/>
  <c r="L71" i="6" l="1"/>
  <c r="L105" i="6" l="1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3" i="6"/>
  <c r="L72" i="6"/>
  <c r="L74" i="6"/>
  <c r="L75" i="6" l="1"/>
  <c r="L76" i="6" l="1"/>
  <c r="L77" i="6" l="1"/>
  <c r="L37" i="3" l="1"/>
</calcChain>
</file>

<file path=xl/sharedStrings.xml><?xml version="1.0" encoding="utf-8"?>
<sst xmlns="http://schemas.openxmlformats.org/spreadsheetml/2006/main" count="4642" uniqueCount="1555">
  <si>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</si>
  <si>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</si>
  <si>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</si>
  <si>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</si>
  <si>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</si>
  <si>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</si>
  <si>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</si>
  <si>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</si>
  <si>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</si>
  <si>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</si>
  <si>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</si>
  <si>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</si>
  <si>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</si>
  <si>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</si>
  <si>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</si>
  <si>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</si>
  <si>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</si>
  <si>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</si>
  <si>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</si>
  <si>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</si>
  <si>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</si>
  <si>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</si>
  <si>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</si>
  <si>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</si>
  <si>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</si>
  <si>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</si>
  <si>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</si>
  <si>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</si>
  <si>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</si>
  <si>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</si>
  <si>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</si>
  <si>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</si>
  <si>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</si>
  <si>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</si>
  <si>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</si>
  <si>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</si>
  <si>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</si>
  <si>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</si>
  <si>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</si>
  <si>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</si>
  <si>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</si>
  <si>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</si>
  <si>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</si>
  <si>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</si>
  <si>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</si>
  <si>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</si>
  <si>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</si>
  <si>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</si>
  <si>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</si>
  <si>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</si>
  <si>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</si>
  <si>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</si>
  <si>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</si>
  <si>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</si>
  <si>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</si>
  <si>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</si>
  <si>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</si>
  <si>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</si>
  <si>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</si>
  <si>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</si>
  <si>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</si>
  <si>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</si>
  <si>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</si>
  <si>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</si>
  <si>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</si>
  <si>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</si>
  <si>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</si>
  <si>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</si>
  <si>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</si>
  <si>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</si>
  <si>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</si>
  <si>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</si>
  <si>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</si>
  <si>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</si>
  <si>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</si>
  <si>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</si>
  <si>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</si>
  <si>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</si>
  <si>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</si>
  <si>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</si>
  <si>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</si>
  <si>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</si>
  <si>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</si>
  <si>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</si>
  <si>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</si>
  <si>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</si>
  <si>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</si>
  <si>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</si>
  <si>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</si>
  <si>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</si>
  <si>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</si>
  <si>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</si>
  <si>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</si>
  <si>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</si>
  <si>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</si>
  <si>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</si>
  <si>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</si>
  <si>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</si>
  <si>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</si>
  <si>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</si>
  <si>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</si>
  <si>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</si>
  <si>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</si>
  <si>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</si>
  <si>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</si>
  <si>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</si>
  <si>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</si>
  <si>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</si>
  <si>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</si>
  <si>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</si>
  <si>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</si>
  <si>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</si>
  <si>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</si>
  <si>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</si>
  <si>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</si>
  <si>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</si>
  <si>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</si>
  <si>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</si>
  <si>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</si>
  <si>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</si>
  <si>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</si>
  <si>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</si>
  <si>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</si>
  <si>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</si>
  <si>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</si>
  <si>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</si>
  <si>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</si>
  <si>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</si>
  <si>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</si>
  <si>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</si>
  <si>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</si>
  <si>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</si>
  <si>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</si>
  <si>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</si>
  <si>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</si>
  <si>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</si>
  <si>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</si>
  <si>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</si>
  <si>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</si>
  <si>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</si>
  <si>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</si>
  <si>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</si>
  <si>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</si>
  <si>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</si>
  <si>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</si>
  <si>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</si>
  <si>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</si>
  <si>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</si>
  <si>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</si>
  <si>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</si>
  <si>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</si>
  <si>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</si>
  <si>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</si>
  <si>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</si>
  <si>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</si>
  <si>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</si>
  <si>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</si>
  <si>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</si>
  <si>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</si>
  <si>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</si>
  <si>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</si>
  <si>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</si>
  <si>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</si>
  <si>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</si>
  <si>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</si>
  <si>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</si>
  <si>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</si>
  <si>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</si>
  <si>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</si>
  <si>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</si>
  <si>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</si>
  <si>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</si>
  <si>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</si>
  <si>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</si>
  <si>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</si>
  <si>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</si>
  <si>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</si>
  <si>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</si>
  <si>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</si>
  <si>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</si>
  <si>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</si>
  <si>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</si>
  <si>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</si>
  <si>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</si>
  <si>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</si>
  <si>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</si>
  <si>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</si>
  <si>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</si>
  <si>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</si>
  <si>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</si>
  <si>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</si>
  <si>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</si>
  <si>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</si>
  <si>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</si>
  <si>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</si>
  <si>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</si>
  <si>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</si>
  <si>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</si>
  <si>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</si>
  <si>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</si>
  <si>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</si>
  <si>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</si>
  <si>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</si>
  <si>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</si>
  <si>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</si>
  <si>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</si>
  <si>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</si>
  <si>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</si>
  <si>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</si>
  <si>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</si>
  <si>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</si>
  <si>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</si>
  <si>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</si>
  <si>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</si>
  <si>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</si>
  <si>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</si>
  <si>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</si>
  <si>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</si>
  <si>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</si>
  <si>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</si>
  <si>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</si>
  <si>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</si>
  <si>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</si>
  <si>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</si>
  <si>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</si>
  <si>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</si>
  <si>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</si>
  <si>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</si>
  <si>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</si>
  <si>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</si>
  <si>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</si>
  <si>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</si>
  <si>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</si>
  <si>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</si>
  <si>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</si>
  <si>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</si>
  <si>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</si>
  <si>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</si>
  <si>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</si>
  <si>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</si>
  <si>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</si>
  <si>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</si>
  <si>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</si>
  <si>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</si>
  <si>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</si>
  <si>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</si>
  <si>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</si>
  <si>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</si>
  <si>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</si>
  <si>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</si>
  <si>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</si>
  <si>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</si>
  <si>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</si>
  <si>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</si>
  <si>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</si>
  <si>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</si>
  <si>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</si>
  <si>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</si>
  <si>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</si>
  <si>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</si>
  <si>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</si>
  <si>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</si>
  <si>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</si>
  <si>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</si>
  <si>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</si>
  <si>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</si>
  <si>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</si>
  <si>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</si>
  <si>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</si>
  <si>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</si>
  <si>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</si>
  <si>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</si>
  <si>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</si>
  <si>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</si>
  <si>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</si>
  <si>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</si>
  <si>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</si>
  <si>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</si>
  <si>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</si>
  <si>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</si>
  <si>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</si>
  <si>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</si>
  <si>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</si>
  <si>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</si>
  <si>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</si>
  <si>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</si>
  <si>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</si>
  <si>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</si>
  <si>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</si>
  <si>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</si>
  <si>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</si>
  <si>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</si>
  <si>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</si>
  <si>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</si>
  <si>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</si>
  <si>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</si>
  <si>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</si>
  <si>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</si>
  <si>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</si>
  <si>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</si>
  <si>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</si>
  <si>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</si>
  <si>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</si>
  <si>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</si>
  <si>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</si>
  <si>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</si>
  <si>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</si>
  <si>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</si>
  <si>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</si>
  <si>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</si>
  <si>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</si>
  <si>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</si>
  <si>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</si>
  <si>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</si>
  <si>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</si>
  <si>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</si>
  <si>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</si>
  <si>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</si>
  <si>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</si>
  <si>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</si>
  <si>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</si>
  <si>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</si>
  <si>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</si>
  <si>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</si>
  <si>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</si>
  <si>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</si>
  <si>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</si>
  <si>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</si>
  <si>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</si>
  <si>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</si>
  <si>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</si>
  <si>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</si>
  <si>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</si>
  <si>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</si>
  <si>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</si>
  <si>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</si>
  <si>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</si>
  <si>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</si>
  <si>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</si>
  <si>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</si>
  <si>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</si>
  <si>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</si>
  <si>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</si>
  <si>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</si>
  <si>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</si>
  <si>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</si>
  <si>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</si>
  <si>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</si>
  <si>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</si>
  <si>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</si>
  <si>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</si>
  <si>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</si>
  <si>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</si>
  <si>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</si>
  <si>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</si>
  <si>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</si>
  <si>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</si>
  <si>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</si>
  <si>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</si>
  <si>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</si>
  <si>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</si>
  <si>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</si>
  <si>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</si>
  <si>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</si>
  <si>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</si>
  <si>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</si>
  <si>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</si>
  <si>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</si>
  <si>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</si>
  <si>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</si>
  <si>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</si>
  <si>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</si>
  <si>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</si>
  <si>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</si>
  <si>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</si>
  <si>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</si>
  <si>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</si>
  <si>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</si>
  <si>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</si>
  <si>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</si>
  <si>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</si>
  <si>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</si>
  <si>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</si>
  <si>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</si>
  <si>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</si>
  <si>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</si>
  <si>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</si>
  <si>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</si>
  <si>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</si>
  <si>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</si>
  <si>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</si>
  <si>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</si>
  <si>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</si>
  <si>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</si>
  <si>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</si>
  <si>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</si>
  <si>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</si>
  <si>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</si>
  <si>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</si>
  <si>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</si>
  <si>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</si>
  <si>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</si>
  <si>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</si>
  <si>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</si>
  <si>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</si>
  <si>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</si>
  <si>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</si>
  <si>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</si>
  <si>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</si>
  <si>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</si>
  <si>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</si>
  <si>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</si>
  <si>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</si>
  <si>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</si>
  <si>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</si>
  <si>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</si>
  <si>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</si>
  <si>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</si>
  <si>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</si>
  <si>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</si>
  <si>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</si>
  <si>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</si>
  <si>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</si>
  <si>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</si>
  <si>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</si>
  <si>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</si>
  <si>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</si>
  <si>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</si>
  <si>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</si>
  <si>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</si>
  <si>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</si>
  <si>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</si>
  <si>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</si>
  <si>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</si>
  <si>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</si>
  <si>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</si>
  <si>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</si>
  <si>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</si>
  <si>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</si>
  <si>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</si>
  <si>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</si>
  <si>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</si>
  <si>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</si>
  <si>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</si>
  <si>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</si>
  <si>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</si>
  <si>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</si>
  <si>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</si>
  <si>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</si>
  <si>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</si>
  <si>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</si>
  <si>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</si>
  <si>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</si>
  <si>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</si>
  <si>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</si>
  <si>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</si>
  <si>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</si>
  <si>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</si>
  <si>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</si>
  <si>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</si>
  <si>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</si>
  <si>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</si>
  <si>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</si>
  <si>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</si>
  <si>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</si>
  <si>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</si>
  <si>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</si>
  <si>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</si>
  <si>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</si>
  <si>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</si>
  <si>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</si>
  <si>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</si>
  <si>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</si>
  <si>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</si>
  <si>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</si>
  <si>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</si>
  <si>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</si>
  <si>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</si>
  <si>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</si>
  <si>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</si>
  <si>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</si>
  <si>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</si>
  <si>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</si>
  <si>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</si>
  <si>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</si>
  <si>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</si>
  <si>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</si>
  <si>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</si>
  <si>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</si>
  <si>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</si>
  <si>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</si>
  <si>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</si>
  <si>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</si>
  <si>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</si>
  <si>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</si>
  <si>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</si>
  <si>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</si>
  <si>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</si>
  <si>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</si>
  <si>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</si>
  <si>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</si>
  <si>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</si>
  <si>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</si>
  <si>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</si>
  <si>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</si>
  <si>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</si>
  <si>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</si>
  <si>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</si>
  <si>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</si>
  <si>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</si>
  <si>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</si>
  <si>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</si>
  <si>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</si>
  <si>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</si>
  <si>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</si>
  <si>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</si>
  <si>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</si>
  <si>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</si>
  <si>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</si>
  <si>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</si>
  <si>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</si>
  <si>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</si>
  <si>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</si>
  <si>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</si>
  <si>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</si>
  <si>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</si>
  <si>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</si>
  <si>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</si>
  <si>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</si>
  <si>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</si>
  <si>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</si>
  <si>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</si>
  <si>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</si>
  <si>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</si>
  <si>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</si>
  <si>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</si>
  <si>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</si>
  <si>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</si>
  <si>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</si>
  <si>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</si>
  <si>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</si>
  <si>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</si>
  <si>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</si>
  <si>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</si>
  <si>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</si>
  <si>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</si>
  <si>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</si>
  <si>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</si>
  <si>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</si>
  <si>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</si>
  <si>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</si>
  <si>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</si>
  <si>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</si>
  <si>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</si>
  <si>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</si>
  <si>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</si>
  <si>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</si>
  <si>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</si>
  <si>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</si>
  <si>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</si>
  <si>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</si>
  <si>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</si>
  <si>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</si>
  <si>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</si>
  <si>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</si>
  <si>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</si>
  <si>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</si>
  <si>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</si>
  <si>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</si>
  <si>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</si>
  <si>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</si>
  <si>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</si>
  <si>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</si>
  <si>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</si>
  <si>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</si>
  <si>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</si>
  <si>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</si>
  <si>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</si>
  <si>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</si>
  <si>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</si>
  <si>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</si>
  <si>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</si>
  <si>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</si>
  <si>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</si>
  <si>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</si>
  <si>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</si>
  <si>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</si>
  <si>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</si>
  <si>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</si>
  <si>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</si>
  <si>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</si>
  <si>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</si>
  <si>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</si>
  <si>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</si>
  <si>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</si>
  <si>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</si>
  <si>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</si>
  <si>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</si>
  <si>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</si>
  <si>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</si>
  <si>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</si>
  <si>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</si>
  <si>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</si>
  <si>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</si>
  <si>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</si>
  <si>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</si>
  <si>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</si>
  <si>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</si>
  <si>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</si>
  <si>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</si>
  <si>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</si>
  <si>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</si>
  <si>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</si>
  <si>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</si>
  <si>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</si>
  <si>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</si>
  <si>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</si>
  <si>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</si>
  <si>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</si>
  <si>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</si>
  <si>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</si>
  <si>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</si>
  <si>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</si>
  <si>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</si>
  <si>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</si>
  <si>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</si>
  <si>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</si>
  <si>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</si>
  <si>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</si>
  <si>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</si>
  <si>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</si>
  <si>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</si>
  <si>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</si>
  <si>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</si>
  <si>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</si>
  <si>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</si>
  <si>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</si>
  <si>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</si>
  <si>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</si>
  <si>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</si>
  <si>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</si>
  <si>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</si>
  <si>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</si>
  <si>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</si>
  <si>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</si>
  <si>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</si>
  <si>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</si>
  <si>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</si>
  <si>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</si>
  <si>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</si>
  <si>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</si>
  <si>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</si>
  <si>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</si>
  <si>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</si>
  <si>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</si>
  <si>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</si>
  <si>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</si>
  <si>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</si>
  <si>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</si>
  <si>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</si>
  <si>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</si>
  <si>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</si>
  <si>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</si>
  <si>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</si>
  <si>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</si>
  <si>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</si>
  <si>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</si>
  <si>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</si>
  <si>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</si>
  <si>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</si>
  <si>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</si>
  <si>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</si>
  <si>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</si>
  <si>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</si>
  <si>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</si>
  <si>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</si>
  <si>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</si>
  <si>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</si>
  <si>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</si>
  <si>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</si>
  <si>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</si>
  <si>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</si>
  <si>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</si>
  <si>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</si>
  <si>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</si>
  <si>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</si>
  <si>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</si>
  <si>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</si>
  <si>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</si>
  <si>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</si>
  <si>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</si>
  <si>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</si>
  <si>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</si>
  <si>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</si>
  <si>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</si>
  <si>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</si>
  <si>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</si>
  <si>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</si>
  <si>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</si>
  <si>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</si>
  <si>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</si>
  <si>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</si>
  <si>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</si>
  <si>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</si>
  <si>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</si>
  <si>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</si>
  <si>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</si>
  <si>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</si>
  <si>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</si>
  <si>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</si>
  <si>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</si>
  <si>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</si>
  <si>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</si>
  <si>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</si>
  <si>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</si>
  <si>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</si>
  <si>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</si>
  <si>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</si>
  <si>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</si>
  <si>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</si>
  <si>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</si>
  <si>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</si>
  <si>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</si>
  <si>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</si>
  <si>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</si>
  <si>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</si>
  <si>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</si>
  <si>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</si>
  <si>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</si>
  <si>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</si>
  <si>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</si>
  <si>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</si>
  <si>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</si>
  <si>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</si>
  <si>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</si>
  <si>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</si>
  <si>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</si>
  <si>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</si>
  <si>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</si>
  <si>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</si>
  <si>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</si>
  <si>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</si>
  <si>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</si>
  <si>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</si>
  <si>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</si>
  <si>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</si>
  <si>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</si>
  <si>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</si>
  <si>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</si>
  <si>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</si>
  <si>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</si>
  <si>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</si>
  <si>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</si>
  <si>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</si>
  <si>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</si>
  <si>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</si>
  <si>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</si>
  <si>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</si>
  <si>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</si>
  <si>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</si>
  <si>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</si>
  <si>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</si>
  <si>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</si>
  <si>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</si>
  <si>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</si>
  <si>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</si>
  <si>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</si>
  <si>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</si>
  <si>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</si>
  <si>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</si>
  <si>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</si>
  <si>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</si>
  <si>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</si>
  <si>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</si>
  <si>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</si>
  <si>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</si>
  <si>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</si>
  <si>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</si>
  <si>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</si>
  <si>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</si>
  <si>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</si>
  <si>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</si>
  <si>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</si>
  <si>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</si>
  <si>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</si>
  <si>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</si>
  <si>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</si>
  <si>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</si>
  <si>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</si>
  <si>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</si>
  <si>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</si>
  <si>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</si>
  <si>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</si>
  <si>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</si>
  <si>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</si>
  <si>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</si>
  <si>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</si>
  <si>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</si>
  <si>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</si>
  <si>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</si>
  <si>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</si>
  <si>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</si>
  <si>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</si>
  <si>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</si>
  <si>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</si>
  <si>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</si>
  <si>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</si>
  <si>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</si>
  <si>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</si>
  <si>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</si>
  <si>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</si>
  <si>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</si>
  <si>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</si>
  <si>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</si>
  <si>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</si>
  <si>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</si>
  <si>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</si>
  <si>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</si>
  <si>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</si>
  <si>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</si>
  <si>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</si>
  <si>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</si>
  <si>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</si>
  <si>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</si>
  <si>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</si>
  <si>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</si>
  <si>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</si>
  <si>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</si>
  <si>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</si>
  <si>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</si>
  <si>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</si>
  <si>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</si>
  <si>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</si>
  <si>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</si>
  <si>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</si>
  <si>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</si>
  <si>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</si>
  <si>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</si>
  <si>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</si>
  <si>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</si>
  <si>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</si>
  <si>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</si>
  <si>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</si>
  <si>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</si>
  <si>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</si>
  <si>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</si>
  <si>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</si>
  <si>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</si>
  <si>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</si>
  <si>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</si>
  <si>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</si>
  <si>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</si>
  <si>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</si>
  <si>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</si>
  <si>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</si>
  <si>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</si>
  <si>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</si>
  <si>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</si>
  <si>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</si>
  <si>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</si>
  <si>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</si>
  <si>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</si>
  <si>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</si>
  <si>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</si>
  <si>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</si>
  <si>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</si>
  <si>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</si>
  <si>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</si>
  <si>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</si>
  <si>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</si>
  <si>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</si>
  <si>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</si>
  <si>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</si>
  <si>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</si>
  <si>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</si>
  <si>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</si>
  <si>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</si>
  <si>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</si>
  <si>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</si>
  <si>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</si>
  <si>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</si>
  <si>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</si>
  <si>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</si>
  <si>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</si>
  <si>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</si>
  <si>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</si>
  <si>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</si>
  <si>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</si>
  <si>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</si>
  <si>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</si>
  <si>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</si>
  <si>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</si>
  <si>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</si>
  <si>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</si>
  <si>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</si>
  <si>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</si>
  <si>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</si>
  <si>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</si>
  <si>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</si>
  <si>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</si>
  <si>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</si>
  <si>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</si>
  <si>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</si>
  <si>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</si>
  <si>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</si>
  <si>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</si>
  <si>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</si>
  <si>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</si>
  <si>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</si>
  <si>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</si>
  <si>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</si>
  <si>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</si>
  <si>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</si>
  <si>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</si>
  <si>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</si>
  <si>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</si>
  <si>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</si>
  <si>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</si>
  <si>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</si>
  <si>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</si>
  <si>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</si>
  <si>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</si>
  <si>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</si>
  <si>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</si>
  <si>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</si>
  <si>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</si>
  <si>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</si>
  <si>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</si>
  <si>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</si>
  <si>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</si>
  <si>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</si>
  <si>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</si>
  <si>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</si>
  <si>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</si>
  <si>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</si>
  <si>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</si>
  <si>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</si>
  <si>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</si>
  <si>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</si>
  <si>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</si>
  <si>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</si>
  <si>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</si>
  <si>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</si>
  <si>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</si>
  <si>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</si>
  <si>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</si>
  <si>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</si>
  <si>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</si>
  <si>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</si>
  <si>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</si>
  <si>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</si>
  <si>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</si>
  <si>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</si>
  <si>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</si>
  <si>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</si>
  <si>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</si>
  <si>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</si>
  <si>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</si>
  <si>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</si>
  <si>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</si>
  <si>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</si>
  <si>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</si>
  <si>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</si>
  <si>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</si>
  <si>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</si>
  <si>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</si>
  <si>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</si>
  <si>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</si>
  <si>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</si>
  <si>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</si>
  <si>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</si>
  <si>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</si>
  <si>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</si>
  <si>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</si>
  <si>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</si>
  <si>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</si>
  <si>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</si>
  <si>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</si>
  <si>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</si>
  <si>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</si>
  <si>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</si>
  <si>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</si>
  <si>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</si>
  <si>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</si>
  <si>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</si>
  <si>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</si>
  <si>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</si>
  <si>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</si>
  <si>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</si>
  <si>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</si>
  <si>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</si>
  <si>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</si>
  <si>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</si>
  <si>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</si>
  <si>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</si>
  <si>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</si>
  <si>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</si>
  <si>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</si>
  <si>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</si>
  <si>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</si>
  <si>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</si>
  <si>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</si>
  <si>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</si>
  <si>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</si>
  <si>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</si>
  <si>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</si>
  <si>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</si>
  <si>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</si>
  <si>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</si>
  <si>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</si>
  <si>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</si>
  <si>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</si>
  <si>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</si>
  <si>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</si>
  <si>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</si>
  <si>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</si>
  <si>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</si>
  <si>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</si>
  <si>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</si>
  <si>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</si>
  <si>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</si>
  <si>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</si>
  <si>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</si>
  <si>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</si>
  <si>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</si>
  <si>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</si>
  <si>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</si>
  <si>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</si>
  <si>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</si>
  <si>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</si>
  <si>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</si>
  <si>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</si>
  <si>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</si>
  <si>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</si>
  <si>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</si>
  <si>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</si>
  <si>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</si>
  <si>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</si>
  <si>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</si>
  <si>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</si>
  <si>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</si>
  <si>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</si>
  <si>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</si>
  <si>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</si>
  <si>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</si>
  <si>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</si>
  <si>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</si>
  <si>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</si>
  <si>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</si>
  <si>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</si>
  <si>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</si>
  <si>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</si>
  <si>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</si>
  <si>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</si>
  <si>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</si>
  <si>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</si>
  <si>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</si>
  <si>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</si>
  <si>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</si>
  <si>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</si>
  <si>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</si>
  <si>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</si>
  <si>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</si>
  <si>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</si>
  <si>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</si>
  <si>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</si>
  <si>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</si>
  <si>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</si>
  <si>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</si>
  <si>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</si>
  <si>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</si>
  <si>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</si>
  <si>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</si>
  <si>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</si>
  <si>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</si>
  <si>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</si>
  <si>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</si>
  <si>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</si>
  <si>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</si>
  <si>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</si>
  <si>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</si>
  <si>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</si>
  <si>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</si>
  <si>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</si>
  <si>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</si>
  <si>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</si>
  <si>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</si>
  <si>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</si>
  <si>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</si>
  <si>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</si>
  <si>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</si>
  <si>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</si>
  <si>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</si>
  <si>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</si>
  <si>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</si>
  <si>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</si>
  <si>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</si>
  <si>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</si>
  <si>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</si>
  <si>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</si>
  <si>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</si>
  <si>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</si>
  <si>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</si>
  <si>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</si>
  <si>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</si>
  <si>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</si>
  <si>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</si>
  <si>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</si>
  <si>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</si>
  <si>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</si>
  <si>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</si>
  <si>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</si>
  <si>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</si>
  <si>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</si>
  <si>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</si>
  <si>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</si>
  <si>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</si>
  <si>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</si>
  <si>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</si>
  <si>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</si>
  <si>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</si>
  <si>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</si>
  <si>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</si>
  <si>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</si>
  <si>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</si>
  <si>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</si>
  <si>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</si>
  <si>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</si>
  <si>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</si>
  <si>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</si>
  <si>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</si>
  <si>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</si>
  <si>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</si>
  <si>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</si>
  <si>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</si>
  <si>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</si>
  <si>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</si>
  <si>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</si>
  <si>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</si>
  <si>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</si>
  <si>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</si>
  <si>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</si>
  <si>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</si>
  <si>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</si>
  <si>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</si>
  <si>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</si>
  <si>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</si>
  <si>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</si>
  <si>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</si>
  <si>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</si>
  <si>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</si>
  <si>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</si>
  <si>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</si>
  <si>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</si>
  <si>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</si>
  <si>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</si>
  <si>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</si>
  <si>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</si>
  <si>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</si>
  <si>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</si>
  <si>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</si>
  <si>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</si>
  <si>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</si>
  <si>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</si>
  <si>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</si>
  <si>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</si>
  <si>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</si>
  <si>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</si>
  <si>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</si>
  <si>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</si>
  <si>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</si>
  <si>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</si>
  <si>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</si>
  <si>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</si>
  <si>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</si>
  <si>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</si>
  <si>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</si>
  <si>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</si>
  <si>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</si>
  <si>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</si>
  <si>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</si>
  <si>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</si>
  <si>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</si>
  <si>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</si>
  <si>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</si>
  <si>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</si>
  <si>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</si>
  <si>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</si>
  <si>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</si>
  <si>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</si>
  <si>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</si>
  <si>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</si>
  <si>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</si>
  <si>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</si>
  <si>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</si>
  <si>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</si>
  <si>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</si>
  <si>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</si>
  <si>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</si>
  <si>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</si>
  <si>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</si>
  <si>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</si>
  <si>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</si>
  <si>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</si>
  <si>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</si>
  <si>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</si>
  <si>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</si>
  <si>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</si>
  <si>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</si>
  <si>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</si>
  <si>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</si>
  <si>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</si>
  <si>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</si>
  <si>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</si>
  <si>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</si>
  <si>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</si>
  <si>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</si>
  <si>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</si>
  <si>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</si>
  <si>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</si>
  <si>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</si>
  <si>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</si>
  <si>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</si>
  <si>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</si>
  <si>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</si>
  <si>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</si>
  <si>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</si>
  <si>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</si>
  <si>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</si>
  <si>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</si>
  <si>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</si>
  <si>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</si>
  <si>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</si>
  <si>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</si>
  <si>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</si>
  <si>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</si>
  <si>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</si>
  <si>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</si>
  <si>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</si>
  <si>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</si>
  <si>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</si>
  <si>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</si>
  <si>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</si>
  <si>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</si>
  <si>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</si>
  <si>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</si>
  <si>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</si>
  <si>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</si>
  <si>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</si>
  <si>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</si>
  <si>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</si>
  <si>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</si>
  <si>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</si>
  <si>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</si>
  <si>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</si>
  <si>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</si>
  <si>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</si>
  <si>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</si>
  <si>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</si>
  <si>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</si>
  <si>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</si>
  <si>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</si>
  <si>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</si>
  <si>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</si>
  <si>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</si>
  <si>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</si>
  <si>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</si>
  <si>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</si>
  <si>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</si>
  <si>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</si>
  <si>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</si>
  <si>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</si>
  <si>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</si>
  <si>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</si>
  <si>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</si>
  <si>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</si>
  <si>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</si>
  <si>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</si>
  <si>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</si>
  <si>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</si>
  <si>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</si>
  <si>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</si>
  <si>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</si>
  <si>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</si>
  <si>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</si>
  <si>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</si>
  <si>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</si>
  <si>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</si>
  <si>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</si>
  <si>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</si>
  <si>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</si>
  <si>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</si>
  <si>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</si>
  <si>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</si>
  <si>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</si>
  <si>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</si>
  <si>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</si>
  <si>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</si>
  <si>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</si>
  <si>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</si>
  <si>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</si>
  <si>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</si>
  <si>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</si>
  <si>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</si>
  <si>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</si>
  <si>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</si>
  <si>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</si>
  <si>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</si>
  <si>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</si>
  <si>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</si>
  <si>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</si>
  <si>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</si>
  <si>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</si>
  <si>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</si>
  <si>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</si>
  <si>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</si>
  <si>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</si>
  <si>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</si>
  <si>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</si>
  <si>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</si>
  <si>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</si>
  <si>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</si>
  <si>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</si>
  <si>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</si>
  <si>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</si>
  <si>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</si>
  <si>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</si>
  <si>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</si>
  <si>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</si>
  <si>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</si>
  <si>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</si>
  <si>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</si>
  <si>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</si>
  <si>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</si>
  <si>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</si>
  <si>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</si>
  <si>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</si>
  <si>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</si>
  <si>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</si>
  <si>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</si>
  <si>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</si>
  <si>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</si>
  <si>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</si>
  <si>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</si>
  <si>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</si>
  <si>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</si>
  <si>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</si>
  <si>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</si>
  <si>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</si>
  <si>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</si>
  <si>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</si>
  <si>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</si>
  <si>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</si>
  <si>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</si>
  <si>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</si>
  <si>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</si>
  <si>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</si>
  <si>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</si>
  <si>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</si>
  <si>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</si>
  <si>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</si>
  <si>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</si>
  <si>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</si>
  <si>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</si>
  <si>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</si>
  <si>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</si>
  <si>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</si>
  <si>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</si>
  <si>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</si>
  <si>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</si>
  <si>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</si>
  <si>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</si>
  <si>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</si>
  <si>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</si>
  <si>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</si>
  <si>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</si>
  <si>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</si>
  <si>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</si>
  <si>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</si>
  <si>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</si>
  <si>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</si>
  <si>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</si>
  <si>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</si>
  <si>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</si>
  <si>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</si>
  <si>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</si>
  <si>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</si>
  <si>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</si>
  <si>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</si>
  <si>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</si>
  <si>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</si>
  <si>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</si>
  <si>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</si>
  <si>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</si>
  <si>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</si>
  <si>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</si>
  <si>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</si>
  <si>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</si>
  <si>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</si>
  <si>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</si>
  <si>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</si>
  <si>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</si>
  <si>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</si>
  <si>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</si>
  <si>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</si>
  <si>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</si>
  <si>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</si>
  <si>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</si>
  <si>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</si>
  <si>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</si>
  <si>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</si>
  <si>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</si>
  <si>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</si>
  <si>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</si>
  <si>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</si>
  <si>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</si>
  <si>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</si>
  <si>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</si>
  <si>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</si>
  <si>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</si>
  <si>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</si>
  <si>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</si>
  <si>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</si>
  <si>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</si>
  <si>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</si>
  <si>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</si>
  <si>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</si>
  <si>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</si>
  <si>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</si>
  <si>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</si>
  <si>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</si>
  <si>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</si>
  <si>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</si>
  <si>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</si>
  <si>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</si>
  <si>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</si>
  <si>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</si>
  <si>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</si>
  <si>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</si>
  <si>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</si>
  <si>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</si>
  <si>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</si>
  <si>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</si>
  <si>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</si>
  <si>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</si>
  <si>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</si>
  <si>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</si>
  <si>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</si>
  <si>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</si>
  <si>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</si>
  <si>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</si>
  <si>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</si>
  <si>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</si>
  <si>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</si>
  <si>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</si>
  <si>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</si>
  <si>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</si>
  <si>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</si>
  <si>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</si>
  <si>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</si>
  <si>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</si>
  <si>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</si>
  <si>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</si>
  <si>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</si>
  <si>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</si>
  <si>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</si>
  <si>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</si>
  <si>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</si>
  <si>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</si>
  <si>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</si>
  <si>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</si>
  <si>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</si>
  <si>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</si>
  <si>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</si>
  <si>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</si>
  <si>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</si>
  <si>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</si>
  <si>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</si>
  <si>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</si>
  <si>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</si>
  <si>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</si>
  <si>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</si>
  <si>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</si>
  <si>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</si>
  <si>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</si>
  <si>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</si>
  <si>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</si>
  <si>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</si>
  <si>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</si>
  <si>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</si>
  <si>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</si>
  <si>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</si>
  <si>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</si>
  <si>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</si>
  <si>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</si>
  <si>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</si>
  <si>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</si>
  <si>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</si>
  <si>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</si>
  <si>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</si>
  <si>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</si>
  <si>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</si>
  <si>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</si>
  <si>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</si>
  <si>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</si>
  <si>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</si>
  <si>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</si>
  <si>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</si>
  <si>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</si>
  <si>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</si>
  <si>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</si>
  <si>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</si>
  <si>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</si>
  <si>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</si>
  <si>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</si>
  <si>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</si>
  <si>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</si>
  <si>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</si>
  <si>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</si>
  <si>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</si>
  <si>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</si>
  <si>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</si>
  <si>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</si>
  <si>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</si>
  <si>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</si>
  <si>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</si>
  <si>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</si>
  <si>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</si>
  <si>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</si>
  <si>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</si>
  <si>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</si>
  <si>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</si>
  <si>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</si>
  <si>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</si>
  <si>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</si>
  <si>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</si>
  <si>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</si>
  <si>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</si>
  <si>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</si>
  <si>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</si>
  <si>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</si>
  <si>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</si>
  <si>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</si>
  <si>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</si>
  <si>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</si>
  <si>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</si>
  <si>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</si>
  <si>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</si>
  <si>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</si>
  <si>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</si>
  <si>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</si>
  <si>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</si>
  <si>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13.07.2026</t>
  </si>
  <si>
    <t>Stok Miktarı
13.07.2026</t>
  </si>
  <si>
    <t>Toplam Stok Miktarı
13.07.2026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</si>
</sst>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Dashboard!$K$6:$K$105</c:f>
              <c:numCache>
                <c:formatCode>m/d/yyyy</c:formatCode>
                <c:ptCount val="100"/>
                <c:pt idx="0">
                  <c:v>46216</c:v>
                </c:pt>
                <c:pt idx="1">
                  <c:v>46209</c:v>
                </c:pt>
                <c:pt idx="2">
                  <c:v>46202</c:v>
                </c:pt>
                <c:pt idx="3">
                  <c:v>46195</c:v>
                </c:pt>
                <c:pt idx="4">
                  <c:v>46188</c:v>
                </c:pt>
                <c:pt idx="5">
                  <c:v>46181</c:v>
                </c:pt>
                <c:pt idx="6">
                  <c:v>46174</c:v>
                </c:pt>
                <c:pt idx="7">
                  <c:v>46160</c:v>
                </c:pt>
                <c:pt idx="8">
                  <c:v>46153</c:v>
                </c:pt>
                <c:pt idx="9">
                  <c:v>46146</c:v>
                </c:pt>
                <c:pt idx="10">
                  <c:v>46139</c:v>
                </c:pt>
                <c:pt idx="11">
                  <c:v>46132</c:v>
                </c:pt>
                <c:pt idx="12">
                  <c:v>46125</c:v>
                </c:pt>
                <c:pt idx="13">
                  <c:v>46118</c:v>
                </c:pt>
                <c:pt idx="14">
                  <c:v>46111</c:v>
                </c:pt>
                <c:pt idx="15">
                  <c:v>46104</c:v>
                </c:pt>
                <c:pt idx="16">
                  <c:v>46097</c:v>
                </c:pt>
                <c:pt idx="17">
                  <c:v>46090</c:v>
                </c:pt>
                <c:pt idx="18">
                  <c:v>46083</c:v>
                </c:pt>
                <c:pt idx="19">
                  <c:v>46076</c:v>
                </c:pt>
                <c:pt idx="20">
                  <c:v>46069</c:v>
                </c:pt>
                <c:pt idx="21">
                  <c:v>46062</c:v>
                </c:pt>
                <c:pt idx="22">
                  <c:v>46055</c:v>
                </c:pt>
                <c:pt idx="23">
                  <c:v>46048</c:v>
                </c:pt>
                <c:pt idx="24">
                  <c:v>46041</c:v>
                </c:pt>
                <c:pt idx="25">
                  <c:v>46034</c:v>
                </c:pt>
                <c:pt idx="26">
                  <c:v>46027</c:v>
                </c:pt>
                <c:pt idx="27">
                  <c:v>46020</c:v>
                </c:pt>
                <c:pt idx="28">
                  <c:v>46013</c:v>
                </c:pt>
                <c:pt idx="29">
                  <c:v>46006</c:v>
                </c:pt>
                <c:pt idx="30">
                  <c:v>45999</c:v>
                </c:pt>
                <c:pt idx="31">
                  <c:v>45992</c:v>
                </c:pt>
                <c:pt idx="32">
                  <c:v>45985</c:v>
                </c:pt>
                <c:pt idx="33">
                  <c:v>45978</c:v>
                </c:pt>
                <c:pt idx="34">
                  <c:v>45971</c:v>
                </c:pt>
                <c:pt idx="35">
                  <c:v>45964</c:v>
                </c:pt>
                <c:pt idx="36">
                  <c:v>45950</c:v>
                </c:pt>
                <c:pt idx="37">
                  <c:v>45943</c:v>
                </c:pt>
                <c:pt idx="38">
                  <c:v>45936</c:v>
                </c:pt>
                <c:pt idx="39">
                  <c:v>45929</c:v>
                </c:pt>
                <c:pt idx="40">
                  <c:v>45919</c:v>
                </c:pt>
                <c:pt idx="41">
                  <c:v>45908</c:v>
                </c:pt>
                <c:pt idx="42">
                  <c:v>45896</c:v>
                </c:pt>
                <c:pt idx="43">
                  <c:v>45866</c:v>
                </c:pt>
                <c:pt idx="44">
                  <c:v>45840</c:v>
                </c:pt>
                <c:pt idx="45">
                  <c:v>45824</c:v>
                </c:pt>
                <c:pt idx="46">
                  <c:v>45805</c:v>
                </c:pt>
                <c:pt idx="47">
                  <c:v>45797</c:v>
                </c:pt>
                <c:pt idx="48">
                  <c:v>45783</c:v>
                </c:pt>
                <c:pt idx="49">
                  <c:v>45769</c:v>
                </c:pt>
                <c:pt idx="50">
                  <c:v>45762</c:v>
                </c:pt>
                <c:pt idx="51">
                  <c:v>45750</c:v>
                </c:pt>
                <c:pt idx="52">
                  <c:v>45741</c:v>
                </c:pt>
                <c:pt idx="53">
                  <c:v>45736</c:v>
                </c:pt>
                <c:pt idx="54">
                  <c:v>45726</c:v>
                </c:pt>
                <c:pt idx="55">
                  <c:v>45723</c:v>
                </c:pt>
                <c:pt idx="56">
                  <c:v>45716</c:v>
                </c:pt>
                <c:pt idx="57">
                  <c:v>45712</c:v>
                </c:pt>
                <c:pt idx="58">
                  <c:v>45705</c:v>
                </c:pt>
                <c:pt idx="59">
                  <c:v>45702</c:v>
                </c:pt>
                <c:pt idx="60">
                  <c:v>45698</c:v>
                </c:pt>
                <c:pt idx="61">
                  <c:v>45691</c:v>
                </c:pt>
                <c:pt idx="62">
                  <c:v>45684</c:v>
                </c:pt>
                <c:pt idx="63">
                  <c:v>45677</c:v>
                </c:pt>
                <c:pt idx="64">
                  <c:v>45672</c:v>
                </c:pt>
                <c:pt idx="65">
                  <c:v>45656</c:v>
                </c:pt>
                <c:pt idx="66">
                  <c:v>45649</c:v>
                </c:pt>
                <c:pt idx="67">
                  <c:v>45642</c:v>
                </c:pt>
                <c:pt idx="68">
                  <c:v>45635</c:v>
                </c:pt>
                <c:pt idx="69">
                  <c:v>45630</c:v>
                </c:pt>
                <c:pt idx="70">
                  <c:v>45614</c:v>
                </c:pt>
                <c:pt idx="71">
                  <c:v>45608</c:v>
                </c:pt>
                <c:pt idx="72">
                  <c:v>45596</c:v>
                </c:pt>
                <c:pt idx="73">
                  <c:v>45580</c:v>
                </c:pt>
                <c:pt idx="74">
                  <c:v>45570</c:v>
                </c:pt>
                <c:pt idx="75">
                  <c:v>45563</c:v>
                </c:pt>
                <c:pt idx="76">
                  <c:v>45552</c:v>
                </c:pt>
                <c:pt idx="77">
                  <c:v>45539</c:v>
                </c:pt>
                <c:pt idx="78">
                  <c:v>45524</c:v>
                </c:pt>
                <c:pt idx="79">
                  <c:v>45511</c:v>
                </c:pt>
                <c:pt idx="80">
                  <c:v>45500</c:v>
                </c:pt>
                <c:pt idx="81">
                  <c:v>45490</c:v>
                </c:pt>
                <c:pt idx="82">
                  <c:v>45478</c:v>
                </c:pt>
                <c:pt idx="83">
                  <c:v>45467</c:v>
                </c:pt>
                <c:pt idx="84">
                  <c:v>45455</c:v>
                </c:pt>
                <c:pt idx="85">
                  <c:v>45442</c:v>
                </c:pt>
                <c:pt idx="86">
                  <c:v>45427</c:v>
                </c:pt>
                <c:pt idx="87">
                  <c:v>45427</c:v>
                </c:pt>
                <c:pt idx="88">
                  <c:v>45411</c:v>
                </c:pt>
                <c:pt idx="89">
                  <c:v>45397</c:v>
                </c:pt>
                <c:pt idx="90">
                  <c:v>45376</c:v>
                </c:pt>
                <c:pt idx="91">
                  <c:v>45364</c:v>
                </c:pt>
                <c:pt idx="92">
                  <c:v>45352</c:v>
                </c:pt>
                <c:pt idx="93">
                  <c:v>45334</c:v>
                </c:pt>
                <c:pt idx="94">
                  <c:v>45320</c:v>
                </c:pt>
                <c:pt idx="95">
                  <c:v>45313</c:v>
                </c:pt>
                <c:pt idx="96">
                  <c:v>45293</c:v>
                </c:pt>
                <c:pt idx="97">
                  <c:v>45285</c:v>
                </c:pt>
                <c:pt idx="98">
                  <c:v>45275</c:v>
                </c:pt>
                <c:pt idx="99">
                  <c:v>45173</c:v>
                </c:pt>
              </c:numCache>
            </c:numRef>
          </c:cat>
          <c:val>
            <c:numRef>
              <c:f>Dashboard!$L$6:$L$105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6.493126851849" createdVersion="8" refreshedVersion="8" minRefreshableVersion="3" recordCount="437" xr:uid="{D31DD88B-FBAD-4FC4-A284-64EBFCD071EA}">
  <cacheSource type="worksheet">
    <worksheetSource ref="A1:DI438" sheet="Stok"/>
  </cacheSource>
  <cacheFields count="11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285.60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337264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285.60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376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5196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ED0F5-8F68-415D-9BE0-72A0102006DD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3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3.07.2026" fld="112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3"/>
          </reference>
        </references>
      </pivotArea>
    </format>
    <format dxfId="111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33726488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3372648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5" totalsRowShown="0" headerRowDxfId="99" dataDxfId="97" headerRowBorderDxfId="98" tableBorderDxfId="96" totalsRowBorderDxfId="95">
  <autoFilter ref="K5:L105" xr:uid="{E5E02A0B-EBAC-497B-8F95-E1A614B153BB}">
    <filterColumn colId="0" hiddenButton="1"/>
    <filterColumn colId="1" hiddenButton="1"/>
  </autoFilter>
  <sortState xmlns:xlrd2="http://schemas.microsoft.com/office/spreadsheetml/2017/richdata2" ref="K6:L105">
    <sortCondition descending="1" ref="K77:K105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0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46216</v>
      </c>
      <c r="L6" s="59" t="str">
        <f>IFERROR(VLOOKUP($A$2,Stok!$B$1:$DI$438,112,0),"")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46209</v>
      </c>
      <c r="L7" s="59" t="str">
        <f>IFERROR(VLOOKUP($A$2,Stok!$B$1:$DH$438,111,0),"")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46202</v>
      </c>
      <c r="L8" s="59" t="str">
        <f>IFERROR(VLOOKUP($A$2,Stok!$B$1:$DG$438,110,0),"")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46195</v>
      </c>
      <c r="L9" s="59" t="str">
        <f>IFERROR(VLOOKUP($A$2,Stok!$B$1:$DF$438,109,0),"")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46188</v>
      </c>
      <c r="L10" s="59" t="str">
        <f>IFERROR(VLOOKUP($A$2,Stok!$B$1:$DE$438,108,0),"")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46181</v>
      </c>
      <c r="L11" s="59" t="str">
        <f>IFERROR(VLOOKUP($A$2,Stok!$B$1:$DD$438,107,0),"")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46174</v>
      </c>
      <c r="L12" s="59" t="str">
        <f>IFERROR(VLOOKUP($A$2,Stok!$B$1:$DC$438,106,0),"")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46160</v>
      </c>
      <c r="L13" s="59" t="str">
        <f>IFERROR(VLOOKUP($A$2,Stok!$B$1:$DB$438,105,0),"")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46153</v>
      </c>
      <c r="L14" s="59" t="str">
        <f>IFERROR(VLOOKUP($A$2,Stok!$B$1:$DA$438,104,0),"")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46146</v>
      </c>
      <c r="L15" s="59" t="str">
        <f>IFERROR(VLOOKUP($A$2,Stok!$B$1:$CZ$438,103,0),"")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46139</v>
      </c>
      <c r="L16" s="59" t="str">
        <f>IFERROR(VLOOKUP($A$2,Stok!$B$1:$CY$438,102,0),"")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46132</v>
      </c>
      <c r="L17" s="59" t="str">
        <f>IFERROR(VLOOKUP($A$2,Stok!$B$1:$CX$438,101,0),"")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46125</v>
      </c>
      <c r="L18" s="59" t="str">
        <f>IFERROR(VLOOKUP($A$2,Stok!$B$1:$CW$438,100,0),"")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46118</v>
      </c>
      <c r="L19" s="59" t="str">
        <f>IFERROR(VLOOKUP($A$2,Stok!$B$1:$CV$438,99,0),"")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46111</v>
      </c>
      <c r="L20" s="59" t="str">
        <f>IFERROR(VLOOKUP($A$2,Stok!$B$1:$CU$438,98,0),"")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46104</v>
      </c>
      <c r="L21" s="59" t="str">
        <f>IFERROR(VLOOKUP($A$2,Stok!$B$1:$CT$438,97,0),"")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46097</v>
      </c>
      <c r="L22" s="59" t="str">
        <f>IFERROR(VLOOKUP($A$2,Stok!$B$1:$CS$438,96,0),"")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46090</v>
      </c>
      <c r="L23" s="59" t="str">
        <f>IFERROR(VLOOKUP($A$2,Stok!$B$1:$CR$438,95,0),"")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46083</v>
      </c>
      <c r="L24" s="59" t="str">
        <f>IFERROR(VLOOKUP($A$2,Stok!$B$1:$CQ$438,94,0),"")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46076</v>
      </c>
      <c r="L25" s="59" t="str">
        <f>IFERROR(VLOOKUP($A$2,Stok!$B$1:$CP$438,93,0),"")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46069</v>
      </c>
      <c r="L26" s="59" t="str">
        <f>IFERROR(VLOOKUP($A$2,Stok!$B$1:$CO$438,92,0),"")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46062</v>
      </c>
      <c r="L27" s="59" t="str">
        <f>IFERROR(VLOOKUP($A$2,Stok!$B$1:$CN$438,91,0),"")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46055</v>
      </c>
      <c r="L28" s="59" t="str">
        <f>IFERROR(VLOOKUP($A$2,Stok!$B$1:$CM$438,90,0),"")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46048</v>
      </c>
      <c r="L29" s="59" t="str">
        <f>IFERROR(VLOOKUP($A$2,Stok!$B$1:$CL$438,89,0),"")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46041</v>
      </c>
      <c r="L30" s="59" t="str">
        <f>IFERROR(VLOOKUP($A$2,Stok!$B$1:$CK$438,88,0),"")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46034</v>
      </c>
      <c r="L31" s="59" t="str">
        <f>IFERROR(VLOOKUP($A$2,Stok!$B$1:$CJ$438,87,0),"")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46027</v>
      </c>
      <c r="L32" s="59" t="str">
        <f>IFERROR(VLOOKUP($A$2,Stok!$B$1:$CI$438,86,0),"")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46020</v>
      </c>
      <c r="L33" s="59" t="str">
        <f>IFERROR(VLOOKUP($A$2,Stok!$B$1:$CH$438,85,0),"")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46013</v>
      </c>
      <c r="L34" s="59" t="str">
        <f>IFERROR(VLOOKUP($A$2,Stok!$B$1:$CG$438,84,0),"")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46006</v>
      </c>
      <c r="L35" s="59" t="str">
        <f>IFERROR(VLOOKUP($A$2,Stok!$B$1:$CF$438,83,0),"")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45999</v>
      </c>
      <c r="L36" s="59" t="str">
        <f>IFERROR(VLOOKUP($A$2,Stok!$B$1:$CE$438,82,0),"")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45992</v>
      </c>
      <c r="L37" s="59" t="str">
        <f>IFERROR(VLOOKUP($A$2,Stok!$B$1:$CD$438,81,0),"")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45985</v>
      </c>
      <c r="L38" s="59" t="str">
        <f>IFERROR(VLOOKUP($A$2,Stok!$B$1:$CC$438,80,0),"")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45978</v>
      </c>
      <c r="L39" s="59" t="str">
        <f>IFERROR(VLOOKUP($A$2,Stok!$B$1:$CB$438,79,0),"")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45971</v>
      </c>
      <c r="L40" s="59" t="str">
        <f>IFERROR(VLOOKUP($A$2,Stok!$B$1:$CA$438,78,0),"")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45964</v>
      </c>
      <c r="L41" s="59" t="str">
        <f>IFERROR(VLOOKUP($A$2,Stok!$B$1:$BZ$438,77,0),"")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45950</v>
      </c>
      <c r="L42" s="59" t="str">
        <f>IFERROR(VLOOKUP($A$2,Stok!$B$1:$BY$438,76,0),"")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45943</v>
      </c>
      <c r="L43" s="59" t="str">
        <f>IFERROR(VLOOKUP($A$2,Stok!$B$1:$BX$438,75,0),"")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45936</v>
      </c>
      <c r="L44" s="59" t="str">
        <f>IFERROR(VLOOKUP($A$2,Stok!$B$1:$BW$438,74,0),"")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45929</v>
      </c>
      <c r="L45" s="59" t="str">
        <f>IFERROR(VLOOKUP($A$2,Stok!$B$1:$BV$438,73,0),"")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45919</v>
      </c>
      <c r="L46" s="59" t="str">
        <f>IFERROR(VLOOKUP($A$2,Stok!$B$1:$BU$438,72,0),"")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45908</v>
      </c>
      <c r="L47" s="59" t="str">
        <f>IFERROR(VLOOKUP($A$2,Stok!$B$1:$BT$438,71,0),"")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45896</v>
      </c>
      <c r="L48" s="59" t="str">
        <f>IFERROR(VLOOKUP($A$2,Stok!$B$1:$BS$438,70,0),"")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45866</v>
      </c>
      <c r="L49" s="59" t="str">
        <f>IFERROR(VLOOKUP($A$2,Stok!$B$1:$BR$438,69,0),"")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45840</v>
      </c>
      <c r="L50" s="59" t="str">
        <f>IFERROR(VLOOKUP($A$2,Stok!$B$1:$BQ$438,68,0),"")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45824</v>
      </c>
      <c r="L51" s="59" t="str">
        <f>IFERROR(VLOOKUP($A$2,Stok!$B$1:$BP$438,67,0),"")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45805</v>
      </c>
      <c r="L52" s="59" t="str">
        <f>IFERROR(VLOOKUP($A$2,Stok!$B$1:$BO$438,66,0),"")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45797</v>
      </c>
      <c r="L53" s="59" t="str">
        <f>IFERROR(VLOOKUP($A$2,Stok!$B$1:$BN$438,65,0),"")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45783</v>
      </c>
      <c r="L54" s="59" t="str">
        <f>IFERROR(VLOOKUP($A$2,Stok!$B$1:$BM$438,64,0),"")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45769</v>
      </c>
      <c r="L55" s="59" t="str">
        <f>IFERROR(VLOOKUP($A$2,Stok!$B$1:$BL$438,63,0),"")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45762</v>
      </c>
      <c r="L56" s="59" t="str">
        <f>IFERROR(VLOOKUP($A$2,Stok!$B$1:$BK$438,62,0),"")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45750</v>
      </c>
      <c r="L57" s="59" t="str">
        <f>IFERROR(VLOOKUP($A$2,Stok!$B$1:$BJ$438,61,0),"")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45741</v>
      </c>
      <c r="L58" s="59" t="str">
        <f>IFERROR(VLOOKUP($A$2,Stok!$B$1:$BI$438,60,0),"")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45736</v>
      </c>
      <c r="L59" s="59" t="str">
        <f>IFERROR(VLOOKUP($A$2,Stok!$B$1:$BH$438,59,0),"")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45726</v>
      </c>
      <c r="L60" s="59" t="str">
        <f>IFERROR(VLOOKUP($A$2,Stok!$B$1:$BG$438,58,0),"")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45723</v>
      </c>
      <c r="L61" s="59" t="str">
        <f>IFERROR(VLOOKUP($A$2,Stok!$B$1:$BF$438,57,0),"")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45716</v>
      </c>
      <c r="L62" s="59" t="str">
        <f>IFERROR(VLOOKUP($A$2,Stok!$B$1:$BE$438,56,0),"")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45712</v>
      </c>
      <c r="L63" s="59" t="str">
        <f>IFERROR(VLOOKUP($A$2,Stok!$B$1:$BD$438,55,0),"")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45705</v>
      </c>
      <c r="L64" s="59" t="str">
        <f>IFERROR(VLOOKUP($A$2,Stok!$B$1:$BC$438,54,0),"")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45702</v>
      </c>
      <c r="L65" s="59" t="str">
        <f>IFERROR(VLOOKUP($A$2,Stok!$B$1:$BB$438,53,0),"")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45698</v>
      </c>
      <c r="L66" s="59" t="str">
        <f>IFERROR(VLOOKUP($A$2,Stok!$B$1:$BA$438,52,0),"")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45691</v>
      </c>
      <c r="L67" s="59" t="str">
        <f>IFERROR(VLOOKUP($A$2,Stok!$B$1:$AZ$438,51,0),"")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45684</v>
      </c>
      <c r="L68" s="59" t="str">
        <f>IFERROR(VLOOKUP($A$2,Stok!$B$1:$AY$438,50,0),"")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45677</v>
      </c>
      <c r="L69" s="59" t="str">
        <f>IFERROR(VLOOKUP($A$2,Stok!$B$1:$AX$438,49,0),"")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45672</v>
      </c>
      <c r="L70" s="59" t="str">
        <f>IFERROR(VLOOKUP($A$2,Stok!$B$1:$AW$438,48,0),"")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45656</v>
      </c>
      <c r="L71" s="59" t="str">
        <f>IFERROR(VLOOKUP($A$2,Stok!$B$1:$AV$438,47,0),"")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45649</v>
      </c>
      <c r="L72" s="59" t="str">
        <f>IFERROR(VLOOKUP($A$2,Stok!$B$1:$AU$438,46,0),"")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45642</v>
      </c>
      <c r="L73" s="59" t="str">
        <f>IFERROR(VLOOKUP($A$2,Stok!$B$1:$AT$438,45,0),"")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45635</v>
      </c>
      <c r="L74" s="59" t="str">
        <f>IFERROR(VLOOKUP($A$2,Stok!$B$1:$AS$438,44,0),"")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45630</v>
      </c>
      <c r="L75" s="59" t="str">
        <f>IFERROR(VLOOKUP($A$2,Stok!$B$1:$AR$438,43,0),"")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45614</v>
      </c>
      <c r="L76" s="59" t="str">
        <f>IFERROR(VLOOKUP($A$2,Stok!$B$1:$AQ$438,42,0),"")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45608</v>
      </c>
      <c r="L77" s="59" t="str">
        <f>IFERROR(VLOOKUP($A$2,Stok!$B$1:$AP$438,41,0),"")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45596</v>
      </c>
      <c r="L78" s="59" t="str">
        <f>IFERROR(VLOOKUP($A$2,Stok!$B$1:$AO$438,40,0),"")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45580</v>
      </c>
      <c r="L79" s="59" t="str">
        <f>IFERROR(VLOOKUP($A$2,Stok!$B$1:$AN$438,39,0),"")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45570</v>
      </c>
      <c r="L80" s="59" t="str">
        <f>IFERROR(VLOOKUP($A$2,Stok!$B$1:$AM$438,38,0),"")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45563</v>
      </c>
      <c r="L81" s="59" t="str">
        <f>IFERROR(VLOOKUP($A$2,Stok!$B$1:$AL$438,37,0),"")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45552</v>
      </c>
      <c r="L82" s="59" t="str">
        <f>IFERROR(VLOOKUP($A$2,Stok!$B$1:$AK$438,36,0),"")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45539</v>
      </c>
      <c r="L83" s="59" t="str">
        <f>IFERROR(VLOOKUP($A$2,Stok!$B$1:$AJ$438,35,0),"")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45524</v>
      </c>
      <c r="L84" s="59" t="str">
        <f>IFERROR(VLOOKUP($A$2,Stok!$B$1:$AI$438,34,0),"")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45511</v>
      </c>
      <c r="L85" s="59" t="str">
        <f>IFERROR(VLOOKUP($A$2,Stok!$B$1:$AH$438,33,0),"")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45500</v>
      </c>
      <c r="L86" s="59" t="str">
        <f>IFERROR(VLOOKUP($A$2,Stok!$B$1:$AG$438,32,0),"")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45490</v>
      </c>
      <c r="L87" s="59" t="str">
        <f>IFERROR(VLOOKUP($A$2,Stok!$B$1:$AF$438,31,0),"")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45478</v>
      </c>
      <c r="L88" s="59" t="str">
        <f>IFERROR(VLOOKUP($A$2,Stok!$B$1:$AE$438,30,0),"")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45467</v>
      </c>
      <c r="L89" s="59" t="str">
        <f>IFERROR(VLOOKUP($A$2,Stok!$B$1:$AD$438,29,0),"")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45455</v>
      </c>
      <c r="L90" s="59" t="str">
        <f>IFERROR(VLOOKUP($A$2,Stok!$B$1:$AC$438,28,0),"")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45442</v>
      </c>
      <c r="L91" s="59" t="str">
        <f>IFERROR(VLOOKUP($A$2,Stok!$B$1:$AB$438,27,0),"")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45427</v>
      </c>
      <c r="L93" s="59" t="str">
        <f>IFERROR(VLOOKUP($A$2,Stok!$B$1:$AA$438,26,0),"")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45411</v>
      </c>
      <c r="L94" s="59" t="str">
        <f>IFERROR(VLOOKUP($A$2,Stok!$B$1:$AA$438,24,0),"")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45397</v>
      </c>
      <c r="L95" s="59" t="str">
        <f>IFERROR(VLOOKUP($A$2,Stok!$B$1:$AA$438,23,0),"")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45376</v>
      </c>
      <c r="L96" s="59" t="str">
        <f>IFERROR(VLOOKUP($A$2,Stok!$B$1:$AA$438,22,0),"")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45364</v>
      </c>
      <c r="L97" s="59" t="str">
        <f>IFERROR(VLOOKUP($A$2,Stok!$B$1:$AA$438,21,0),"")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45352</v>
      </c>
      <c r="L98" s="59" t="str">
        <f>IFERROR(VLOOKUP($A$2,Stok!$B$1:$AA$438,20,0),"")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45334</v>
      </c>
      <c r="L99" s="59" t="str">
        <f>IFERROR(VLOOKUP($A$2,Stok!$B$1:$AA$438,19,0),"")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45320</v>
      </c>
      <c r="L100" s="59" t="str">
        <f>IFERROR(VLOOKUP($A$2,Stok!$B$1:$AA$438,18,0),"")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58">
        <v>45313</v>
      </c>
      <c r="L101" s="59" t="str">
        <f>IFERROR(VLOOKUP($A$2,Stok!$B$1:$AA$438,17,0),"")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45293</v>
      </c>
      <c r="L102" s="59" t="str">
        <f>IFERROR(VLOOKUP($A$2,Stok!$B$1:$AA$438,16,0),"")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60">
        <v>45285</v>
      </c>
      <c r="L103" s="70" t="str">
        <f>IFERROR(VLOOKUP($A$2,Stok!$B$1:$AA$438,15,0),"")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58">
        <v>45275</v>
      </c>
      <c r="L104" s="70" t="str">
        <f>IFERROR(VLOOKUP($A$2,Stok!$B$1:$AA$438,14,0),"")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60">
        <v>45173</v>
      </c>
      <c r="L105" s="70" t="str">
        <f>IFERROR(VLOOKUP($A$2,Stok!$B$1:$AA$438,8,0),"")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62154.938191040026</v>
      </c>
      <c r="I118" s="133">
        <v>56680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600</v>
      </c>
      <c r="I197" s="133">
        <v>10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1597.75</v>
      </c>
      <c r="I233" s="133">
        <v>332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0</v>
      </c>
      <c r="I252" s="133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228750.21000000002</v>
      </c>
      <c r="I346" s="133">
        <v>637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2114.16</v>
      </c>
      <c r="I358" s="133">
        <v>8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45376.800000000003</v>
      </c>
      <c r="I365" s="133">
        <v>73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35196.44</v>
      </c>
      <c r="I373" s="133">
        <v>268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240796.55</v>
      </c>
      <c r="I472" s="133">
        <v>1252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131285.60999999999</v>
      </c>
      <c r="I475" s="133">
        <v>621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641546.40252322133</v>
      </c>
      <c r="I478" s="137">
        <v>68100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</sheetData>
  <mergeCells count="2">
    <mergeCell ref="Y1:AE1"/>
    <mergeCell ref="X2:AB2"/>
  </mergeCells>
  <pageMargins left="0.7" right="0.7" top="0.75" bottom="0.75" header="0.3" footer="0.3"/>
  <ignoredErrors>
    <ignoredError sqref="L6:L105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I438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3" width="14.26953125" style="76" customWidth="1"/>
    <col min="114" max="16384" width="8.90625" style="13"/>
  </cols>
  <sheetData>
    <row r="1" spans="1:11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1553</v>
      </c>
    </row>
    <row r="2" spans="1:11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M2*DI2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</row>
    <row r="3" spans="1:11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M3*DI3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</row>
    <row r="4" spans="1:11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</row>
    <row r="5" spans="1:11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</row>
    <row r="6" spans="1:11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</row>
    <row r="7" spans="1:11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</row>
    <row r="8" spans="1:11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</row>
    <row r="9" spans="1:11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</row>
    <row r="10" spans="1:11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</row>
    <row r="11" spans="1:11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</row>
    <row r="12" spans="1:11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</row>
    <row r="13" spans="1:11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</row>
    <row r="14" spans="1:11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</row>
    <row r="15" spans="1:11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</row>
    <row r="16" spans="1:11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</row>
    <row r="17" spans="1:11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</row>
    <row r="18" spans="1:11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</row>
    <row r="19" spans="1:11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</row>
    <row r="20" spans="1:11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</row>
    <row r="21" spans="1:11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</row>
    <row r="22" spans="1:11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</row>
    <row r="23" spans="1:11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</row>
    <row r="24" spans="1:11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</row>
    <row r="25" spans="1:11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</row>
    <row r="26" spans="1:11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</row>
    <row r="27" spans="1:11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</row>
    <row r="28" spans="1:113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</row>
    <row r="29" spans="1:113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</row>
    <row r="30" spans="1:113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</row>
    <row r="31" spans="1:113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</row>
    <row r="32" spans="1:113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</row>
    <row r="33" spans="1:113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</row>
    <row r="34" spans="1:113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</row>
    <row r="35" spans="1:113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</row>
    <row r="36" spans="1:113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</row>
    <row r="37" spans="1:113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</row>
    <row r="38" spans="1:113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</row>
    <row r="39" spans="1:113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</row>
    <row r="40" spans="1:113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</row>
    <row r="41" spans="1:113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</row>
    <row r="42" spans="1:113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</row>
    <row r="43" spans="1:113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</row>
    <row r="44" spans="1:113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</row>
    <row r="45" spans="1:113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</row>
    <row r="46" spans="1:113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</row>
    <row r="47" spans="1:113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</row>
    <row r="48" spans="1:113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</row>
    <row r="49" spans="1:113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</row>
    <row r="50" spans="1:113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</row>
    <row r="51" spans="1:113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</row>
    <row r="52" spans="1:113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</row>
    <row r="53" spans="1:113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</row>
    <row r="54" spans="1:113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</row>
    <row r="55" spans="1:113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</row>
    <row r="56" spans="1:113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</row>
    <row r="57" spans="1:113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</row>
    <row r="58" spans="1:113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</row>
    <row r="59" spans="1:113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</row>
    <row r="60" spans="1:113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</row>
    <row r="61" spans="1:113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</row>
    <row r="62" spans="1:113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</row>
    <row r="63" spans="1:113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</row>
    <row r="64" spans="1:113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</row>
    <row r="65" spans="1:113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</row>
    <row r="66" spans="1:113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</row>
    <row r="67" spans="1:113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M67*DI67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</row>
    <row r="68" spans="1:113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</row>
    <row r="69" spans="1:113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</row>
    <row r="70" spans="1:113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</row>
    <row r="71" spans="1:113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</row>
    <row r="72" spans="1:113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</row>
    <row r="73" spans="1:113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</row>
    <row r="74" spans="1:113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</row>
    <row r="75" spans="1:113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</row>
    <row r="76" spans="1:113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</row>
    <row r="77" spans="1:113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</row>
    <row r="78" spans="1:113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</row>
    <row r="79" spans="1:113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</row>
    <row r="80" spans="1:113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</row>
    <row r="81" spans="1:113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</row>
    <row r="82" spans="1:113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</row>
    <row r="83" spans="1:113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</row>
    <row r="84" spans="1:113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</row>
    <row r="85" spans="1:113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</row>
    <row r="86" spans="1:113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  <c r="DI86" s="72">
        <v>2</v>
      </c>
    </row>
    <row r="87" spans="1:113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</row>
    <row r="88" spans="1:113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</row>
    <row r="89" spans="1:113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</row>
    <row r="90" spans="1:113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  <c r="DI90" s="72">
        <v>6</v>
      </c>
    </row>
    <row r="91" spans="1:113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</row>
    <row r="92" spans="1:113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</row>
    <row r="93" spans="1:113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</row>
    <row r="94" spans="1:113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</row>
    <row r="95" spans="1:113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</row>
    <row r="96" spans="1:113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</row>
    <row r="97" spans="1:113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</row>
    <row r="98" spans="1:113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  <c r="DI98" s="72">
        <v>26</v>
      </c>
    </row>
    <row r="99" spans="1:113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  <c r="DI99" s="72">
        <v>5</v>
      </c>
    </row>
    <row r="100" spans="1:113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  <c r="DI100" s="72">
        <v>18</v>
      </c>
    </row>
    <row r="101" spans="1:113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  <c r="DI101" s="72">
        <v>116</v>
      </c>
    </row>
    <row r="102" spans="1:113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  <c r="DI102" s="72">
        <v>28</v>
      </c>
    </row>
    <row r="103" spans="1:113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  <c r="DI103" s="72">
        <v>16</v>
      </c>
    </row>
    <row r="104" spans="1:113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  <c r="DI104" s="72">
        <v>64</v>
      </c>
    </row>
    <row r="105" spans="1:113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  <c r="DI105" s="72">
        <v>97</v>
      </c>
    </row>
    <row r="106" spans="1:113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  <c r="DI106" s="72">
        <v>78</v>
      </c>
    </row>
    <row r="107" spans="1:113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  <c r="DI107" s="72">
        <v>500</v>
      </c>
    </row>
    <row r="108" spans="1:113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  <c r="DI108" s="72">
        <v>400</v>
      </c>
    </row>
    <row r="109" spans="1:113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  <c r="DI109" s="75">
        <v>0</v>
      </c>
    </row>
    <row r="110" spans="1:113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0</v>
      </c>
    </row>
    <row r="111" spans="1:113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  <c r="DI111" s="75">
        <v>0</v>
      </c>
    </row>
    <row r="112" spans="1:113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  <c r="DI112" s="75">
        <v>2</v>
      </c>
    </row>
    <row r="113" spans="1:113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</row>
    <row r="114" spans="1:113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  <c r="DI114" s="72">
        <v>289</v>
      </c>
    </row>
    <row r="115" spans="1:113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  <c r="DI115" s="72">
        <v>65</v>
      </c>
    </row>
    <row r="116" spans="1:113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  <c r="DI116" s="72">
        <v>80</v>
      </c>
    </row>
    <row r="117" spans="1:113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</row>
    <row r="118" spans="1:113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</row>
    <row r="119" spans="1:113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  <c r="DI119" s="72">
        <v>204</v>
      </c>
    </row>
    <row r="120" spans="1:113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  <c r="DI120" s="72">
        <v>614</v>
      </c>
    </row>
    <row r="121" spans="1:113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  <c r="DI121" s="72">
        <v>419</v>
      </c>
    </row>
    <row r="122" spans="1:113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</row>
    <row r="123" spans="1:113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</row>
    <row r="124" spans="1:113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  <c r="DI124" s="72">
        <v>65</v>
      </c>
    </row>
    <row r="125" spans="1:113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  <c r="DI125" s="72">
        <v>19</v>
      </c>
    </row>
    <row r="126" spans="1:113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  <c r="DI126" s="72">
        <v>48</v>
      </c>
    </row>
    <row r="127" spans="1:113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  <c r="DI127" s="72">
        <v>29</v>
      </c>
    </row>
    <row r="128" spans="1:113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  <c r="DI128" s="72">
        <v>16</v>
      </c>
    </row>
    <row r="129" spans="1:113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  <c r="DI129" s="72">
        <v>1216</v>
      </c>
    </row>
    <row r="130" spans="1:113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</row>
    <row r="131" spans="1:113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M131*DI131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  <c r="DI131" s="72">
        <v>914</v>
      </c>
    </row>
    <row r="132" spans="1:113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  <c r="DI132" s="72">
        <v>4</v>
      </c>
    </row>
    <row r="133" spans="1:113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</row>
    <row r="134" spans="1:113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  <c r="DI134" s="72">
        <v>18</v>
      </c>
    </row>
    <row r="135" spans="1:113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</row>
    <row r="136" spans="1:113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  <c r="DI136" s="72">
        <v>54</v>
      </c>
    </row>
    <row r="137" spans="1:113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  <c r="DI137" s="72">
        <v>22</v>
      </c>
    </row>
    <row r="138" spans="1:113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  <c r="DI138" s="72">
        <v>20</v>
      </c>
    </row>
    <row r="139" spans="1:113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  <c r="DI139" s="72">
        <f>1007-250</f>
        <v>757</v>
      </c>
    </row>
    <row r="140" spans="1:113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  <c r="DI140" s="72">
        <v>1655</v>
      </c>
    </row>
    <row r="141" spans="1:113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  <c r="DI141" s="72">
        <v>796</v>
      </c>
    </row>
    <row r="142" spans="1:113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</row>
    <row r="143" spans="1:113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  <c r="DI143" s="72">
        <v>5</v>
      </c>
    </row>
    <row r="144" spans="1:113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  <c r="DI144" s="72">
        <v>214</v>
      </c>
    </row>
    <row r="145" spans="1:113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  <c r="DI145" s="72">
        <v>30</v>
      </c>
    </row>
    <row r="146" spans="1:113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  <c r="DI146" s="72">
        <v>50</v>
      </c>
    </row>
    <row r="147" spans="1:113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  <c r="DI147" s="72">
        <v>30</v>
      </c>
    </row>
    <row r="148" spans="1:113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  <c r="DI148" s="72">
        <v>20</v>
      </c>
    </row>
    <row r="149" spans="1:113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</row>
    <row r="150" spans="1:113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</row>
    <row r="151" spans="1:113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</row>
    <row r="152" spans="1:113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  <c r="DI152" s="72">
        <v>19</v>
      </c>
    </row>
    <row r="153" spans="1:113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  <c r="DI153" s="72">
        <v>70</v>
      </c>
    </row>
    <row r="154" spans="1:113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  <c r="DI154" s="72">
        <v>54</v>
      </c>
    </row>
    <row r="155" spans="1:113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  <c r="DI155" s="72">
        <v>1173</v>
      </c>
    </row>
    <row r="156" spans="1:113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  <c r="DI156" s="72">
        <v>662</v>
      </c>
    </row>
    <row r="157" spans="1:113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</row>
    <row r="158" spans="1:113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  <c r="DI158" s="72">
        <v>5</v>
      </c>
    </row>
    <row r="159" spans="1:113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  <c r="DI159" s="72">
        <v>103</v>
      </c>
    </row>
    <row r="160" spans="1:113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  <c r="DI160" s="72">
        <v>30</v>
      </c>
    </row>
    <row r="161" spans="1:113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</row>
    <row r="162" spans="1:113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  <c r="DI162" s="72">
        <v>10</v>
      </c>
    </row>
    <row r="163" spans="1:113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</row>
    <row r="164" spans="1:113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  <c r="DI164" s="75">
        <v>4</v>
      </c>
    </row>
    <row r="165" spans="1:113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  <c r="DI165" s="75">
        <v>14</v>
      </c>
    </row>
    <row r="166" spans="1:113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  <c r="DI166" s="72">
        <v>491</v>
      </c>
    </row>
    <row r="167" spans="1:113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  <c r="DI167" s="72">
        <v>70</v>
      </c>
    </row>
    <row r="168" spans="1:113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  <c r="DI168" s="72">
        <v>148</v>
      </c>
    </row>
    <row r="169" spans="1:113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  <c r="DI169" s="72">
        <v>3112</v>
      </c>
    </row>
    <row r="170" spans="1:113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  <c r="DI170" s="72">
        <v>3538</v>
      </c>
    </row>
    <row r="171" spans="1:113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  <c r="DI171" s="75">
        <v>1000</v>
      </c>
    </row>
    <row r="172" spans="1:113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  <c r="DI172" s="75">
        <v>8</v>
      </c>
    </row>
    <row r="173" spans="1:113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  <c r="DI173" s="75">
        <v>12</v>
      </c>
    </row>
    <row r="174" spans="1:113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  <c r="DI174" s="72">
        <v>427</v>
      </c>
    </row>
    <row r="175" spans="1:113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  <c r="DI175" s="75">
        <v>0</v>
      </c>
    </row>
    <row r="176" spans="1:113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</row>
    <row r="177" spans="1:113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  <c r="DI177" s="72">
        <v>407</v>
      </c>
    </row>
    <row r="178" spans="1:113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</row>
    <row r="179" spans="1:113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  <c r="DI179" s="75">
        <v>30</v>
      </c>
    </row>
    <row r="180" spans="1:113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0</v>
      </c>
    </row>
    <row r="181" spans="1:113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</row>
    <row r="182" spans="1:113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  <c r="DI182" s="72">
        <v>1918</v>
      </c>
    </row>
    <row r="183" spans="1:113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  <c r="DI183" s="72">
        <v>7316</v>
      </c>
    </row>
    <row r="184" spans="1:113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  <c r="DI184" s="72">
        <v>87</v>
      </c>
    </row>
    <row r="185" spans="1:113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  <c r="DI185" s="72">
        <v>10</v>
      </c>
    </row>
    <row r="186" spans="1:113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0</v>
      </c>
    </row>
    <row r="187" spans="1:113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  <c r="DI187" s="75">
        <v>0</v>
      </c>
    </row>
    <row r="188" spans="1:113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  <c r="DI188" s="72">
        <v>1</v>
      </c>
    </row>
    <row r="189" spans="1:113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  <c r="DI189" s="72">
        <v>3</v>
      </c>
    </row>
    <row r="190" spans="1:113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  <c r="DI190" s="72">
        <v>271</v>
      </c>
    </row>
    <row r="191" spans="1:113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  <c r="DI191" s="72">
        <v>85</v>
      </c>
    </row>
    <row r="192" spans="1:113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  <c r="DI192" s="72">
        <v>768</v>
      </c>
    </row>
    <row r="193" spans="1:113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  <c r="DI193" s="72">
        <v>486</v>
      </c>
    </row>
    <row r="194" spans="1:113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  <c r="DI194" s="72">
        <v>492</v>
      </c>
    </row>
    <row r="195" spans="1:113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M195*DI195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  <c r="DI195" s="72">
        <v>100</v>
      </c>
    </row>
    <row r="196" spans="1:113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  <c r="DI196" s="72">
        <v>493</v>
      </c>
    </row>
    <row r="197" spans="1:113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  <c r="DI197" s="72">
        <v>312</v>
      </c>
    </row>
    <row r="198" spans="1:113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  <c r="DI198" s="72">
        <v>102</v>
      </c>
    </row>
    <row r="199" spans="1:113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  <c r="DI199" s="72">
        <v>76</v>
      </c>
    </row>
    <row r="200" spans="1:113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0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  <c r="DI200" s="72">
        <v>0</v>
      </c>
    </row>
    <row r="201" spans="1:113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  <c r="DI201" s="72">
        <v>71</v>
      </c>
    </row>
    <row r="202" spans="1:113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  <c r="DI202" s="72">
        <v>57</v>
      </c>
    </row>
    <row r="203" spans="1:113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  <c r="DI203" s="72">
        <v>14</v>
      </c>
    </row>
    <row r="204" spans="1:113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  <c r="DI204" s="72">
        <v>295</v>
      </c>
    </row>
    <row r="205" spans="1:113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  <c r="DI205" s="72">
        <v>325</v>
      </c>
    </row>
    <row r="206" spans="1:113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  <c r="DI206" s="75">
        <v>332</v>
      </c>
    </row>
    <row r="207" spans="1:113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  <c r="DI207" s="75">
        <v>1281</v>
      </c>
    </row>
    <row r="208" spans="1:113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  <c r="DI208" s="75">
        <v>884</v>
      </c>
    </row>
    <row r="209" spans="1:113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  <c r="DI209" s="75">
        <v>231</v>
      </c>
    </row>
    <row r="210" spans="1:113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  <c r="DI210" s="75">
        <v>804</v>
      </c>
    </row>
    <row r="211" spans="1:113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  <c r="DI211" s="75">
        <v>969</v>
      </c>
    </row>
    <row r="212" spans="1:113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  <c r="DI212" s="75">
        <v>16</v>
      </c>
    </row>
    <row r="213" spans="1:113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  <c r="DI213" s="75">
        <v>1490</v>
      </c>
    </row>
    <row r="214" spans="1:113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  <c r="DI214" s="75">
        <v>1223</v>
      </c>
    </row>
    <row r="215" spans="1:113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  <c r="DI215" s="75">
        <v>0</v>
      </c>
    </row>
    <row r="216" spans="1:113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  <c r="DI216" s="72">
        <v>1154</v>
      </c>
    </row>
    <row r="217" spans="1:113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  <c r="DI217" s="72">
        <v>1322</v>
      </c>
    </row>
    <row r="218" spans="1:113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  <c r="DI218" s="72">
        <v>11439</v>
      </c>
    </row>
    <row r="219" spans="1:113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  <c r="DI219" s="72">
        <v>945</v>
      </c>
    </row>
    <row r="220" spans="1:113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  <c r="DI220" s="72">
        <v>687</v>
      </c>
    </row>
    <row r="221" spans="1:113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  <c r="DI221" s="72">
        <v>101</v>
      </c>
    </row>
    <row r="222" spans="1:113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1597.75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  <c r="DI222" s="72">
        <v>332</v>
      </c>
    </row>
    <row r="223" spans="1:113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  <c r="DI223" s="72">
        <v>88</v>
      </c>
    </row>
    <row r="224" spans="1:113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  <c r="DI224" s="72">
        <v>114</v>
      </c>
    </row>
    <row r="225" spans="1:113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  <c r="DI225" s="75">
        <v>0</v>
      </c>
    </row>
    <row r="226" spans="1:113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600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  <c r="DI226" s="75">
        <v>10</v>
      </c>
    </row>
    <row r="227" spans="1:113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0</v>
      </c>
    </row>
    <row r="228" spans="1:113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</row>
    <row r="229" spans="1:113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  <c r="DI229" s="75">
        <v>32</v>
      </c>
    </row>
    <row r="230" spans="1:113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  <c r="DI230" s="75">
        <v>10</v>
      </c>
    </row>
    <row r="231" spans="1:113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  <c r="DI231" s="75">
        <v>31</v>
      </c>
    </row>
    <row r="232" spans="1:113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</row>
    <row r="233" spans="1:113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  <c r="DI233" s="72">
        <v>49</v>
      </c>
    </row>
    <row r="234" spans="1:113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  <c r="DI234" s="72">
        <v>21</v>
      </c>
    </row>
    <row r="235" spans="1:113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  <c r="DI235" s="72">
        <v>4</v>
      </c>
    </row>
    <row r="236" spans="1:113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  <c r="DI236" s="72">
        <v>30</v>
      </c>
    </row>
    <row r="237" spans="1:113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  <c r="DI237" s="72">
        <v>4</v>
      </c>
    </row>
    <row r="238" spans="1:113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  <c r="DI238" s="72">
        <v>20</v>
      </c>
    </row>
    <row r="239" spans="1:113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  <c r="DI239" s="72">
        <v>39</v>
      </c>
    </row>
    <row r="240" spans="1:113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  <c r="DI240" s="72">
        <v>12</v>
      </c>
    </row>
    <row r="241" spans="1:113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  <c r="DI241" s="72">
        <v>4</v>
      </c>
    </row>
    <row r="242" spans="1:113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  <c r="DI242" s="72">
        <v>12</v>
      </c>
    </row>
    <row r="243" spans="1:113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0</v>
      </c>
    </row>
    <row r="244" spans="1:113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  <c r="DI244" s="72">
        <v>8</v>
      </c>
    </row>
    <row r="245" spans="1:113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  <c r="DI245" s="72">
        <v>7</v>
      </c>
    </row>
    <row r="246" spans="1:113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  <c r="DI246" s="72">
        <v>3</v>
      </c>
    </row>
    <row r="247" spans="1:113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  <c r="DI247" s="72">
        <v>5</v>
      </c>
    </row>
    <row r="248" spans="1:113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  <c r="DI248" s="72">
        <v>3</v>
      </c>
    </row>
    <row r="249" spans="1:113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  <c r="DI249" s="72">
        <v>5</v>
      </c>
    </row>
    <row r="250" spans="1:113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</row>
    <row r="251" spans="1:113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  <c r="DI251" s="72">
        <v>5</v>
      </c>
    </row>
    <row r="252" spans="1:113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</row>
    <row r="253" spans="1:113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</row>
    <row r="254" spans="1:113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</row>
    <row r="255" spans="1:113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</row>
    <row r="256" spans="1:113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</row>
    <row r="257" spans="1:113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</row>
    <row r="258" spans="1:113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</row>
    <row r="259" spans="1:113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M259*DI259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  <c r="DI259" s="72">
        <v>23</v>
      </c>
    </row>
    <row r="260" spans="1:113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  <c r="DI260" s="72">
        <v>1</v>
      </c>
    </row>
    <row r="261" spans="1:113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  <c r="DI261" s="72">
        <v>40</v>
      </c>
    </row>
    <row r="262" spans="1:113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  <c r="DI262" s="72">
        <v>1</v>
      </c>
    </row>
    <row r="263" spans="1:113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  <c r="DI263" s="72">
        <v>42</v>
      </c>
    </row>
    <row r="264" spans="1:113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</row>
    <row r="265" spans="1:113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  <c r="DI265" s="72">
        <v>4</v>
      </c>
    </row>
    <row r="266" spans="1:113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</row>
    <row r="267" spans="1:113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  <c r="DI267" s="72">
        <v>472</v>
      </c>
    </row>
    <row r="268" spans="1:113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</row>
    <row r="269" spans="1:113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</row>
    <row r="270" spans="1:113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</row>
    <row r="271" spans="1:113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</row>
    <row r="272" spans="1:113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</row>
    <row r="273" spans="1:113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</row>
    <row r="274" spans="1:113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</row>
    <row r="275" spans="1:113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</row>
    <row r="276" spans="1:113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</row>
    <row r="277" spans="1:113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</row>
    <row r="278" spans="1:113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</row>
    <row r="279" spans="1:113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  <c r="DI279" s="72">
        <v>2</v>
      </c>
    </row>
    <row r="280" spans="1:113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</row>
    <row r="281" spans="1:113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</row>
    <row r="282" spans="1:113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</row>
    <row r="283" spans="1:113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</row>
    <row r="284" spans="1:113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</row>
    <row r="285" spans="1:113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</row>
    <row r="286" spans="1:113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</row>
    <row r="287" spans="1:113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</row>
    <row r="288" spans="1:113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</row>
    <row r="289" spans="1:113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</row>
    <row r="290" spans="1:113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</row>
    <row r="291" spans="1:113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</row>
    <row r="292" spans="1:113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  <c r="DI292" s="72">
        <v>2252</v>
      </c>
    </row>
    <row r="293" spans="1:113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</row>
    <row r="294" spans="1:113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</row>
    <row r="295" spans="1:113" ht="26.55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</row>
    <row r="296" spans="1:113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</row>
    <row r="297" spans="1:113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  <c r="DI297" s="72">
        <v>3</v>
      </c>
    </row>
    <row r="298" spans="1:113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</row>
    <row r="299" spans="1:113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</row>
    <row r="300" spans="1:113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</row>
    <row r="301" spans="1:113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</row>
    <row r="302" spans="1:113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</row>
    <row r="303" spans="1:113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</row>
    <row r="304" spans="1:113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  <c r="DI304" s="72">
        <v>1</v>
      </c>
    </row>
    <row r="305" spans="1:113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  <c r="DI305" s="72">
        <v>60</v>
      </c>
    </row>
    <row r="306" spans="1:113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  <c r="DI306" s="72">
        <v>1</v>
      </c>
    </row>
    <row r="307" spans="1:113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</row>
    <row r="308" spans="1:113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  <c r="DI308" s="72">
        <v>61</v>
      </c>
    </row>
    <row r="309" spans="1:113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  <c r="DI309" s="72">
        <v>53</v>
      </c>
    </row>
    <row r="310" spans="1:113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  <c r="DI310" s="72">
        <v>28</v>
      </c>
    </row>
    <row r="311" spans="1:113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  <c r="DI311" s="72">
        <v>267</v>
      </c>
    </row>
    <row r="312" spans="1:113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</row>
    <row r="313" spans="1:113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  <c r="DI313" s="72">
        <v>2</v>
      </c>
    </row>
    <row r="314" spans="1:113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  <c r="DI314" s="72">
        <v>7</v>
      </c>
    </row>
    <row r="315" spans="1:113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  <c r="DI315" s="72">
        <v>5</v>
      </c>
    </row>
    <row r="316" spans="1:113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  <c r="DI316" s="72">
        <v>10</v>
      </c>
    </row>
    <row r="317" spans="1:113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  <c r="DI317" s="72">
        <v>223</v>
      </c>
    </row>
    <row r="318" spans="1:113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  <c r="DI318" s="72">
        <v>7</v>
      </c>
    </row>
    <row r="319" spans="1:113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</row>
    <row r="320" spans="1:113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</row>
    <row r="321" spans="1:113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</row>
    <row r="322" spans="1:113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0</v>
      </c>
    </row>
    <row r="323" spans="1:113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M323*DI323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</row>
    <row r="324" spans="1:113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  <c r="DI324" s="72">
        <v>97</v>
      </c>
    </row>
    <row r="325" spans="1:113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  <c r="DI325" s="72">
        <v>49</v>
      </c>
    </row>
    <row r="326" spans="1:113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  <c r="DI326" s="72">
        <v>293</v>
      </c>
    </row>
    <row r="327" spans="1:113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  <c r="DI327" s="72">
        <v>192</v>
      </c>
    </row>
    <row r="328" spans="1:113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131285.60999999999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  <c r="DI328" s="72">
        <v>621</v>
      </c>
    </row>
    <row r="329" spans="1:113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0</v>
      </c>
    </row>
    <row r="330" spans="1:113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  <c r="DI330" s="72">
        <v>4</v>
      </c>
    </row>
    <row r="331" spans="1:113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</row>
    <row r="332" spans="1:113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</row>
    <row r="333" spans="1:113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  <c r="DI333" s="72">
        <v>4</v>
      </c>
    </row>
    <row r="334" spans="1:113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</row>
    <row r="335" spans="1:113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</row>
    <row r="336" spans="1:113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 t="shared" ref="DD336:DI336" si="7">3000-107</f>
        <v>2893</v>
      </c>
      <c r="DE336" s="72">
        <f t="shared" si="7"/>
        <v>2893</v>
      </c>
      <c r="DF336" s="72">
        <f t="shared" si="7"/>
        <v>2893</v>
      </c>
      <c r="DG336" s="72">
        <f t="shared" si="7"/>
        <v>2893</v>
      </c>
      <c r="DH336" s="72">
        <f t="shared" si="7"/>
        <v>2893</v>
      </c>
      <c r="DI336" s="72">
        <f t="shared" si="7"/>
        <v>2893</v>
      </c>
    </row>
    <row r="337" spans="1:113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</row>
    <row r="338" spans="1:113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  <c r="DI338" s="72">
        <v>2</v>
      </c>
    </row>
    <row r="339" spans="1:113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  <c r="DI339" s="72">
        <v>20</v>
      </c>
    </row>
    <row r="340" spans="1:113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</row>
    <row r="341" spans="1:113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  <c r="DI341" s="72">
        <v>2</v>
      </c>
    </row>
    <row r="342" spans="1:113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</row>
    <row r="343" spans="1:113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  <c r="DI343" s="72">
        <v>6</v>
      </c>
    </row>
    <row r="344" spans="1:113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  <c r="DI344" s="72">
        <v>2</v>
      </c>
    </row>
    <row r="345" spans="1:113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</row>
    <row r="346" spans="1:113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</row>
    <row r="347" spans="1:113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  <c r="DI347" s="72">
        <v>2</v>
      </c>
    </row>
    <row r="348" spans="1:113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  <c r="DI348" s="72">
        <v>7</v>
      </c>
    </row>
    <row r="349" spans="1:113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</row>
    <row r="350" spans="1:113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</row>
    <row r="351" spans="1:113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  <c r="DI351" s="72">
        <v>94</v>
      </c>
    </row>
    <row r="352" spans="1:113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</row>
    <row r="353" spans="1:113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</row>
    <row r="354" spans="1:113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</row>
    <row r="355" spans="1:113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</row>
    <row r="356" spans="1:113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</row>
    <row r="357" spans="1:113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2114.16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  <c r="DI357" s="72">
        <v>8</v>
      </c>
    </row>
    <row r="358" spans="1:113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  <c r="DI358" s="72">
        <v>75</v>
      </c>
    </row>
    <row r="359" spans="1:113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</row>
    <row r="360" spans="1:113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</row>
    <row r="361" spans="1:113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  <c r="DI361" s="72">
        <v>1</v>
      </c>
    </row>
    <row r="362" spans="1:113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</row>
    <row r="363" spans="1:113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</row>
    <row r="364" spans="1:113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45376.800000000003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  <c r="DI364" s="72">
        <v>73</v>
      </c>
    </row>
    <row r="365" spans="1:113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</row>
    <row r="366" spans="1:113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</row>
    <row r="367" spans="1:113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</row>
    <row r="368" spans="1:113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</row>
    <row r="369" spans="1:113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</row>
    <row r="370" spans="1:113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</row>
    <row r="371" spans="1:113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35196.44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  <c r="DI371" s="72">
        <v>268</v>
      </c>
    </row>
    <row r="372" spans="1:113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</row>
    <row r="373" spans="1:113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  <c r="DI373" s="72">
        <v>2</v>
      </c>
    </row>
    <row r="374" spans="1:113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</row>
    <row r="375" spans="1:113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</row>
    <row r="376" spans="1:113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</row>
    <row r="377" spans="1:113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</row>
    <row r="378" spans="1:113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</row>
    <row r="379" spans="1:113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</row>
    <row r="380" spans="1:113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</row>
    <row r="381" spans="1:113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</row>
    <row r="382" spans="1:113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</row>
    <row r="383" spans="1:113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</row>
    <row r="384" spans="1:113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</row>
    <row r="385" spans="1:113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</row>
    <row r="386" spans="1:113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</row>
    <row r="387" spans="1:113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8">M387*DI387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</row>
    <row r="388" spans="1:113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8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</row>
    <row r="389" spans="1:113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8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  <c r="DI389" s="72">
        <v>4</v>
      </c>
    </row>
    <row r="390" spans="1:113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8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</row>
    <row r="391" spans="1:113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8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</row>
    <row r="392" spans="1:113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8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  <c r="DI392" s="72">
        <v>2</v>
      </c>
    </row>
    <row r="393" spans="1:113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8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</row>
    <row r="394" spans="1:113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8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  <c r="DI394" s="72">
        <v>2</v>
      </c>
    </row>
    <row r="395" spans="1:113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8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</row>
    <row r="396" spans="1:113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8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</row>
    <row r="397" spans="1:113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8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  <c r="DI397" s="72">
        <v>3</v>
      </c>
    </row>
    <row r="398" spans="1:113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8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</row>
    <row r="399" spans="1:113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8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  <c r="DI399" s="72">
        <v>2</v>
      </c>
    </row>
    <row r="400" spans="1:113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8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  <c r="DI400" s="72">
        <v>6</v>
      </c>
    </row>
    <row r="401" spans="1:113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8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</row>
    <row r="402" spans="1:113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8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  <c r="DI402" s="72">
        <v>12</v>
      </c>
    </row>
    <row r="403" spans="1:113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8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  <c r="DI403" s="72">
        <v>7</v>
      </c>
    </row>
    <row r="404" spans="1:113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8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</row>
    <row r="405" spans="1:113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8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</row>
    <row r="406" spans="1:113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8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  <c r="DI406" s="72">
        <v>23</v>
      </c>
    </row>
    <row r="407" spans="1:113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8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</row>
    <row r="408" spans="1:113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8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  <c r="DI408" s="72">
        <v>1</v>
      </c>
    </row>
    <row r="409" spans="1:113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8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</row>
    <row r="410" spans="1:113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</row>
    <row r="411" spans="1:113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8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  <c r="DI411" s="72">
        <v>5</v>
      </c>
    </row>
    <row r="412" spans="1:113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8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</row>
    <row r="413" spans="1:113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8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  <c r="DI413" s="72">
        <v>1</v>
      </c>
    </row>
    <row r="414" spans="1:113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8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</row>
    <row r="415" spans="1:113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8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  <c r="DI415" s="72">
        <v>1</v>
      </c>
    </row>
    <row r="416" spans="1:113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8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</row>
    <row r="417" spans="1:113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8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  <c r="DI417" s="72">
        <v>4</v>
      </c>
    </row>
    <row r="418" spans="1:113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8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</row>
    <row r="419" spans="1:113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8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</row>
    <row r="420" spans="1:113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8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  <c r="DI420" s="72">
        <v>0</v>
      </c>
    </row>
    <row r="421" spans="1:113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8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</row>
    <row r="422" spans="1:113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8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</row>
    <row r="423" spans="1:113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8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  <c r="DI423" s="72">
        <v>20</v>
      </c>
    </row>
    <row r="424" spans="1:113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8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</row>
    <row r="425" spans="1:113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8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  <c r="DI425" s="72">
        <v>5</v>
      </c>
    </row>
    <row r="426" spans="1:113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8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  <c r="DI426" s="72">
        <v>3</v>
      </c>
    </row>
    <row r="427" spans="1:113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8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</row>
    <row r="428" spans="1:113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8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  <c r="DI428" s="72">
        <v>9</v>
      </c>
    </row>
    <row r="429" spans="1:113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8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  <c r="DI429" s="72">
        <v>11</v>
      </c>
    </row>
    <row r="430" spans="1:113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8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</row>
    <row r="431" spans="1:113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8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  <c r="DI431" s="72">
        <v>16</v>
      </c>
    </row>
    <row r="432" spans="1:113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8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  <c r="DI432" s="72">
        <v>54</v>
      </c>
    </row>
    <row r="433" spans="1:113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8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  <c r="DI433" s="72">
        <v>10</v>
      </c>
    </row>
    <row r="434" spans="1:113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8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</row>
    <row r="435" spans="1:113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8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</row>
    <row r="436" spans="1:113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8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</row>
    <row r="437" spans="1:113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8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</row>
    <row r="438" spans="1:113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2026-07-13T08:51:22Z</dcterms:modified>
</cp:coreProperties>
</file>